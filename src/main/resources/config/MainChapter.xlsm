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E:\svn\Doc\Dev\DataConfig\China\"/>
    </mc:Choice>
  </mc:AlternateContent>
  <bookViews>
    <workbookView xWindow="810" yWindow="-120" windowWidth="29040" windowHeight="15840" tabRatio="484" activeTab="1"/>
  </bookViews>
  <sheets>
    <sheet name="INDEX" sheetId="1" r:id="rId1"/>
    <sheet name="ChapterBaseCfg" sheetId="3" r:id="rId2"/>
    <sheet name="SectionProcessAward" sheetId="4" r:id="rId3"/>
  </sheets>
  <definedNames>
    <definedName name="_xlnm._FilterDatabase" localSheetId="0" hidden="1">INDEX!$A$2:$F$5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" i="4" l="1"/>
  <c r="D6" i="4" s="1"/>
  <c r="C5" i="4"/>
  <c r="C6" i="4" s="1"/>
  <c r="E5" i="4"/>
  <c r="E6" i="4" s="1"/>
  <c r="B5" i="4"/>
  <c r="B6" i="4" s="1"/>
  <c r="O5" i="3"/>
  <c r="O6" i="3" s="1"/>
  <c r="N5" i="3"/>
  <c r="N6" i="3" s="1"/>
  <c r="L5" i="3"/>
  <c r="L6" i="3" s="1"/>
  <c r="B8" i="3"/>
  <c r="M5" i="3"/>
  <c r="M6" i="3" s="1"/>
  <c r="K5" i="3"/>
  <c r="K6" i="3" s="1"/>
  <c r="J5" i="3"/>
  <c r="J6" i="3" s="1"/>
  <c r="I5" i="3"/>
  <c r="I6" i="3" s="1"/>
  <c r="H5" i="3"/>
  <c r="H6" i="3" s="1"/>
  <c r="G5" i="3"/>
  <c r="G6" i="3" s="1"/>
  <c r="F5" i="3"/>
  <c r="F6" i="3" s="1"/>
  <c r="E5" i="3"/>
  <c r="E6" i="3" s="1"/>
  <c r="D5" i="3"/>
  <c r="D6" i="3" s="1"/>
  <c r="C5" i="3"/>
  <c r="C6" i="3" s="1"/>
  <c r="B5" i="3"/>
  <c r="B6" i="3" s="1"/>
</calcChain>
</file>

<file path=xl/sharedStrings.xml><?xml version="1.0" encoding="utf-8"?>
<sst xmlns="http://schemas.openxmlformats.org/spreadsheetml/2006/main" count="316" uniqueCount="127">
  <si>
    <t>导出者</t>
  </si>
  <si>
    <t>Count</t>
  </si>
  <si>
    <t>SheetName</t>
  </si>
  <si>
    <t>TargetDIR</t>
  </si>
  <si>
    <t>StringDIR</t>
  </si>
  <si>
    <t>注释</t>
  </si>
  <si>
    <t>*</t>
  </si>
  <si>
    <t>INT</t>
  </si>
  <si>
    <t>默认值</t>
  </si>
  <si>
    <t>ID</t>
  </si>
  <si>
    <t>*</t>
    <phoneticPr fontId="26" type="noConversion"/>
  </si>
  <si>
    <t>*</t>
    <phoneticPr fontId="26" type="noConversion"/>
  </si>
  <si>
    <t>全部导出</t>
    <phoneticPr fontId="26" type="noConversion"/>
  </si>
  <si>
    <t>导出/server</t>
    <phoneticPr fontId="26" type="noConversion"/>
  </si>
  <si>
    <t>STRING</t>
    <phoneticPr fontId="28" type="noConversion"/>
  </si>
  <si>
    <t>ChapterBaseCfg</t>
  </si>
  <si>
    <t>..\..\DataServer\China\</t>
    <phoneticPr fontId="28" type="noConversion"/>
  </si>
  <si>
    <t>章信息</t>
    <phoneticPr fontId="28" type="noConversion"/>
  </si>
  <si>
    <t>开发环境</t>
  </si>
  <si>
    <t>INT</t>
    <phoneticPr fontId="28" type="noConversion"/>
  </si>
  <si>
    <t>STRING</t>
    <phoneticPr fontId="28" type="noConversion"/>
  </si>
  <si>
    <t>STRING</t>
    <phoneticPr fontId="28" type="noConversion"/>
  </si>
  <si>
    <t>ChapterName</t>
    <phoneticPr fontId="28" type="noConversion"/>
  </si>
  <si>
    <t>SectionNum</t>
    <phoneticPr fontId="28" type="noConversion"/>
  </si>
  <si>
    <t>HideSectionNum</t>
    <phoneticPr fontId="28" type="noConversion"/>
  </si>
  <si>
    <t>NeceUnlock</t>
    <phoneticPr fontId="28" type="noConversion"/>
  </si>
  <si>
    <t>SelectUnlock</t>
    <phoneticPr fontId="28" type="noConversion"/>
  </si>
  <si>
    <t>Photo</t>
    <phoneticPr fontId="28" type="noConversion"/>
  </si>
  <si>
    <t>AwardInfo</t>
    <phoneticPr fontId="28" type="noConversion"/>
  </si>
  <si>
    <t>HidAwardInfo</t>
    <phoneticPr fontId="28" type="noConversion"/>
  </si>
  <si>
    <t>Positon</t>
    <phoneticPr fontId="28" type="noConversion"/>
  </si>
  <si>
    <t>DialogueID</t>
    <phoneticPr fontId="28" type="noConversion"/>
  </si>
  <si>
    <t>章索引</t>
    <phoneticPr fontId="28" type="noConversion"/>
  </si>
  <si>
    <t>章名称</t>
    <phoneticPr fontId="28" type="noConversion"/>
  </si>
  <si>
    <t>小节数量</t>
    <phoneticPr fontId="28" type="noConversion"/>
  </si>
  <si>
    <t>隐藏节点数量</t>
    <phoneticPr fontId="28" type="noConversion"/>
  </si>
  <si>
    <t>必要解锁条件</t>
    <phoneticPr fontId="28" type="noConversion"/>
  </si>
  <si>
    <t>选择性解锁条件</t>
    <phoneticPr fontId="28" type="noConversion"/>
  </si>
  <si>
    <t>图片</t>
    <phoneticPr fontId="28" type="noConversion"/>
  </si>
  <si>
    <t>普通通关奖励信息</t>
    <phoneticPr fontId="28" type="noConversion"/>
  </si>
  <si>
    <t>隐藏通关奖励信息</t>
    <phoneticPr fontId="28" type="noConversion"/>
  </si>
  <si>
    <t>坐标</t>
    <phoneticPr fontId="28" type="noConversion"/>
  </si>
  <si>
    <t>首次进入对白id</t>
    <phoneticPr fontId="28" type="noConversion"/>
  </si>
  <si>
    <t>*</t>
    <phoneticPr fontId="28" type="noConversion"/>
  </si>
  <si>
    <t>1至100之和：</t>
    <phoneticPr fontId="26" type="noConversion"/>
  </si>
  <si>
    <t>client</t>
    <phoneticPr fontId="26" type="noConversion"/>
  </si>
  <si>
    <t>ui/mainstory|main_story_site01</t>
    <phoneticPr fontId="26" type="noConversion"/>
  </si>
  <si>
    <t>ui/mainstory|main_story_site02</t>
  </si>
  <si>
    <t>ui/mainstory|main_story_site03</t>
  </si>
  <si>
    <t>ui/mainstory|main_story_site04</t>
  </si>
  <si>
    <t>ui/mainstory|main_story_site05</t>
  </si>
  <si>
    <t>ui/mainstory|main_story_site06</t>
  </si>
  <si>
    <t>ui/mainstory|main_story_site07</t>
  </si>
  <si>
    <t>ui/mainstory|main_story_site08</t>
  </si>
  <si>
    <t>名字显示位置</t>
    <phoneticPr fontId="28" type="noConversion"/>
  </si>
  <si>
    <t>STRING</t>
    <phoneticPr fontId="28" type="noConversion"/>
  </si>
  <si>
    <t>Left</t>
    <phoneticPr fontId="28" type="noConversion"/>
  </si>
  <si>
    <t>98|75|-102</t>
    <phoneticPr fontId="26" type="noConversion"/>
  </si>
  <si>
    <t>-175|3|160</t>
    <phoneticPr fontId="26" type="noConversion"/>
  </si>
  <si>
    <t>ui/mainstory|main_story_site08</t>
    <phoneticPr fontId="26" type="noConversion"/>
  </si>
  <si>
    <t>塞翁失马</t>
    <phoneticPr fontId="28" type="noConversion"/>
  </si>
  <si>
    <t>373|231</t>
    <phoneticPr fontId="28" type="noConversion"/>
  </si>
  <si>
    <t>150|-165</t>
    <phoneticPr fontId="28" type="noConversion"/>
  </si>
  <si>
    <t>-395|-592</t>
    <phoneticPr fontId="28" type="noConversion"/>
  </si>
  <si>
    <t>-233|-845</t>
    <phoneticPr fontId="28" type="noConversion"/>
  </si>
  <si>
    <t>-735|-752</t>
    <phoneticPr fontId="28" type="noConversion"/>
  </si>
  <si>
    <t>-363|-229</t>
    <phoneticPr fontId="28" type="noConversion"/>
  </si>
  <si>
    <t>-70|295</t>
    <phoneticPr fontId="28" type="noConversion"/>
  </si>
  <si>
    <t>105|594</t>
    <phoneticPr fontId="28" type="noConversion"/>
  </si>
  <si>
    <t>651|492</t>
    <phoneticPr fontId="28" type="noConversion"/>
  </si>
  <si>
    <t>785|145</t>
    <phoneticPr fontId="28" type="noConversion"/>
  </si>
  <si>
    <t>299|-519</t>
    <phoneticPr fontId="28" type="noConversion"/>
  </si>
  <si>
    <t>551|-794</t>
    <phoneticPr fontId="28" type="noConversion"/>
  </si>
  <si>
    <t>-866|-333</t>
    <phoneticPr fontId="28" type="noConversion"/>
  </si>
  <si>
    <t>882|749</t>
    <phoneticPr fontId="28" type="noConversion"/>
  </si>
  <si>
    <t>353|850</t>
    <phoneticPr fontId="28" type="noConversion"/>
  </si>
  <si>
    <t>-222|807</t>
    <phoneticPr fontId="28" type="noConversion"/>
  </si>
  <si>
    <t>-660|711</t>
    <phoneticPr fontId="28" type="noConversion"/>
  </si>
  <si>
    <t>659|-194</t>
    <phoneticPr fontId="28" type="noConversion"/>
  </si>
  <si>
    <t>-796|344</t>
    <phoneticPr fontId="28" type="noConversion"/>
  </si>
  <si>
    <t>-670|9</t>
    <phoneticPr fontId="28" type="noConversion"/>
  </si>
  <si>
    <t>兵临城下</t>
  </si>
  <si>
    <t>水落石出</t>
    <phoneticPr fontId="28" type="noConversion"/>
  </si>
  <si>
    <t>无疾而终</t>
    <phoneticPr fontId="28" type="noConversion"/>
  </si>
  <si>
    <t>只影谁去</t>
    <phoneticPr fontId="28" type="noConversion"/>
  </si>
  <si>
    <t>疏影横斜</t>
    <phoneticPr fontId="28" type="noConversion"/>
  </si>
  <si>
    <t>不告而别</t>
    <phoneticPr fontId="28" type="noConversion"/>
  </si>
  <si>
    <t>进退维谷</t>
    <phoneticPr fontId="28" type="noConversion"/>
  </si>
  <si>
    <t>良辰美景</t>
    <phoneticPr fontId="28" type="noConversion"/>
  </si>
  <si>
    <t>Help</t>
    <phoneticPr fontId="28" type="noConversion"/>
  </si>
  <si>
    <t>帮助</t>
    <phoneticPr fontId="28" type="noConversion"/>
  </si>
  <si>
    <t>CostItem</t>
    <phoneticPr fontId="28" type="noConversion"/>
  </si>
  <si>
    <t>消耗道具</t>
    <phoneticPr fontId="28" type="noConversion"/>
  </si>
  <si>
    <t>SectionID</t>
    <phoneticPr fontId="26" type="noConversion"/>
  </si>
  <si>
    <t>节id</t>
    <phoneticPr fontId="28" type="noConversion"/>
  </si>
  <si>
    <t>奖励信息</t>
    <phoneticPr fontId="28" type="noConversion"/>
  </si>
  <si>
    <t>SectionProcessAward</t>
  </si>
  <si>
    <t>节进度奖励</t>
    <phoneticPr fontId="26" type="noConversion"/>
  </si>
  <si>
    <t>ChapterID</t>
    <phoneticPr fontId="26" type="noConversion"/>
  </si>
  <si>
    <t>章ID</t>
    <phoneticPr fontId="28" type="noConversion"/>
  </si>
  <si>
    <t>索引</t>
    <phoneticPr fontId="28" type="noConversion"/>
  </si>
  <si>
    <t>1;1;1000</t>
    <phoneticPr fontId="26" type="noConversion"/>
  </si>
  <si>
    <t>1;1;2000</t>
    <phoneticPr fontId="26" type="noConversion"/>
  </si>
  <si>
    <t>1;1;1000</t>
    <phoneticPr fontId="26" type="noConversion"/>
  </si>
  <si>
    <t>揭开真相</t>
  </si>
  <si>
    <t>揭开真相</t>
    <phoneticPr fontId="26" type="noConversion"/>
  </si>
  <si>
    <t>追踪线索</t>
  </si>
  <si>
    <t>玄门恩怨</t>
  </si>
  <si>
    <t>玄门恩怨</t>
    <phoneticPr fontId="26" type="noConversion"/>
  </si>
  <si>
    <t>女儿风铃</t>
  </si>
  <si>
    <t>女儿风铃</t>
    <phoneticPr fontId="26" type="noConversion"/>
  </si>
  <si>
    <t>公主魔怔</t>
  </si>
  <si>
    <t>公主魔怔</t>
    <phoneticPr fontId="26" type="noConversion"/>
  </si>
  <si>
    <t>年终考核</t>
  </si>
  <si>
    <t>年终考核</t>
    <phoneticPr fontId="26" type="noConversion"/>
  </si>
  <si>
    <t>初雪落下</t>
  </si>
  <si>
    <t>初雪落下</t>
    <phoneticPr fontId="26" type="noConversion"/>
  </si>
  <si>
    <t>煮酒风波</t>
  </si>
  <si>
    <t>煮酒风波</t>
    <phoneticPr fontId="26" type="noConversion"/>
  </si>
  <si>
    <t>神泉干涸</t>
  </si>
  <si>
    <t>神泉干涸</t>
    <phoneticPr fontId="26" type="noConversion"/>
  </si>
  <si>
    <t>新年伊始</t>
  </si>
  <si>
    <t>新年伊始</t>
    <phoneticPr fontId="26" type="noConversion"/>
  </si>
  <si>
    <t>风云渐起</t>
    <phoneticPr fontId="26" type="noConversion"/>
  </si>
  <si>
    <t>风云渐起</t>
    <phoneticPr fontId="26" type="noConversion"/>
  </si>
  <si>
    <t>镇河之宝</t>
    <phoneticPr fontId="26" type="noConversion"/>
  </si>
  <si>
    <t>33;55104;1</t>
    <phoneticPr fontId="2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</si>
</sst>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_ [$¥-804]* #,##0.000_ ;_ [$¥-804]* \-#,##0.000_ ;_ [$¥-804]* &quot;-&quot;??_ ;_ @_ "/>
  </numFmts>
  <fonts count="33" x14ac:knownFonts="1">
    <font>
      <sz val="11"/>
      <color indexed="8"/>
      <name val="宋体"/>
      <charset val="134"/>
    </font>
    <font>
      <sz val="11"/>
      <color indexed="8"/>
      <name val="宋体"/>
      <family val="3"/>
      <charset val="134"/>
    </font>
    <font>
      <sz val="8"/>
      <color indexed="42"/>
      <name val="微软雅黑"/>
      <family val="2"/>
      <charset val="134"/>
    </font>
    <font>
      <b/>
      <sz val="8"/>
      <color indexed="42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sz val="11"/>
      <color indexed="42"/>
      <name val="微软雅黑"/>
      <family val="2"/>
      <charset val="134"/>
    </font>
    <font>
      <sz val="11"/>
      <color indexed="12"/>
      <name val="微软雅黑"/>
      <family val="2"/>
      <charset val="134"/>
    </font>
    <font>
      <sz val="9"/>
      <color indexed="8"/>
      <name val="微软雅黑"/>
      <family val="2"/>
      <charset val="134"/>
    </font>
    <font>
      <sz val="9"/>
      <color indexed="42"/>
      <name val="微软雅黑"/>
      <family val="2"/>
      <charset val="134"/>
    </font>
    <font>
      <sz val="9"/>
      <color indexed="10"/>
      <name val="微软雅黑"/>
      <family val="2"/>
      <charset val="134"/>
    </font>
    <font>
      <sz val="9"/>
      <color indexed="17"/>
      <name val="微软雅黑"/>
      <family val="2"/>
      <charset val="134"/>
    </font>
    <font>
      <b/>
      <sz val="11"/>
      <color indexed="62"/>
      <name val="微软雅黑"/>
      <family val="2"/>
      <charset val="134"/>
    </font>
    <font>
      <b/>
      <sz val="9"/>
      <color indexed="63"/>
      <name val="微软雅黑"/>
      <family val="2"/>
      <charset val="134"/>
    </font>
    <font>
      <sz val="9"/>
      <color indexed="52"/>
      <name val="微软雅黑"/>
      <family val="2"/>
      <charset val="134"/>
    </font>
    <font>
      <b/>
      <sz val="9"/>
      <color indexed="8"/>
      <name val="微软雅黑"/>
      <family val="2"/>
      <charset val="134"/>
    </font>
    <font>
      <sz val="9"/>
      <color indexed="60"/>
      <name val="微软雅黑"/>
      <family val="2"/>
      <charset val="134"/>
    </font>
    <font>
      <b/>
      <sz val="9"/>
      <color indexed="52"/>
      <name val="微软雅黑"/>
      <family val="2"/>
      <charset val="134"/>
    </font>
    <font>
      <b/>
      <sz val="18"/>
      <color indexed="62"/>
      <name val="宋体"/>
      <family val="3"/>
      <charset val="134"/>
    </font>
    <font>
      <i/>
      <sz val="9"/>
      <color indexed="23"/>
      <name val="微软雅黑"/>
      <family val="2"/>
      <charset val="134"/>
    </font>
    <font>
      <b/>
      <sz val="13"/>
      <color indexed="62"/>
      <name val="微软雅黑"/>
      <family val="2"/>
      <charset val="134"/>
    </font>
    <font>
      <b/>
      <sz val="9"/>
      <color indexed="42"/>
      <name val="微软雅黑"/>
      <family val="2"/>
      <charset val="134"/>
    </font>
    <font>
      <b/>
      <sz val="15"/>
      <color indexed="62"/>
      <name val="微软雅黑"/>
      <family val="2"/>
      <charset val="134"/>
    </font>
    <font>
      <u/>
      <sz val="11"/>
      <color indexed="12"/>
      <name val="宋体"/>
      <family val="3"/>
      <charset val="134"/>
    </font>
    <font>
      <sz val="9"/>
      <color indexed="62"/>
      <name val="微软雅黑"/>
      <family val="2"/>
      <charset val="134"/>
    </font>
    <font>
      <sz val="9"/>
      <name val="宋体"/>
      <family val="3"/>
      <charset val="134"/>
    </font>
    <font>
      <b/>
      <sz val="9"/>
      <color theme="0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theme="1"/>
      <name val="微软雅黑"/>
      <family val="2"/>
      <charset val="134"/>
    </font>
    <font>
      <sz val="11"/>
      <color theme="10"/>
      <name val="微软雅黑"/>
      <family val="2"/>
      <charset val="134"/>
    </font>
    <font>
      <sz val="11"/>
      <color theme="1"/>
      <name val="微软雅黑"/>
      <family val="2"/>
      <charset val="134"/>
    </font>
    <font>
      <sz val="9"/>
      <color rgb="FF000000"/>
      <name val="微软雅黑"/>
      <family val="2"/>
      <charset val="134"/>
    </font>
  </fonts>
  <fills count="28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2065187536243"/>
        <bgColor indexed="64"/>
      </patternFill>
    </fill>
    <fill>
      <patternFill patternType="solid">
        <fgColor rgb="FFFCD5B4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thick">
        <color indexed="4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358">
    <xf numFmtId="176" fontId="0" fillId="0" borderId="0">
      <alignment vertical="center"/>
    </xf>
    <xf numFmtId="0" fontId="20" fillId="0" borderId="0" applyNumberFormat="0" applyFill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176" fontId="1" fillId="0" borderId="0">
      <alignment vertical="center"/>
    </xf>
    <xf numFmtId="0" fontId="9" fillId="19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3" fillId="0" borderId="8" applyNumberFormat="0" applyFill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176" fontId="1" fillId="0" borderId="0">
      <alignment vertical="center"/>
    </xf>
    <xf numFmtId="0" fontId="19" fillId="0" borderId="0" applyNumberFormat="0" applyFill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4" fillId="12" borderId="4" applyNumberFormat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4" fillId="12" borderId="4" applyNumberFormat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14" fillId="12" borderId="4" applyNumberFormat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176" fontId="1" fillId="0" borderId="0">
      <alignment vertical="center"/>
    </xf>
    <xf numFmtId="0" fontId="9" fillId="19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176" fontId="1" fillId="0" borderId="0">
      <alignment vertical="center"/>
    </xf>
    <xf numFmtId="0" fontId="9" fillId="4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4" fillId="12" borderId="4" applyNumberFormat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14" fillId="12" borderId="4" applyNumberForma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4" fillId="12" borderId="4" applyNumberFormat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176" fontId="1" fillId="0" borderId="0">
      <alignment vertical="center"/>
    </xf>
    <xf numFmtId="0" fontId="9" fillId="19" borderId="0" applyNumberFormat="0" applyBorder="0" applyAlignment="0" applyProtection="0">
      <alignment vertical="center"/>
    </xf>
    <xf numFmtId="176" fontId="1" fillId="0" borderId="0">
      <alignment vertical="center"/>
    </xf>
    <xf numFmtId="0" fontId="9" fillId="19" borderId="0" applyNumberFormat="0" applyBorder="0" applyAlignment="0" applyProtection="0">
      <alignment vertical="center"/>
    </xf>
    <xf numFmtId="176" fontId="1" fillId="0" borderId="0">
      <alignment vertical="center"/>
    </xf>
    <xf numFmtId="0" fontId="10" fillId="14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176" fontId="1" fillId="0" borderId="0">
      <alignment vertical="center"/>
    </xf>
    <xf numFmtId="0" fontId="10" fillId="14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1" fillId="20" borderId="12" applyNumberFormat="0" applyFont="0" applyAlignment="0" applyProtection="0">
      <alignment vertical="center"/>
    </xf>
    <xf numFmtId="176" fontId="1" fillId="0" borderId="0">
      <alignment vertical="center"/>
    </xf>
    <xf numFmtId="0" fontId="10" fillId="14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176" fontId="1" fillId="0" borderId="0">
      <alignment vertical="center"/>
    </xf>
    <xf numFmtId="0" fontId="10" fillId="14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176" fontId="1" fillId="0" borderId="0">
      <alignment vertical="center"/>
    </xf>
    <xf numFmtId="0" fontId="10" fillId="19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176" fontId="1" fillId="0" borderId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18" fillId="12" borderId="7" applyNumberFormat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8" fillId="12" borderId="7" applyNumberFormat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8" fillId="12" borderId="7" applyNumberFormat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22" fillId="18" borderId="10" applyNumberFormat="0" applyAlignment="0" applyProtection="0">
      <alignment vertical="center"/>
    </xf>
    <xf numFmtId="0" fontId="18" fillId="12" borderId="7" applyNumberFormat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22" fillId="18" borderId="10" applyNumberFormat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22" fillId="18" borderId="10" applyNumberFormat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22" fillId="18" borderId="10" applyNumberFormat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18" fillId="12" borderId="7" applyNumberFormat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1" fillId="20" borderId="12" applyNumberFormat="0" applyFont="0" applyAlignment="0" applyProtection="0">
      <alignment vertical="center"/>
    </xf>
    <xf numFmtId="0" fontId="9" fillId="11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1" fillId="20" borderId="12" applyNumberFormat="0" applyFont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23" fillId="0" borderId="11" applyNumberFormat="0" applyFill="0" applyAlignment="0" applyProtection="0">
      <alignment vertical="center"/>
    </xf>
    <xf numFmtId="0" fontId="23" fillId="0" borderId="11" applyNumberFormat="0" applyFill="0" applyAlignment="0" applyProtection="0">
      <alignment vertical="center"/>
    </xf>
    <xf numFmtId="0" fontId="23" fillId="0" borderId="11" applyNumberFormat="0" applyFill="0" applyAlignment="0" applyProtection="0">
      <alignment vertical="center"/>
    </xf>
    <xf numFmtId="0" fontId="23" fillId="0" borderId="11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23" fillId="0" borderId="11" applyNumberFormat="0" applyFill="0" applyAlignment="0" applyProtection="0">
      <alignment vertical="center"/>
    </xf>
    <xf numFmtId="0" fontId="23" fillId="0" borderId="11" applyNumberFormat="0" applyFill="0" applyAlignment="0" applyProtection="0">
      <alignment vertical="center"/>
    </xf>
    <xf numFmtId="0" fontId="21" fillId="0" borderId="9" applyNumberFormat="0" applyFill="0" applyAlignment="0" applyProtection="0">
      <alignment vertical="center"/>
    </xf>
    <xf numFmtId="0" fontId="21" fillId="0" borderId="9" applyNumberFormat="0" applyFill="0" applyAlignment="0" applyProtection="0">
      <alignment vertical="center"/>
    </xf>
    <xf numFmtId="0" fontId="21" fillId="0" borderId="9" applyNumberFormat="0" applyFill="0" applyAlignment="0" applyProtection="0">
      <alignment vertical="center"/>
    </xf>
    <xf numFmtId="0" fontId="21" fillId="0" borderId="9" applyNumberFormat="0" applyFill="0" applyAlignment="0" applyProtection="0">
      <alignment vertical="center"/>
    </xf>
    <xf numFmtId="176" fontId="1" fillId="0" borderId="0">
      <alignment vertical="center"/>
    </xf>
    <xf numFmtId="0" fontId="21" fillId="0" borderId="9" applyNumberFormat="0" applyFill="0" applyAlignment="0" applyProtection="0">
      <alignment vertical="center"/>
    </xf>
    <xf numFmtId="0" fontId="21" fillId="0" borderId="9" applyNumberFormat="0" applyFill="0" applyAlignment="0" applyProtection="0">
      <alignment vertical="center"/>
    </xf>
    <xf numFmtId="0" fontId="13" fillId="0" borderId="8" applyNumberFormat="0" applyFill="0" applyAlignment="0" applyProtection="0">
      <alignment vertical="center"/>
    </xf>
    <xf numFmtId="0" fontId="13" fillId="0" borderId="8" applyNumberFormat="0" applyFill="0" applyAlignment="0" applyProtection="0">
      <alignment vertical="center"/>
    </xf>
    <xf numFmtId="0" fontId="13" fillId="0" borderId="8" applyNumberFormat="0" applyFill="0" applyAlignment="0" applyProtection="0">
      <alignment vertical="center"/>
    </xf>
    <xf numFmtId="0" fontId="13" fillId="0" borderId="8" applyNumberFormat="0" applyFill="0" applyAlignment="0" applyProtection="0">
      <alignment vertical="center"/>
    </xf>
    <xf numFmtId="0" fontId="13" fillId="0" borderId="8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176" fontId="9" fillId="0" borderId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0" fontId="12" fillId="10" borderId="0" applyNumberFormat="0" applyBorder="0" applyAlignment="0" applyProtection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0" fontId="17" fillId="5" borderId="0" applyNumberFormat="0" applyBorder="0" applyAlignment="0" applyProtection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0" fontId="10" fillId="15" borderId="0" applyNumberFormat="0" applyBorder="0" applyAlignment="0" applyProtection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176" fontId="9" fillId="0" borderId="0">
      <alignment vertical="center"/>
    </xf>
    <xf numFmtId="176" fontId="1" fillId="0" borderId="0">
      <alignment vertical="center"/>
    </xf>
    <xf numFmtId="176" fontId="9" fillId="0" borderId="0">
      <alignment vertical="center"/>
    </xf>
    <xf numFmtId="176" fontId="9" fillId="0" borderId="0">
      <alignment vertical="center"/>
    </xf>
    <xf numFmtId="176" fontId="9" fillId="0" borderId="0">
      <alignment vertical="center"/>
    </xf>
    <xf numFmtId="176" fontId="9" fillId="0" borderId="0">
      <alignment vertical="center"/>
    </xf>
    <xf numFmtId="176" fontId="9" fillId="0" borderId="0">
      <alignment vertical="center"/>
    </xf>
    <xf numFmtId="0" fontId="25" fillId="6" borderId="7" applyNumberFormat="0" applyAlignment="0" applyProtection="0">
      <alignment vertical="center"/>
    </xf>
    <xf numFmtId="176" fontId="9" fillId="0" borderId="0">
      <alignment vertical="center"/>
    </xf>
    <xf numFmtId="176" fontId="9" fillId="0" borderId="0">
      <alignment vertical="center"/>
    </xf>
    <xf numFmtId="176" fontId="9" fillId="0" borderId="0">
      <alignment vertical="center"/>
    </xf>
    <xf numFmtId="176" fontId="1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176" fontId="1" fillId="0" borderId="0">
      <alignment vertical="center"/>
    </xf>
    <xf numFmtId="176" fontId="1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8" fillId="12" borderId="7" applyNumberFormat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22" fillId="18" borderId="10" applyNumberFormat="0" applyAlignment="0" applyProtection="0">
      <alignment vertical="center"/>
    </xf>
    <xf numFmtId="0" fontId="22" fillId="18" borderId="10" applyNumberFormat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" fillId="20" borderId="12" applyNumberFormat="0" applyFont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" fillId="20" borderId="12" applyNumberFormat="0" applyFont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25" fillId="6" borderId="7" applyNumberFormat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25" fillId="6" borderId="7" applyNumberFormat="0" applyAlignment="0" applyProtection="0">
      <alignment vertical="center"/>
    </xf>
    <xf numFmtId="0" fontId="25" fillId="6" borderId="7" applyNumberFormat="0" applyAlignment="0" applyProtection="0">
      <alignment vertical="center"/>
    </xf>
    <xf numFmtId="0" fontId="25" fillId="6" borderId="7" applyNumberFormat="0" applyAlignment="0" applyProtection="0">
      <alignment vertical="center"/>
    </xf>
    <xf numFmtId="0" fontId="25" fillId="6" borderId="7" applyNumberFormat="0" applyAlignment="0" applyProtection="0">
      <alignment vertical="center"/>
    </xf>
    <xf numFmtId="0" fontId="1" fillId="20" borderId="12" applyNumberFormat="0" applyFont="0" applyAlignment="0" applyProtection="0">
      <alignment vertical="center"/>
    </xf>
    <xf numFmtId="0" fontId="1" fillId="20" borderId="12" applyNumberFormat="0" applyFont="0" applyAlignment="0" applyProtection="0">
      <alignment vertical="center"/>
    </xf>
    <xf numFmtId="0" fontId="1" fillId="20" borderId="12" applyNumberFormat="0" applyFont="0" applyAlignment="0" applyProtection="0">
      <alignment vertical="center"/>
    </xf>
    <xf numFmtId="0" fontId="1" fillId="20" borderId="12" applyNumberFormat="0" applyFont="0" applyAlignment="0" applyProtection="0">
      <alignment vertical="center"/>
    </xf>
    <xf numFmtId="0" fontId="1" fillId="20" borderId="12" applyNumberFormat="0" applyFont="0" applyAlignment="0" applyProtection="0">
      <alignment vertical="center"/>
    </xf>
  </cellStyleXfs>
  <cellXfs count="33">
    <xf numFmtId="176" fontId="0" fillId="0" borderId="0" xfId="0">
      <alignment vertical="center"/>
    </xf>
    <xf numFmtId="0" fontId="5" fillId="0" borderId="1" xfId="0" applyNumberFormat="1" applyFont="1" applyFill="1" applyBorder="1" applyAlignment="1">
      <alignment horizontal="center" vertical="center"/>
    </xf>
    <xf numFmtId="0" fontId="3" fillId="2" borderId="1" xfId="0" applyNumberFormat="1" applyFont="1" applyFill="1" applyBorder="1" applyAlignment="1">
      <alignment horizontal="center" vertical="center"/>
    </xf>
    <xf numFmtId="0" fontId="2" fillId="2" borderId="1" xfId="0" applyNumberFormat="1" applyFont="1" applyFill="1" applyBorder="1" applyAlignment="1">
      <alignment horizontal="center" vertical="center"/>
    </xf>
    <xf numFmtId="0" fontId="4" fillId="0" borderId="1" xfId="0" applyNumberFormat="1" applyFont="1" applyBorder="1" applyAlignment="1">
      <alignment horizontal="center" vertical="center"/>
    </xf>
    <xf numFmtId="0" fontId="5" fillId="3" borderId="1" xfId="0" applyNumberFormat="1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4" fillId="0" borderId="2" xfId="0" applyNumberFormat="1" applyFont="1" applyBorder="1" applyAlignment="1">
      <alignment horizontal="center" vertical="center"/>
    </xf>
    <xf numFmtId="0" fontId="4" fillId="0" borderId="3" xfId="0" applyNumberFormat="1" applyFont="1" applyBorder="1" applyAlignment="1">
      <alignment horizontal="center" vertical="center"/>
    </xf>
    <xf numFmtId="0" fontId="6" fillId="0" borderId="1" xfId="0" applyNumberFormat="1" applyFont="1" applyBorder="1" applyAlignment="1">
      <alignment horizontal="center" vertical="center"/>
    </xf>
    <xf numFmtId="0" fontId="7" fillId="2" borderId="1" xfId="0" applyNumberFormat="1" applyFont="1" applyFill="1" applyBorder="1" applyAlignment="1">
      <alignment horizontal="center" vertical="center"/>
    </xf>
    <xf numFmtId="0" fontId="6" fillId="3" borderId="1" xfId="0" applyNumberFormat="1" applyFont="1" applyFill="1" applyBorder="1" applyAlignment="1">
      <alignment horizontal="center" vertical="center"/>
    </xf>
    <xf numFmtId="0" fontId="6" fillId="5" borderId="1" xfId="0" applyNumberFormat="1" applyFont="1" applyFill="1" applyBorder="1" applyAlignment="1">
      <alignment horizontal="center" vertical="center"/>
    </xf>
    <xf numFmtId="0" fontId="8" fillId="6" borderId="1" xfId="291" applyNumberFormat="1" applyFont="1" applyFill="1" applyBorder="1" applyAlignment="1">
      <alignment horizontal="center" vertical="center"/>
    </xf>
    <xf numFmtId="0" fontId="6" fillId="7" borderId="1" xfId="0" applyNumberFormat="1" applyFont="1" applyFill="1" applyBorder="1" applyAlignment="1">
      <alignment horizontal="left" vertical="center" shrinkToFit="1"/>
    </xf>
    <xf numFmtId="0" fontId="6" fillId="6" borderId="1" xfId="0" applyNumberFormat="1" applyFont="1" applyFill="1" applyBorder="1" applyAlignment="1">
      <alignment horizontal="center" vertical="center"/>
    </xf>
    <xf numFmtId="0" fontId="27" fillId="21" borderId="1" xfId="263" applyNumberFormat="1" applyFont="1" applyFill="1" applyBorder="1" applyAlignment="1">
      <alignment horizontal="center" vertical="center" shrinkToFit="1"/>
    </xf>
    <xf numFmtId="0" fontId="29" fillId="0" borderId="1" xfId="263" applyNumberFormat="1" applyFont="1" applyBorder="1" applyAlignment="1">
      <alignment horizontal="center" vertical="center" shrinkToFit="1"/>
    </xf>
    <xf numFmtId="0" fontId="29" fillId="22" borderId="1" xfId="263" applyNumberFormat="1" applyFont="1" applyFill="1" applyBorder="1" applyAlignment="1">
      <alignment horizontal="center" vertical="center" shrinkToFit="1"/>
    </xf>
    <xf numFmtId="21" fontId="29" fillId="23" borderId="1" xfId="263" applyNumberFormat="1" applyFont="1" applyFill="1" applyBorder="1" applyAlignment="1">
      <alignment horizontal="center" vertical="center" shrinkToFit="1"/>
    </xf>
    <xf numFmtId="0" fontId="29" fillId="23" borderId="1" xfId="263" applyNumberFormat="1" applyFont="1" applyFill="1" applyBorder="1" applyAlignment="1">
      <alignment horizontal="center" vertical="center" shrinkToFit="1"/>
    </xf>
    <xf numFmtId="0" fontId="30" fillId="24" borderId="1" xfId="291" applyNumberFormat="1" applyFont="1" applyFill="1" applyBorder="1" applyAlignment="1">
      <alignment horizontal="center" vertical="center"/>
    </xf>
    <xf numFmtId="0" fontId="31" fillId="23" borderId="1" xfId="0" applyNumberFormat="1" applyFont="1" applyFill="1" applyBorder="1" applyAlignment="1">
      <alignment horizontal="center" vertical="center"/>
    </xf>
    <xf numFmtId="0" fontId="31" fillId="22" borderId="1" xfId="0" applyNumberFormat="1" applyFont="1" applyFill="1" applyBorder="1" applyAlignment="1">
      <alignment horizontal="center" vertical="center"/>
    </xf>
    <xf numFmtId="49" fontId="27" fillId="21" borderId="1" xfId="263" applyNumberFormat="1" applyFont="1" applyFill="1" applyBorder="1" applyAlignment="1">
      <alignment horizontal="center" vertical="center" shrinkToFit="1"/>
    </xf>
    <xf numFmtId="0" fontId="32" fillId="25" borderId="3" xfId="0" applyNumberFormat="1" applyFont="1" applyFill="1" applyBorder="1" applyAlignment="1">
      <alignment horizontal="center" vertical="center" shrinkToFit="1"/>
    </xf>
    <xf numFmtId="49" fontId="29" fillId="23" borderId="1" xfId="263" applyNumberFormat="1" applyFont="1" applyFill="1" applyBorder="1" applyAlignment="1">
      <alignment horizontal="center" vertical="center" shrinkToFit="1"/>
    </xf>
    <xf numFmtId="49" fontId="5" fillId="0" borderId="1" xfId="0" applyNumberFormat="1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horizontal="center" vertical="center"/>
    </xf>
    <xf numFmtId="0" fontId="29" fillId="26" borderId="1" xfId="263" applyNumberFormat="1" applyFont="1" applyFill="1" applyBorder="1" applyAlignment="1">
      <alignment horizontal="center" vertical="center" shrinkToFit="1"/>
    </xf>
    <xf numFmtId="49" fontId="4" fillId="27" borderId="1" xfId="0" applyNumberFormat="1" applyFont="1" applyFill="1" applyBorder="1" applyAlignment="1">
      <alignment horizontal="center" vertical="center"/>
    </xf>
    <xf numFmtId="0" fontId="7" fillId="2" borderId="1" xfId="0" applyNumberFormat="1" applyFont="1" applyFill="1" applyBorder="1" applyAlignment="1">
      <alignment horizontal="center" vertical="center"/>
    </xf>
  </cellXfs>
  <cellStyles count="358">
    <cellStyle name="20% - 强调文字颜色 1" xfId="14"/>
    <cellStyle name="20% - 强调文字颜色 1 2" xfId="18"/>
    <cellStyle name="20% - 强调文字颜色 1 2 2" xfId="21"/>
    <cellStyle name="20% - 强调文字颜色 1 2 2 2" xfId="24"/>
    <cellStyle name="20% - 强调文字颜色 1 2 3" xfId="28"/>
    <cellStyle name="20% - 强调文字颜色 1 3" xfId="33"/>
    <cellStyle name="20% - 强调文字颜色 1 3 2" xfId="36"/>
    <cellStyle name="20% - 强调文字颜色 1 4" xfId="39"/>
    <cellStyle name="20% - 强调文字颜色 1 4 2" xfId="42"/>
    <cellStyle name="20% - 强调文字颜色 1 5" xfId="44"/>
    <cellStyle name="20% - 强调文字颜色 1 5 2" xfId="46"/>
    <cellStyle name="20% - 强调文字颜色 1 6" xfId="48"/>
    <cellStyle name="20% - 强调文字颜色 2" xfId="51"/>
    <cellStyle name="20% - 强调文字颜色 2 2" xfId="53"/>
    <cellStyle name="20% - 强调文字颜色 2 2 2" xfId="2"/>
    <cellStyle name="20% - 强调文字颜色 2 2 2 2" xfId="54"/>
    <cellStyle name="20% - 强调文字颜色 2 2 3" xfId="41"/>
    <cellStyle name="20% - 强调文字颜色 2 3" xfId="56"/>
    <cellStyle name="20% - 强调文字颜色 2 3 2" xfId="57"/>
    <cellStyle name="20% - 强调文字颜色 2 4" xfId="58"/>
    <cellStyle name="20% - 强调文字颜色 2 4 2" xfId="61"/>
    <cellStyle name="20% - 强调文字颜色 2 5" xfId="62"/>
    <cellStyle name="20% - 强调文字颜色 2 5 2" xfId="63"/>
    <cellStyle name="20% - 强调文字颜色 2 6" xfId="55"/>
    <cellStyle name="20% - 强调文字颜色 3" xfId="16"/>
    <cellStyle name="20% - 强调文字颜色 3 2" xfId="20"/>
    <cellStyle name="20% - 强调文字颜色 3 2 2" xfId="22"/>
    <cellStyle name="20% - 强调文字颜色 3 2 2 2" xfId="66"/>
    <cellStyle name="20% - 强调文字颜色 3 2 3" xfId="59"/>
    <cellStyle name="20% - 强调文字颜色 3 3" xfId="26"/>
    <cellStyle name="20% - 强调文字颜色 3 3 2" xfId="69"/>
    <cellStyle name="20% - 强调文字颜色 3 4" xfId="71"/>
    <cellStyle name="20% - 强调文字颜色 3 4 2" xfId="74"/>
    <cellStyle name="20% - 强调文字颜色 3 5" xfId="6"/>
    <cellStyle name="20% - 强调文字颜色 3 5 2" xfId="76"/>
    <cellStyle name="20% - 强调文字颜色 3 6" xfId="79"/>
    <cellStyle name="20% - 强调文字颜色 4" xfId="32"/>
    <cellStyle name="20% - 强调文字颜色 4 2" xfId="35"/>
    <cellStyle name="20% - 强调文字颜色 4 2 2" xfId="4"/>
    <cellStyle name="20% - 强调文字颜色 4 2 2 2" xfId="81"/>
    <cellStyle name="20% - 强调文字颜色 4 2 3" xfId="72"/>
    <cellStyle name="20% - 强调文字颜色 4 3" xfId="83"/>
    <cellStyle name="20% - 强调文字颜色 4 3 2" xfId="85"/>
    <cellStyle name="20% - 强调文字颜色 4 4" xfId="88"/>
    <cellStyle name="20% - 强调文字颜色 4 4 2" xfId="12"/>
    <cellStyle name="20% - 强调文字颜色 4 5" xfId="91"/>
    <cellStyle name="20% - 强调文字颜色 4 5 2" xfId="95"/>
    <cellStyle name="20% - 强调文字颜色 4 6" xfId="99"/>
    <cellStyle name="20% - 强调文字颜色 5" xfId="38"/>
    <cellStyle name="20% - 强调文字颜色 5 2" xfId="40"/>
    <cellStyle name="20% - 强调文字颜色 5 2 2" xfId="77"/>
    <cellStyle name="20% - 强调文字颜色 5 2 2 2" xfId="100"/>
    <cellStyle name="20% - 强调文字颜色 5 2 3" xfId="8"/>
    <cellStyle name="20% - 强调文字颜色 5 3" xfId="101"/>
    <cellStyle name="20% - 强调文字颜色 5 3 2" xfId="96"/>
    <cellStyle name="20% - 强调文字颜色 5 4" xfId="65"/>
    <cellStyle name="20% - 强调文字颜色 5 4 2" xfId="103"/>
    <cellStyle name="20% - 强调文字颜色 5 5" xfId="105"/>
    <cellStyle name="20% - 强调文字颜色 5 5 2" xfId="30"/>
    <cellStyle name="20% - 强调文字颜色 5 6" xfId="107"/>
    <cellStyle name="20% - 强调文字颜色 6" xfId="108"/>
    <cellStyle name="20% - 强调文字颜色 6 2" xfId="109"/>
    <cellStyle name="20% - 强调文字颜色 6 2 2" xfId="111"/>
    <cellStyle name="20% - 强调文字颜色 6 2 2 2" xfId="113"/>
    <cellStyle name="20% - 强调文字颜色 6 2 3" xfId="115"/>
    <cellStyle name="20% - 强调文字颜色 6 3" xfId="116"/>
    <cellStyle name="20% - 强调文字颜色 6 3 2" xfId="118"/>
    <cellStyle name="20% - 强调文字颜色 6 4" xfId="120"/>
    <cellStyle name="20% - 强调文字颜色 6 4 2" xfId="123"/>
    <cellStyle name="20% - 强调文字颜色 6 5" xfId="126"/>
    <cellStyle name="20% - 强调文字颜色 6 5 2" xfId="130"/>
    <cellStyle name="20% - 强调文字颜色 6 6" xfId="133"/>
    <cellStyle name="40% - 强调文字颜色 1" xfId="135"/>
    <cellStyle name="40% - 强调文字颜色 1 2" xfId="136"/>
    <cellStyle name="40% - 强调文字颜色 1 2 2" xfId="137"/>
    <cellStyle name="40% - 强调文字颜色 1 2 2 2" xfId="138"/>
    <cellStyle name="40% - 强调文字颜色 1 2 3" xfId="139"/>
    <cellStyle name="40% - 强调文字颜色 1 3" xfId="141"/>
    <cellStyle name="40% - 强调文字颜色 1 3 2" xfId="142"/>
    <cellStyle name="40% - 强调文字颜色 1 4" xfId="143"/>
    <cellStyle name="40% - 强调文字颜色 1 4 2" xfId="144"/>
    <cellStyle name="40% - 强调文字颜色 1 5" xfId="145"/>
    <cellStyle name="40% - 强调文字颜色 1 5 2" xfId="146"/>
    <cellStyle name="40% - 强调文字颜色 1 6" xfId="147"/>
    <cellStyle name="40% - 强调文字颜色 2" xfId="148"/>
    <cellStyle name="40% - 强调文字颜色 2 2" xfId="27"/>
    <cellStyle name="40% - 强调文字颜色 2 2 2" xfId="149"/>
    <cellStyle name="40% - 强调文字颜色 2 2 2 2" xfId="150"/>
    <cellStyle name="40% - 强调文字颜色 2 2 3" xfId="151"/>
    <cellStyle name="40% - 强调文字颜色 2 3" xfId="152"/>
    <cellStyle name="40% - 强调文字颜色 2 3 2" xfId="153"/>
    <cellStyle name="40% - 强调文字颜色 2 4" xfId="154"/>
    <cellStyle name="40% - 强调文字颜色 2 4 2" xfId="155"/>
    <cellStyle name="40% - 强调文字颜色 2 5" xfId="156"/>
    <cellStyle name="40% - 强调文字颜色 2 5 2" xfId="157"/>
    <cellStyle name="40% - 强调文字颜色 2 6" xfId="158"/>
    <cellStyle name="40% - 强调文字颜色 3" xfId="160"/>
    <cellStyle name="40% - 强调文字颜色 3 2" xfId="162"/>
    <cellStyle name="40% - 强调文字颜色 3 2 2" xfId="163"/>
    <cellStyle name="40% - 强调文字颜色 3 2 2 2" xfId="164"/>
    <cellStyle name="40% - 强调文字颜色 3 2 3" xfId="165"/>
    <cellStyle name="40% - 强调文字颜色 3 3" xfId="166"/>
    <cellStyle name="40% - 强调文字颜色 3 3 2" xfId="167"/>
    <cellStyle name="40% - 强调文字颜色 3 4" xfId="168"/>
    <cellStyle name="40% - 强调文字颜色 3 4 2" xfId="169"/>
    <cellStyle name="40% - 强调文字颜色 3 5" xfId="170"/>
    <cellStyle name="40% - 强调文字颜色 3 5 2" xfId="171"/>
    <cellStyle name="40% - 强调文字颜色 3 6" xfId="172"/>
    <cellStyle name="40% - 强调文字颜色 4" xfId="174"/>
    <cellStyle name="40% - 强调文字颜色 4 2" xfId="177"/>
    <cellStyle name="40% - 强调文字颜色 4 2 2" xfId="180"/>
    <cellStyle name="40% - 强调文字颜色 4 2 2 2" xfId="182"/>
    <cellStyle name="40% - 强调文字颜色 4 2 3" xfId="184"/>
    <cellStyle name="40% - 强调文字颜色 4 3" xfId="185"/>
    <cellStyle name="40% - 强调文字颜色 4 3 2" xfId="134"/>
    <cellStyle name="40% - 强调文字颜色 4 4" xfId="110"/>
    <cellStyle name="40% - 强调文字颜色 4 4 2" xfId="112"/>
    <cellStyle name="40% - 强调文字颜色 4 5" xfId="114"/>
    <cellStyle name="40% - 强调文字颜色 4 5 2" xfId="186"/>
    <cellStyle name="40% - 强调文字颜色 4 6" xfId="187"/>
    <cellStyle name="40% - 强调文字颜色 5" xfId="189"/>
    <cellStyle name="40% - 强调文字颜色 5 2" xfId="190"/>
    <cellStyle name="40% - 强调文字颜色 5 2 2" xfId="125"/>
    <cellStyle name="40% - 强调文字颜色 5 2 2 2" xfId="129"/>
    <cellStyle name="40% - 强调文字颜色 5 2 3" xfId="132"/>
    <cellStyle name="40% - 强调文字颜色 5 3" xfId="191"/>
    <cellStyle name="40% - 强调文字颜色 5 3 2" xfId="193"/>
    <cellStyle name="40% - 强调文字颜色 5 4" xfId="117"/>
    <cellStyle name="40% - 强调文字颜色 5 4 2" xfId="195"/>
    <cellStyle name="40% - 强调文字颜色 5 5" xfId="196"/>
    <cellStyle name="40% - 强调文字颜色 5 5 2" xfId="197"/>
    <cellStyle name="40% - 强调文字颜色 5 6" xfId="199"/>
    <cellStyle name="40% - 强调文字颜色 6" xfId="68"/>
    <cellStyle name="40% - 强调文字颜色 6 2" xfId="201"/>
    <cellStyle name="40% - 强调文字颜色 6 2 2" xfId="202"/>
    <cellStyle name="40% - 强调文字颜色 6 2 2 2" xfId="203"/>
    <cellStyle name="40% - 强调文字颜色 6 2 3" xfId="204"/>
    <cellStyle name="40% - 强调文字颜色 6 3" xfId="206"/>
    <cellStyle name="40% - 强调文字颜色 6 3 2" xfId="208"/>
    <cellStyle name="40% - 强调文字颜色 6 4" xfId="122"/>
    <cellStyle name="40% - 强调文字颜色 6 4 2" xfId="209"/>
    <cellStyle name="40% - 强调文字颜色 6 5" xfId="211"/>
    <cellStyle name="40% - 强调文字颜色 6 5 2" xfId="213"/>
    <cellStyle name="40% - 强调文字颜色 6 6" xfId="215"/>
    <cellStyle name="60% - 强调文字颜色 1" xfId="216"/>
    <cellStyle name="60% - 强调文字颜色 1 2" xfId="70"/>
    <cellStyle name="60% - 强调文字颜色 1 2 2" xfId="73"/>
    <cellStyle name="60% - 强调文字颜色 1 3" xfId="5"/>
    <cellStyle name="60% - 强调文字颜色 1 3 2" xfId="75"/>
    <cellStyle name="60% - 强调文字颜色 1 4" xfId="78"/>
    <cellStyle name="60% - 强调文字颜色 2" xfId="217"/>
    <cellStyle name="60% - 强调文字颜色 2 2" xfId="87"/>
    <cellStyle name="60% - 强调文字颜色 2 2 2" xfId="11"/>
    <cellStyle name="60% - 强调文字颜色 2 3" xfId="90"/>
    <cellStyle name="60% - 强调文字颜色 2 3 2" xfId="94"/>
    <cellStyle name="60% - 强调文字颜色 2 4" xfId="98"/>
    <cellStyle name="60% - 强调文字颜色 3" xfId="218"/>
    <cellStyle name="60% - 强调文字颜色 3 2" xfId="64"/>
    <cellStyle name="60% - 强调文字颜色 3 2 2" xfId="102"/>
    <cellStyle name="60% - 强调文字颜色 3 3" xfId="104"/>
    <cellStyle name="60% - 强调文字颜色 3 3 2" xfId="29"/>
    <cellStyle name="60% - 强调文字颜色 3 4" xfId="106"/>
    <cellStyle name="60% - 强调文字颜色 4" xfId="219"/>
    <cellStyle name="60% - 强调文字颜色 4 2" xfId="119"/>
    <cellStyle name="60% - 强调文字颜色 4 2 2" xfId="121"/>
    <cellStyle name="60% - 强调文字颜色 4 3" xfId="124"/>
    <cellStyle name="60% - 强调文字颜色 4 3 2" xfId="128"/>
    <cellStyle name="60% - 强调文字颜色 4 4" xfId="131"/>
    <cellStyle name="60% - 强调文字颜色 5" xfId="220"/>
    <cellStyle name="60% - 强调文字颜色 5 2" xfId="221"/>
    <cellStyle name="60% - 强调文字颜色 5 2 2" xfId="222"/>
    <cellStyle name="60% - 强调文字颜色 5 3" xfId="192"/>
    <cellStyle name="60% - 强调文字颜色 5 3 2" xfId="223"/>
    <cellStyle name="60% - 强调文字颜色 5 4" xfId="224"/>
    <cellStyle name="60% - 强调文字颜色 6" xfId="225"/>
    <cellStyle name="60% - 强调文字颜色 6 2" xfId="226"/>
    <cellStyle name="60% - 强调文字颜色 6 2 2" xfId="227"/>
    <cellStyle name="60% - 强调文字颜色 6 3" xfId="194"/>
    <cellStyle name="60% - 强调文字颜色 6 3 2" xfId="228"/>
    <cellStyle name="60% - 强调文字颜色 6 4" xfId="229"/>
    <cellStyle name="标题" xfId="10"/>
    <cellStyle name="标题 1" xfId="230"/>
    <cellStyle name="标题 1 2" xfId="231"/>
    <cellStyle name="标题 1 2 2" xfId="232"/>
    <cellStyle name="标题 1 3" xfId="233"/>
    <cellStyle name="标题 1 3 2" xfId="235"/>
    <cellStyle name="标题 1 4" xfId="236"/>
    <cellStyle name="标题 2" xfId="237"/>
    <cellStyle name="标题 2 2" xfId="238"/>
    <cellStyle name="标题 2 2 2" xfId="239"/>
    <cellStyle name="标题 2 3" xfId="240"/>
    <cellStyle name="标题 2 3 2" xfId="242"/>
    <cellStyle name="标题 2 4" xfId="243"/>
    <cellStyle name="标题 3" xfId="244"/>
    <cellStyle name="标题 3 2" xfId="245"/>
    <cellStyle name="标题 3 2 2" xfId="246"/>
    <cellStyle name="标题 3 3" xfId="7"/>
    <cellStyle name="标题 3 3 2" xfId="247"/>
    <cellStyle name="标题 3 4" xfId="248"/>
    <cellStyle name="标题 4" xfId="250"/>
    <cellStyle name="标题 4 2" xfId="251"/>
    <cellStyle name="标题 4 2 2" xfId="252"/>
    <cellStyle name="标题 4 3" xfId="254"/>
    <cellStyle name="标题 4 3 2" xfId="255"/>
    <cellStyle name="标题 4 4" xfId="179"/>
    <cellStyle name="标题 5" xfId="23"/>
    <cellStyle name="差" xfId="256"/>
    <cellStyle name="差 2" xfId="257"/>
    <cellStyle name="差 2 2" xfId="258"/>
    <cellStyle name="差 3" xfId="259"/>
    <cellStyle name="差 3 2" xfId="260"/>
    <cellStyle name="差 4" xfId="261"/>
    <cellStyle name="常规" xfId="0" builtinId="0"/>
    <cellStyle name="常规 10" xfId="263"/>
    <cellStyle name="常规 10 2" xfId="264"/>
    <cellStyle name="常规 11" xfId="241"/>
    <cellStyle name="常规 11 2" xfId="265"/>
    <cellStyle name="常规 12" xfId="267"/>
    <cellStyle name="常规 12 2" xfId="268"/>
    <cellStyle name="常规 13" xfId="270"/>
    <cellStyle name="常规 13 2" xfId="271"/>
    <cellStyle name="常规 14" xfId="273"/>
    <cellStyle name="常规 14 2" xfId="274"/>
    <cellStyle name="常规 15" xfId="127"/>
    <cellStyle name="常规 15 2" xfId="275"/>
    <cellStyle name="常规 16" xfId="276"/>
    <cellStyle name="常规 16 2" xfId="262"/>
    <cellStyle name="常规 17" xfId="277"/>
    <cellStyle name="常规 2" xfId="278"/>
    <cellStyle name="常规 2 2" xfId="279"/>
    <cellStyle name="常规 2 2 2" xfId="280"/>
    <cellStyle name="常规 2 2 2 2" xfId="281"/>
    <cellStyle name="常规 2 2 3" xfId="282"/>
    <cellStyle name="常规 2 3" xfId="284"/>
    <cellStyle name="常规 2 3 2" xfId="285"/>
    <cellStyle name="常规 2 4" xfId="286"/>
    <cellStyle name="常规 3" xfId="34"/>
    <cellStyle name="常规 3 2" xfId="3"/>
    <cellStyle name="常规 4" xfId="82"/>
    <cellStyle name="常规 4 2" xfId="84"/>
    <cellStyle name="常规 5" xfId="86"/>
    <cellStyle name="常规 5 2" xfId="9"/>
    <cellStyle name="常规 6" xfId="89"/>
    <cellStyle name="常规 6 2" xfId="93"/>
    <cellStyle name="常规 7" xfId="97"/>
    <cellStyle name="常规 7 2" xfId="287"/>
    <cellStyle name="常规 8" xfId="289"/>
    <cellStyle name="常规 8 2" xfId="37"/>
    <cellStyle name="常规 9" xfId="290"/>
    <cellStyle name="常规 9 2" xfId="140"/>
    <cellStyle name="超链接" xfId="291" builtinId="8"/>
    <cellStyle name="超链接 2" xfId="292"/>
    <cellStyle name="好 2" xfId="43"/>
    <cellStyle name="好 2 2" xfId="45"/>
    <cellStyle name="好 3" xfId="47"/>
    <cellStyle name="好 3 2" xfId="293"/>
    <cellStyle name="好 4" xfId="294"/>
    <cellStyle name="好 4 2" xfId="266"/>
    <cellStyle name="汇总" xfId="210"/>
    <cellStyle name="汇总 2" xfId="212"/>
    <cellStyle name="汇总 2 2" xfId="253"/>
    <cellStyle name="汇总 3" xfId="234"/>
    <cellStyle name="汇总 3 2" xfId="295"/>
    <cellStyle name="汇总 4" xfId="296"/>
    <cellStyle name="计算" xfId="297"/>
    <cellStyle name="计算 2" xfId="159"/>
    <cellStyle name="计算 2 2" xfId="161"/>
    <cellStyle name="计算 3" xfId="173"/>
    <cellStyle name="计算 3 2" xfId="176"/>
    <cellStyle name="计算 4" xfId="188"/>
    <cellStyle name="检查单元格" xfId="175"/>
    <cellStyle name="检查单元格 2" xfId="178"/>
    <cellStyle name="检查单元格 2 2" xfId="181"/>
    <cellStyle name="检查单元格 3" xfId="183"/>
    <cellStyle name="检查单元格 3 2" xfId="299"/>
    <cellStyle name="检查单元格 4" xfId="300"/>
    <cellStyle name="解释性文本" xfId="301"/>
    <cellStyle name="解释性文本 2" xfId="1"/>
    <cellStyle name="解释性文本 2 2" xfId="249"/>
    <cellStyle name="解释性文本 3" xfId="207"/>
    <cellStyle name="解释性文本 3 2" xfId="302"/>
    <cellStyle name="解释性文本 4" xfId="303"/>
    <cellStyle name="警告文本" xfId="304"/>
    <cellStyle name="警告文本 2" xfId="305"/>
    <cellStyle name="警告文本 2 2" xfId="306"/>
    <cellStyle name="警告文本 3" xfId="307"/>
    <cellStyle name="警告文本 3 2" xfId="288"/>
    <cellStyle name="警告文本 4" xfId="308"/>
    <cellStyle name="链接单元格" xfId="310"/>
    <cellStyle name="链接单元格 2" xfId="312"/>
    <cellStyle name="链接单元格 2 2" xfId="313"/>
    <cellStyle name="链接单元格 3" xfId="13"/>
    <cellStyle name="链接单元格 3 2" xfId="17"/>
    <cellStyle name="链接单元格 4" xfId="50"/>
    <cellStyle name="强调文字颜色 1" xfId="298"/>
    <cellStyle name="强调文字颜色 1 2" xfId="314"/>
    <cellStyle name="强调文字颜色 1 2 2" xfId="315"/>
    <cellStyle name="强调文字颜色 1 3" xfId="316"/>
    <cellStyle name="强调文字颜色 1 3 2" xfId="317"/>
    <cellStyle name="强调文字颜色 1 4" xfId="318"/>
    <cellStyle name="强调文字颜色 2" xfId="319"/>
    <cellStyle name="强调文字颜色 2 2" xfId="320"/>
    <cellStyle name="强调文字颜色 2 2 2" xfId="321"/>
    <cellStyle name="强调文字颜色 2 3" xfId="322"/>
    <cellStyle name="强调文字颜色 2 3 2" xfId="324"/>
    <cellStyle name="强调文字颜色 2 4" xfId="325"/>
    <cellStyle name="强调文字颜色 3" xfId="326"/>
    <cellStyle name="强调文字颜色 3 2" xfId="327"/>
    <cellStyle name="强调文字颜色 3 2 2" xfId="205"/>
    <cellStyle name="强调文字颜色 3 3" xfId="328"/>
    <cellStyle name="强调文字颜色 3 3 2" xfId="272"/>
    <cellStyle name="强调文字颜色 3 4" xfId="329"/>
    <cellStyle name="强调文字颜色 4" xfId="330"/>
    <cellStyle name="强调文字颜色 4 2" xfId="331"/>
    <cellStyle name="强调文字颜色 4 2 2" xfId="332"/>
    <cellStyle name="强调文字颜色 4 3" xfId="333"/>
    <cellStyle name="强调文字颜色 4 3 2" xfId="334"/>
    <cellStyle name="强调文字颜色 4 4" xfId="335"/>
    <cellStyle name="强调文字颜色 5" xfId="336"/>
    <cellStyle name="强调文字颜色 5 2" xfId="337"/>
    <cellStyle name="强调文字颜色 5 2 2" xfId="338"/>
    <cellStyle name="强调文字颜色 5 3" xfId="339"/>
    <cellStyle name="强调文字颜色 5 3 2" xfId="340"/>
    <cellStyle name="强调文字颜色 5 4" xfId="341"/>
    <cellStyle name="强调文字颜色 6" xfId="342"/>
    <cellStyle name="强调文字颜色 6 2" xfId="343"/>
    <cellStyle name="强调文字颜色 6 2 2" xfId="344"/>
    <cellStyle name="强调文字颜色 6 3" xfId="345"/>
    <cellStyle name="强调文字颜色 6 3 2" xfId="346"/>
    <cellStyle name="强调文字颜色 6 4" xfId="347"/>
    <cellStyle name="适中" xfId="25"/>
    <cellStyle name="适中 2" xfId="67"/>
    <cellStyle name="适中 2 2" xfId="200"/>
    <cellStyle name="适中 3" xfId="348"/>
    <cellStyle name="适中 3 2" xfId="269"/>
    <cellStyle name="适中 4" xfId="80"/>
    <cellStyle name="输出" xfId="60"/>
    <cellStyle name="输出 2" xfId="49"/>
    <cellStyle name="输出 2 2" xfId="52"/>
    <cellStyle name="输出 3" xfId="15"/>
    <cellStyle name="输出 3 2" xfId="19"/>
    <cellStyle name="输出 4" xfId="31"/>
    <cellStyle name="输入" xfId="323"/>
    <cellStyle name="输入 2" xfId="349"/>
    <cellStyle name="输入 2 2" xfId="350"/>
    <cellStyle name="输入 3" xfId="351"/>
    <cellStyle name="输入 3 2" xfId="283"/>
    <cellStyle name="输入 4" xfId="352"/>
    <cellStyle name="注释 2" xfId="92"/>
    <cellStyle name="注释 2 2" xfId="198"/>
    <cellStyle name="注释 2 2 2" xfId="353"/>
    <cellStyle name="注释 2 2 2 2" xfId="354"/>
    <cellStyle name="注释 2 2 3" xfId="355"/>
    <cellStyle name="注释 2 3" xfId="309"/>
    <cellStyle name="注释 2 3 2" xfId="311"/>
    <cellStyle name="注释 2 4" xfId="356"/>
    <cellStyle name="注释 3" xfId="357"/>
    <cellStyle name="注释 3 2" xfId="21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"/>
  <sheetViews>
    <sheetView workbookViewId="0">
      <pane xSplit="1" ySplit="2" topLeftCell="B3" activePane="bottomRight" state="frozen"/>
      <selection pane="topRight"/>
      <selection pane="bottomLeft"/>
      <selection pane="bottomRight" activeCell="F1" sqref="F1"/>
    </sheetView>
  </sheetViews>
  <sheetFormatPr defaultColWidth="9" defaultRowHeight="16.5" x14ac:dyDescent="0.15"/>
  <cols>
    <col min="1" max="1" width="11.375" style="9" customWidth="1"/>
    <col min="2" max="2" width="11.5" style="9" customWidth="1"/>
    <col min="3" max="3" width="24" style="9" customWidth="1"/>
    <col min="4" max="4" width="67.625" style="9" customWidth="1"/>
    <col min="5" max="5" width="29.625" style="9" customWidth="1"/>
    <col min="6" max="6" width="17.5" style="9" customWidth="1"/>
    <col min="7" max="16384" width="9" style="9"/>
  </cols>
  <sheetData>
    <row r="1" spans="1:7" x14ac:dyDescent="0.15">
      <c r="A1" s="32" t="s">
        <v>44</v>
      </c>
      <c r="B1" s="32"/>
      <c r="C1" s="32"/>
      <c r="D1" s="32"/>
      <c r="E1" s="32"/>
      <c r="F1" s="10" t="s">
        <v>12</v>
      </c>
      <c r="G1" s="9">
        <v>0</v>
      </c>
    </row>
    <row r="2" spans="1:7" x14ac:dyDescent="0.15">
      <c r="A2" s="10" t="s">
        <v>0</v>
      </c>
      <c r="B2" s="10" t="s">
        <v>1</v>
      </c>
      <c r="C2" s="10" t="s">
        <v>2</v>
      </c>
      <c r="D2" s="10" t="s">
        <v>3</v>
      </c>
      <c r="E2" s="10" t="s">
        <v>4</v>
      </c>
      <c r="F2" s="10" t="s">
        <v>5</v>
      </c>
      <c r="G2" s="9">
        <v>0</v>
      </c>
    </row>
    <row r="3" spans="1:7" x14ac:dyDescent="0.15">
      <c r="A3" s="23" t="s">
        <v>18</v>
      </c>
      <c r="B3" s="12">
        <v>1</v>
      </c>
      <c r="C3" s="21" t="s">
        <v>15</v>
      </c>
      <c r="D3" s="14" t="s">
        <v>16</v>
      </c>
      <c r="E3" s="14"/>
      <c r="F3" s="22" t="s">
        <v>17</v>
      </c>
      <c r="G3" s="9">
        <v>1</v>
      </c>
    </row>
    <row r="4" spans="1:7" x14ac:dyDescent="0.15">
      <c r="A4" s="23" t="s">
        <v>18</v>
      </c>
      <c r="B4" s="12">
        <v>1</v>
      </c>
      <c r="C4" s="13" t="s">
        <v>96</v>
      </c>
      <c r="D4" s="14" t="s">
        <v>16</v>
      </c>
      <c r="E4" s="14"/>
      <c r="F4" s="15" t="s">
        <v>97</v>
      </c>
      <c r="G4" s="9">
        <v>1</v>
      </c>
    </row>
    <row r="5" spans="1:7" x14ac:dyDescent="0.15">
      <c r="A5" s="11"/>
      <c r="B5" s="12"/>
      <c r="C5" s="13"/>
      <c r="D5" s="14"/>
      <c r="E5" s="14"/>
      <c r="F5" s="15"/>
    </row>
    <row r="6" spans="1:7" x14ac:dyDescent="0.15">
      <c r="A6" s="11"/>
      <c r="B6" s="12"/>
      <c r="C6" s="13"/>
      <c r="D6" s="14"/>
      <c r="E6" s="14"/>
      <c r="F6" s="15"/>
    </row>
  </sheetData>
  <autoFilter ref="A2:F5"/>
  <mergeCells count="1">
    <mergeCell ref="A1:E1"/>
  </mergeCells>
  <phoneticPr fontId="26" type="noConversion"/>
  <pageMargins left="0.69930555555555596" right="0.69930555555555596" top="0.75" bottom="0.75" header="0.3" footer="0.3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81"/>
  <sheetViews>
    <sheetView tabSelected="1" workbookViewId="0">
      <pane ySplit="8" topLeftCell="A9" activePane="bottomLeft" state="frozen"/>
      <selection pane="bottomLeft" activeCell="I10" sqref="I10"/>
    </sheetView>
  </sheetViews>
  <sheetFormatPr defaultColWidth="9" defaultRowHeight="13.5" x14ac:dyDescent="0.15"/>
  <cols>
    <col min="1" max="1" width="9" style="4" customWidth="1"/>
    <col min="2" max="3" width="10.625" style="6" customWidth="1"/>
    <col min="4" max="4" width="11.5" style="6" bestFit="1" customWidth="1"/>
    <col min="5" max="5" width="15.5" style="6" bestFit="1" customWidth="1"/>
    <col min="6" max="6" width="9.75" style="6" customWidth="1"/>
    <col min="7" max="7" width="16.875" style="6" customWidth="1"/>
    <col min="8" max="8" width="32.5" style="6" customWidth="1"/>
    <col min="9" max="9" width="13.125" style="6" bestFit="1" customWidth="1"/>
    <col min="10" max="10" width="12.75" style="4" customWidth="1"/>
    <col min="11" max="11" width="9" style="4"/>
    <col min="12" max="12" width="10.75" style="4" customWidth="1"/>
    <col min="13" max="13" width="11.625" style="28" customWidth="1"/>
    <col min="14" max="14" width="23.25" style="28" customWidth="1"/>
    <col min="15" max="15" width="13.125" style="6" bestFit="1" customWidth="1"/>
    <col min="16" max="17" width="9" style="4"/>
    <col min="18" max="18" width="13.125" style="6" bestFit="1" customWidth="1"/>
    <col min="19" max="16384" width="9" style="4"/>
  </cols>
  <sheetData>
    <row r="1" spans="1:18" s="1" customFormat="1" x14ac:dyDescent="0.15">
      <c r="A1" s="5" t="s">
        <v>13</v>
      </c>
      <c r="B1" s="1" t="s">
        <v>10</v>
      </c>
      <c r="C1" s="1" t="s">
        <v>10</v>
      </c>
      <c r="D1" s="1" t="s">
        <v>6</v>
      </c>
      <c r="E1" s="1" t="s">
        <v>6</v>
      </c>
      <c r="F1" s="1" t="s">
        <v>6</v>
      </c>
      <c r="G1" s="1" t="s">
        <v>11</v>
      </c>
      <c r="H1" s="1" t="s">
        <v>10</v>
      </c>
      <c r="I1" s="1" t="s">
        <v>10</v>
      </c>
      <c r="J1" s="1" t="s">
        <v>10</v>
      </c>
      <c r="K1" s="1" t="s">
        <v>10</v>
      </c>
      <c r="L1" s="1" t="s">
        <v>10</v>
      </c>
      <c r="M1" s="27" t="s">
        <v>10</v>
      </c>
      <c r="N1" s="27" t="s">
        <v>10</v>
      </c>
      <c r="O1" s="1" t="s">
        <v>10</v>
      </c>
    </row>
    <row r="2" spans="1:18" s="1" customFormat="1" x14ac:dyDescent="0.15">
      <c r="A2" s="5" t="s">
        <v>45</v>
      </c>
      <c r="B2" s="1" t="s">
        <v>6</v>
      </c>
      <c r="C2" s="1" t="s">
        <v>6</v>
      </c>
      <c r="D2" s="1" t="s">
        <v>6</v>
      </c>
      <c r="E2" s="1" t="s">
        <v>6</v>
      </c>
      <c r="F2" s="1" t="s">
        <v>6</v>
      </c>
      <c r="G2" s="1" t="s">
        <v>6</v>
      </c>
      <c r="H2" s="1" t="s">
        <v>6</v>
      </c>
      <c r="I2" s="1" t="s">
        <v>6</v>
      </c>
      <c r="J2" s="1" t="s">
        <v>6</v>
      </c>
      <c r="K2" s="1" t="s">
        <v>6</v>
      </c>
      <c r="L2" s="1" t="s">
        <v>6</v>
      </c>
      <c r="M2" s="27" t="s">
        <v>6</v>
      </c>
      <c r="N2" s="27" t="s">
        <v>6</v>
      </c>
      <c r="O2" s="1" t="s">
        <v>6</v>
      </c>
    </row>
    <row r="3" spans="1:18" s="2" customFormat="1" ht="14.25" x14ac:dyDescent="0.15">
      <c r="A3" s="16" t="s">
        <v>6</v>
      </c>
      <c r="B3" s="16" t="s">
        <v>7</v>
      </c>
      <c r="C3" s="16" t="s">
        <v>14</v>
      </c>
      <c r="D3" s="16" t="s">
        <v>19</v>
      </c>
      <c r="E3" s="16" t="s">
        <v>19</v>
      </c>
      <c r="F3" s="16" t="s">
        <v>20</v>
      </c>
      <c r="G3" s="16" t="s">
        <v>14</v>
      </c>
      <c r="H3" s="16" t="s">
        <v>20</v>
      </c>
      <c r="I3" s="16" t="s">
        <v>21</v>
      </c>
      <c r="J3" s="16" t="s">
        <v>21</v>
      </c>
      <c r="K3" s="24" t="s">
        <v>21</v>
      </c>
      <c r="L3" s="16" t="s">
        <v>19</v>
      </c>
      <c r="M3" s="24" t="s">
        <v>55</v>
      </c>
      <c r="N3" s="24" t="s">
        <v>14</v>
      </c>
      <c r="O3" s="16" t="s">
        <v>21</v>
      </c>
    </row>
    <row r="4" spans="1:18" s="2" customFormat="1" ht="14.25" x14ac:dyDescent="0.15">
      <c r="A4" s="16"/>
      <c r="B4" s="16" t="s">
        <v>9</v>
      </c>
      <c r="C4" s="16" t="s">
        <v>22</v>
      </c>
      <c r="D4" s="16" t="s">
        <v>23</v>
      </c>
      <c r="E4" s="16" t="s">
        <v>24</v>
      </c>
      <c r="F4" s="16" t="s">
        <v>25</v>
      </c>
      <c r="G4" s="16" t="s">
        <v>26</v>
      </c>
      <c r="H4" s="16" t="s">
        <v>27</v>
      </c>
      <c r="I4" s="16" t="s">
        <v>28</v>
      </c>
      <c r="J4" s="16" t="s">
        <v>29</v>
      </c>
      <c r="K4" s="24" t="s">
        <v>30</v>
      </c>
      <c r="L4" s="16" t="s">
        <v>31</v>
      </c>
      <c r="M4" s="24" t="s">
        <v>56</v>
      </c>
      <c r="N4" s="24" t="s">
        <v>89</v>
      </c>
      <c r="O4" s="16" t="s">
        <v>91</v>
      </c>
    </row>
    <row r="5" spans="1:18" s="2" customFormat="1" ht="14.25" x14ac:dyDescent="0.15">
      <c r="A5" s="16"/>
      <c r="B5" s="16" t="str">
        <f t="shared" ref="B5:M5" si="0">IF(B3="","",IF(B3="INT","i",IF(B3="FLOAT","f",IF(B3="STRING","s"))))</f>
        <v>i</v>
      </c>
      <c r="C5" s="16" t="str">
        <f t="shared" si="0"/>
        <v>s</v>
      </c>
      <c r="D5" s="16" t="str">
        <f t="shared" si="0"/>
        <v>i</v>
      </c>
      <c r="E5" s="16" t="str">
        <f t="shared" si="0"/>
        <v>i</v>
      </c>
      <c r="F5" s="16" t="str">
        <f t="shared" si="0"/>
        <v>s</v>
      </c>
      <c r="G5" s="16" t="str">
        <f t="shared" si="0"/>
        <v>s</v>
      </c>
      <c r="H5" s="16" t="str">
        <f t="shared" si="0"/>
        <v>s</v>
      </c>
      <c r="I5" s="16" t="str">
        <f t="shared" si="0"/>
        <v>s</v>
      </c>
      <c r="J5" s="16" t="str">
        <f t="shared" si="0"/>
        <v>s</v>
      </c>
      <c r="K5" s="24" t="str">
        <f t="shared" si="0"/>
        <v>s</v>
      </c>
      <c r="L5" s="16" t="str">
        <f>IF(L3="","",IF(L3="INT","i",IF(L3="FLOAT","f",IF(L3="STRING","s"))))</f>
        <v>i</v>
      </c>
      <c r="M5" s="24" t="str">
        <f t="shared" si="0"/>
        <v>s</v>
      </c>
      <c r="N5" s="24" t="str">
        <f>IF(N3="","",IF(N3="INT","i",IF(N3="FLOAT","f",IF(N3="STRING","s"))))</f>
        <v>s</v>
      </c>
      <c r="O5" s="16" t="str">
        <f>IF(O3="","",IF(O3="INT","i",IF(O3="FLOAT","f",IF(O3="STRING","s"))))</f>
        <v>s</v>
      </c>
    </row>
    <row r="6" spans="1:18" s="2" customFormat="1" ht="14.25" x14ac:dyDescent="0.15">
      <c r="A6" s="16" t="s">
        <v>6</v>
      </c>
      <c r="B6" s="16" t="str">
        <f t="shared" ref="B6:M6" si="1">B5&amp;B4</f>
        <v>iID</v>
      </c>
      <c r="C6" s="16" t="str">
        <f t="shared" si="1"/>
        <v>sChapterName</v>
      </c>
      <c r="D6" s="16" t="str">
        <f t="shared" si="1"/>
        <v>iSectionNum</v>
      </c>
      <c r="E6" s="16" t="str">
        <f t="shared" si="1"/>
        <v>iHideSectionNum</v>
      </c>
      <c r="F6" s="16" t="str">
        <f t="shared" si="1"/>
        <v>sNeceUnlock</v>
      </c>
      <c r="G6" s="16" t="str">
        <f t="shared" si="1"/>
        <v>sSelectUnlock</v>
      </c>
      <c r="H6" s="16" t="str">
        <f t="shared" si="1"/>
        <v>sPhoto</v>
      </c>
      <c r="I6" s="16" t="str">
        <f t="shared" si="1"/>
        <v>sAwardInfo</v>
      </c>
      <c r="J6" s="16" t="str">
        <f t="shared" si="1"/>
        <v>sHidAwardInfo</v>
      </c>
      <c r="K6" s="24" t="str">
        <f t="shared" si="1"/>
        <v>sPositon</v>
      </c>
      <c r="L6" s="16" t="str">
        <f>L5&amp;L4</f>
        <v>iDialogueID</v>
      </c>
      <c r="M6" s="24" t="str">
        <f t="shared" si="1"/>
        <v>sLeft</v>
      </c>
      <c r="N6" s="24" t="str">
        <f>N5&amp;N4</f>
        <v>sHelp</v>
      </c>
      <c r="O6" s="16" t="str">
        <f>O5&amp;O4</f>
        <v>sCostItem</v>
      </c>
    </row>
    <row r="7" spans="1:18" s="3" customFormat="1" ht="14.25" x14ac:dyDescent="0.15">
      <c r="A7" s="16"/>
      <c r="B7" s="16" t="s">
        <v>32</v>
      </c>
      <c r="C7" s="16" t="s">
        <v>33</v>
      </c>
      <c r="D7" s="16" t="s">
        <v>34</v>
      </c>
      <c r="E7" s="16" t="s">
        <v>35</v>
      </c>
      <c r="F7" s="16" t="s">
        <v>36</v>
      </c>
      <c r="G7" s="16" t="s">
        <v>37</v>
      </c>
      <c r="H7" s="16" t="s">
        <v>38</v>
      </c>
      <c r="I7" s="16" t="s">
        <v>39</v>
      </c>
      <c r="J7" s="16" t="s">
        <v>40</v>
      </c>
      <c r="K7" s="24" t="s">
        <v>41</v>
      </c>
      <c r="L7" s="16" t="s">
        <v>42</v>
      </c>
      <c r="M7" s="24" t="s">
        <v>54</v>
      </c>
      <c r="N7" s="24" t="s">
        <v>90</v>
      </c>
      <c r="O7" s="16" t="s">
        <v>92</v>
      </c>
      <c r="R7" s="2"/>
    </row>
    <row r="8" spans="1:18" s="3" customFormat="1" ht="14.25" x14ac:dyDescent="0.15">
      <c r="A8" s="16" t="s">
        <v>8</v>
      </c>
      <c r="B8" s="16" t="e">
        <f>MODE(B9:B975)</f>
        <v>#N/A</v>
      </c>
      <c r="C8" s="16"/>
      <c r="D8" s="16">
        <v>6</v>
      </c>
      <c r="E8" s="16">
        <v>0</v>
      </c>
      <c r="F8" s="16"/>
      <c r="G8" s="16"/>
      <c r="H8" s="16"/>
      <c r="I8" s="16"/>
      <c r="J8" s="16"/>
      <c r="K8" s="24"/>
      <c r="L8" s="16">
        <v>0</v>
      </c>
      <c r="M8" s="24"/>
      <c r="N8" s="24"/>
      <c r="O8" s="16"/>
      <c r="R8" s="2"/>
    </row>
    <row r="9" spans="1:18" ht="14.25" x14ac:dyDescent="0.15">
      <c r="A9" s="17" t="s">
        <v>6</v>
      </c>
      <c r="B9" s="18">
        <v>901</v>
      </c>
      <c r="C9" s="16" t="s">
        <v>123</v>
      </c>
      <c r="D9" s="20">
        <v>8</v>
      </c>
      <c r="E9" s="20">
        <v>0</v>
      </c>
      <c r="F9" s="31"/>
      <c r="G9" s="31"/>
      <c r="H9" s="19" t="s">
        <v>46</v>
      </c>
      <c r="I9" s="19" t="s">
        <v>126</v>
      </c>
      <c r="J9" s="19" t="s">
        <v>102</v>
      </c>
      <c r="K9" s="24" t="s">
        <v>61</v>
      </c>
      <c r="L9" s="20">
        <v>7</v>
      </c>
      <c r="M9" s="26" t="s">
        <v>58</v>
      </c>
      <c r="N9" s="16" t="s">
        <v>124</v>
      </c>
      <c r="O9" s="19"/>
      <c r="P9" s="8"/>
    </row>
    <row r="10" spans="1:18" ht="14.25" x14ac:dyDescent="0.15">
      <c r="A10" s="17" t="s">
        <v>43</v>
      </c>
      <c r="B10" s="18">
        <v>902</v>
      </c>
      <c r="C10" s="16" t="s">
        <v>125</v>
      </c>
      <c r="D10" s="20">
        <v>14</v>
      </c>
      <c r="E10" s="20">
        <v>0</v>
      </c>
      <c r="F10" s="20"/>
      <c r="G10" s="20"/>
      <c r="H10" s="19" t="s">
        <v>47</v>
      </c>
      <c r="I10" s="19" t="s">
        <v>101</v>
      </c>
      <c r="J10" s="19" t="s">
        <v>102</v>
      </c>
      <c r="K10" s="24" t="s">
        <v>62</v>
      </c>
      <c r="L10" s="20">
        <v>7</v>
      </c>
      <c r="M10" s="26" t="s">
        <v>57</v>
      </c>
      <c r="N10" s="16" t="s">
        <v>106</v>
      </c>
      <c r="O10" s="19"/>
      <c r="P10" s="8"/>
    </row>
    <row r="11" spans="1:18" ht="14.25" x14ac:dyDescent="0.15">
      <c r="A11" s="17" t="s">
        <v>43</v>
      </c>
      <c r="B11" s="18">
        <v>903</v>
      </c>
      <c r="C11" s="16" t="s">
        <v>108</v>
      </c>
      <c r="D11" s="20">
        <v>19</v>
      </c>
      <c r="E11" s="20">
        <v>0</v>
      </c>
      <c r="F11" s="20"/>
      <c r="G11" s="20"/>
      <c r="H11" s="19" t="s">
        <v>48</v>
      </c>
      <c r="I11" s="19" t="s">
        <v>101</v>
      </c>
      <c r="J11" s="19" t="s">
        <v>102</v>
      </c>
      <c r="K11" s="24" t="s">
        <v>63</v>
      </c>
      <c r="L11" s="20">
        <v>7</v>
      </c>
      <c r="M11" s="26" t="s">
        <v>58</v>
      </c>
      <c r="N11" s="16" t="s">
        <v>107</v>
      </c>
      <c r="O11" s="19"/>
      <c r="P11" s="8"/>
    </row>
    <row r="12" spans="1:18" ht="14.25" x14ac:dyDescent="0.15">
      <c r="A12" s="17" t="s">
        <v>43</v>
      </c>
      <c r="B12" s="18">
        <v>904</v>
      </c>
      <c r="C12" s="16" t="s">
        <v>105</v>
      </c>
      <c r="D12" s="25">
        <v>17</v>
      </c>
      <c r="E12" s="20">
        <v>0</v>
      </c>
      <c r="F12" s="25"/>
      <c r="G12" s="25"/>
      <c r="H12" s="19" t="s">
        <v>49</v>
      </c>
      <c r="I12" s="19" t="s">
        <v>101</v>
      </c>
      <c r="J12" s="19" t="s">
        <v>102</v>
      </c>
      <c r="K12" s="24" t="s">
        <v>64</v>
      </c>
      <c r="L12" s="20">
        <v>7</v>
      </c>
      <c r="M12" s="26" t="s">
        <v>57</v>
      </c>
      <c r="N12" s="16" t="s">
        <v>104</v>
      </c>
      <c r="O12" s="19"/>
      <c r="P12" s="8"/>
    </row>
    <row r="13" spans="1:18" ht="14.25" x14ac:dyDescent="0.15">
      <c r="A13" s="17" t="s">
        <v>43</v>
      </c>
      <c r="B13" s="18">
        <v>905</v>
      </c>
      <c r="C13" s="16" t="s">
        <v>110</v>
      </c>
      <c r="D13" s="25">
        <v>0</v>
      </c>
      <c r="E13" s="20"/>
      <c r="F13" s="20"/>
      <c r="G13" s="20"/>
      <c r="H13" s="19" t="s">
        <v>50</v>
      </c>
      <c r="I13" s="19" t="s">
        <v>101</v>
      </c>
      <c r="J13" s="19" t="s">
        <v>102</v>
      </c>
      <c r="K13" s="26" t="s">
        <v>65</v>
      </c>
      <c r="L13" s="20">
        <v>7</v>
      </c>
      <c r="M13" s="26" t="s">
        <v>58</v>
      </c>
      <c r="N13" s="16" t="s">
        <v>109</v>
      </c>
      <c r="O13" s="19"/>
      <c r="P13" s="8"/>
    </row>
    <row r="14" spans="1:18" ht="14.25" x14ac:dyDescent="0.15">
      <c r="A14" s="17" t="s">
        <v>43</v>
      </c>
      <c r="B14" s="18">
        <v>906</v>
      </c>
      <c r="C14" s="16" t="s">
        <v>112</v>
      </c>
      <c r="D14" s="25">
        <v>0</v>
      </c>
      <c r="E14" s="20"/>
      <c r="F14" s="20"/>
      <c r="G14" s="20"/>
      <c r="H14" s="19" t="s">
        <v>51</v>
      </c>
      <c r="I14" s="19" t="s">
        <v>101</v>
      </c>
      <c r="J14" s="19" t="s">
        <v>102</v>
      </c>
      <c r="K14" s="26" t="s">
        <v>66</v>
      </c>
      <c r="L14" s="20">
        <v>7</v>
      </c>
      <c r="M14" s="26" t="s">
        <v>57</v>
      </c>
      <c r="N14" s="16" t="s">
        <v>111</v>
      </c>
      <c r="O14" s="19"/>
      <c r="P14" s="8"/>
    </row>
    <row r="15" spans="1:18" ht="14.25" x14ac:dyDescent="0.15">
      <c r="A15" s="17" t="s">
        <v>43</v>
      </c>
      <c r="B15" s="18">
        <v>907</v>
      </c>
      <c r="C15" s="16" t="s">
        <v>114</v>
      </c>
      <c r="D15" s="25">
        <v>0</v>
      </c>
      <c r="E15" s="20"/>
      <c r="F15" s="20"/>
      <c r="G15" s="20"/>
      <c r="H15" s="19" t="s">
        <v>52</v>
      </c>
      <c r="I15" s="19" t="s">
        <v>101</v>
      </c>
      <c r="J15" s="19" t="s">
        <v>102</v>
      </c>
      <c r="K15" s="26" t="s">
        <v>67</v>
      </c>
      <c r="L15" s="20">
        <v>7</v>
      </c>
      <c r="M15" s="26" t="s">
        <v>58</v>
      </c>
      <c r="N15" s="16" t="s">
        <v>113</v>
      </c>
      <c r="O15" s="19"/>
      <c r="P15" s="8"/>
    </row>
    <row r="16" spans="1:18" ht="14.25" x14ac:dyDescent="0.15">
      <c r="A16" s="17" t="s">
        <v>43</v>
      </c>
      <c r="B16" s="18">
        <v>908</v>
      </c>
      <c r="C16" s="16" t="s">
        <v>116</v>
      </c>
      <c r="D16" s="25">
        <v>0</v>
      </c>
      <c r="E16" s="20"/>
      <c r="F16" s="20"/>
      <c r="G16" s="20"/>
      <c r="H16" s="19" t="s">
        <v>53</v>
      </c>
      <c r="I16" s="19" t="s">
        <v>101</v>
      </c>
      <c r="J16" s="19" t="s">
        <v>102</v>
      </c>
      <c r="K16" s="26" t="s">
        <v>68</v>
      </c>
      <c r="L16" s="20">
        <v>7</v>
      </c>
      <c r="M16" s="26" t="s">
        <v>57</v>
      </c>
      <c r="N16" s="16" t="s">
        <v>115</v>
      </c>
      <c r="O16" s="19"/>
      <c r="P16" s="8"/>
    </row>
    <row r="17" spans="1:16" ht="14.25" x14ac:dyDescent="0.15">
      <c r="A17" s="17" t="s">
        <v>43</v>
      </c>
      <c r="B17" s="18">
        <v>909</v>
      </c>
      <c r="C17" s="16" t="s">
        <v>118</v>
      </c>
      <c r="D17" s="25">
        <v>0</v>
      </c>
      <c r="E17" s="20"/>
      <c r="F17" s="20"/>
      <c r="G17" s="20"/>
      <c r="H17" s="19" t="s">
        <v>53</v>
      </c>
      <c r="I17" s="19" t="s">
        <v>101</v>
      </c>
      <c r="J17" s="19" t="s">
        <v>102</v>
      </c>
      <c r="K17" s="26" t="s">
        <v>69</v>
      </c>
      <c r="L17" s="20">
        <v>7</v>
      </c>
      <c r="M17" s="26" t="s">
        <v>58</v>
      </c>
      <c r="N17" s="16" t="s">
        <v>117</v>
      </c>
      <c r="O17" s="19"/>
      <c r="P17" s="8"/>
    </row>
    <row r="18" spans="1:16" ht="14.25" x14ac:dyDescent="0.15">
      <c r="A18" s="17" t="s">
        <v>43</v>
      </c>
      <c r="B18" s="18">
        <v>910</v>
      </c>
      <c r="C18" s="16" t="s">
        <v>120</v>
      </c>
      <c r="D18" s="25">
        <v>0</v>
      </c>
      <c r="E18" s="20"/>
      <c r="F18" s="20"/>
      <c r="G18" s="20"/>
      <c r="H18" s="19" t="s">
        <v>53</v>
      </c>
      <c r="I18" s="19" t="s">
        <v>101</v>
      </c>
      <c r="J18" s="19" t="s">
        <v>102</v>
      </c>
      <c r="K18" s="26" t="s">
        <v>70</v>
      </c>
      <c r="L18" s="20">
        <v>7</v>
      </c>
      <c r="M18" s="26" t="s">
        <v>57</v>
      </c>
      <c r="N18" s="16" t="s">
        <v>119</v>
      </c>
      <c r="O18" s="19"/>
      <c r="P18" s="8"/>
    </row>
    <row r="19" spans="1:16" ht="14.25" x14ac:dyDescent="0.15">
      <c r="A19" s="17" t="s">
        <v>43</v>
      </c>
      <c r="B19" s="18">
        <v>911</v>
      </c>
      <c r="C19" s="16" t="s">
        <v>122</v>
      </c>
      <c r="D19" s="25">
        <v>0</v>
      </c>
      <c r="E19" s="20"/>
      <c r="F19" s="20"/>
      <c r="G19" s="20"/>
      <c r="H19" s="19" t="s">
        <v>53</v>
      </c>
      <c r="I19" s="19" t="s">
        <v>101</v>
      </c>
      <c r="J19" s="19" t="s">
        <v>102</v>
      </c>
      <c r="K19" s="26" t="s">
        <v>71</v>
      </c>
      <c r="L19" s="20">
        <v>7</v>
      </c>
      <c r="M19" s="26" t="s">
        <v>58</v>
      </c>
      <c r="N19" s="16" t="s">
        <v>121</v>
      </c>
      <c r="O19" s="19"/>
      <c r="P19" s="8"/>
    </row>
    <row r="20" spans="1:16" ht="14.25" x14ac:dyDescent="0.15">
      <c r="A20" s="17" t="s">
        <v>43</v>
      </c>
      <c r="B20" s="18">
        <v>912</v>
      </c>
      <c r="C20" s="16" t="s">
        <v>81</v>
      </c>
      <c r="D20" s="25">
        <v>0</v>
      </c>
      <c r="E20" s="20"/>
      <c r="F20" s="20"/>
      <c r="G20" s="20"/>
      <c r="H20" s="19" t="s">
        <v>59</v>
      </c>
      <c r="I20" s="19" t="s">
        <v>101</v>
      </c>
      <c r="J20" s="19" t="s">
        <v>102</v>
      </c>
      <c r="K20" s="26" t="s">
        <v>72</v>
      </c>
      <c r="L20" s="20">
        <v>7</v>
      </c>
      <c r="M20" s="26" t="s">
        <v>57</v>
      </c>
      <c r="N20" s="16" t="s">
        <v>81</v>
      </c>
      <c r="O20" s="19"/>
      <c r="P20" s="8"/>
    </row>
    <row r="21" spans="1:16" ht="14.25" x14ac:dyDescent="0.15">
      <c r="A21" s="30" t="s">
        <v>43</v>
      </c>
      <c r="B21" s="18">
        <v>913</v>
      </c>
      <c r="C21" s="16" t="s">
        <v>60</v>
      </c>
      <c r="D21" s="25">
        <v>0</v>
      </c>
      <c r="E21" s="20"/>
      <c r="F21" s="20"/>
      <c r="G21" s="20"/>
      <c r="H21" s="19" t="s">
        <v>53</v>
      </c>
      <c r="I21" s="19" t="s">
        <v>101</v>
      </c>
      <c r="J21" s="19" t="s">
        <v>102</v>
      </c>
      <c r="K21" s="26" t="s">
        <v>73</v>
      </c>
      <c r="L21" s="20">
        <v>7</v>
      </c>
      <c r="M21" s="26" t="s">
        <v>58</v>
      </c>
      <c r="N21" s="16" t="s">
        <v>60</v>
      </c>
      <c r="O21" s="19"/>
      <c r="P21" s="8"/>
    </row>
    <row r="22" spans="1:16" ht="14.25" x14ac:dyDescent="0.15">
      <c r="A22" s="17" t="s">
        <v>43</v>
      </c>
      <c r="B22" s="18">
        <v>914</v>
      </c>
      <c r="C22" s="16" t="s">
        <v>83</v>
      </c>
      <c r="D22" s="25">
        <v>0</v>
      </c>
      <c r="E22" s="20"/>
      <c r="F22" s="20"/>
      <c r="G22" s="20"/>
      <c r="H22" s="19" t="s">
        <v>53</v>
      </c>
      <c r="I22" s="19" t="s">
        <v>101</v>
      </c>
      <c r="J22" s="19" t="s">
        <v>102</v>
      </c>
      <c r="K22" s="26" t="s">
        <v>80</v>
      </c>
      <c r="L22" s="20">
        <v>7</v>
      </c>
      <c r="M22" s="26" t="s">
        <v>57</v>
      </c>
      <c r="N22" s="16" t="s">
        <v>83</v>
      </c>
      <c r="O22" s="19"/>
      <c r="P22" s="8"/>
    </row>
    <row r="23" spans="1:16" ht="14.25" x14ac:dyDescent="0.15">
      <c r="A23" s="17" t="s">
        <v>43</v>
      </c>
      <c r="B23" s="18">
        <v>915</v>
      </c>
      <c r="C23" s="16" t="s">
        <v>82</v>
      </c>
      <c r="D23" s="25">
        <v>0</v>
      </c>
      <c r="E23" s="20"/>
      <c r="F23" s="20"/>
      <c r="G23" s="20"/>
      <c r="H23" s="19" t="s">
        <v>53</v>
      </c>
      <c r="I23" s="19" t="s">
        <v>101</v>
      </c>
      <c r="J23" s="19" t="s">
        <v>102</v>
      </c>
      <c r="K23" s="26" t="s">
        <v>79</v>
      </c>
      <c r="L23" s="20">
        <v>7</v>
      </c>
      <c r="M23" s="26" t="s">
        <v>58</v>
      </c>
      <c r="N23" s="16" t="s">
        <v>82</v>
      </c>
      <c r="O23" s="19"/>
      <c r="P23" s="8"/>
    </row>
    <row r="24" spans="1:16" ht="14.25" x14ac:dyDescent="0.15">
      <c r="A24" s="17" t="s">
        <v>43</v>
      </c>
      <c r="B24" s="18">
        <v>916</v>
      </c>
      <c r="C24" s="16" t="s">
        <v>85</v>
      </c>
      <c r="D24" s="25">
        <v>0</v>
      </c>
      <c r="E24" s="20"/>
      <c r="F24" s="20"/>
      <c r="G24" s="20"/>
      <c r="H24" s="19" t="s">
        <v>59</v>
      </c>
      <c r="I24" s="19" t="s">
        <v>101</v>
      </c>
      <c r="J24" s="19" t="s">
        <v>102</v>
      </c>
      <c r="K24" s="26" t="s">
        <v>78</v>
      </c>
      <c r="L24" s="20">
        <v>7</v>
      </c>
      <c r="M24" s="26" t="s">
        <v>57</v>
      </c>
      <c r="N24" s="16" t="s">
        <v>85</v>
      </c>
      <c r="O24" s="19"/>
      <c r="P24" s="8"/>
    </row>
    <row r="25" spans="1:16" ht="14.25" x14ac:dyDescent="0.15">
      <c r="A25" s="17" t="s">
        <v>43</v>
      </c>
      <c r="B25" s="18">
        <v>917</v>
      </c>
      <c r="C25" s="16" t="s">
        <v>86</v>
      </c>
      <c r="D25" s="25">
        <v>0</v>
      </c>
      <c r="E25" s="20"/>
      <c r="F25" s="20"/>
      <c r="G25" s="20"/>
      <c r="H25" s="19" t="s">
        <v>53</v>
      </c>
      <c r="I25" s="19" t="s">
        <v>101</v>
      </c>
      <c r="J25" s="19" t="s">
        <v>102</v>
      </c>
      <c r="K25" s="26" t="s">
        <v>77</v>
      </c>
      <c r="L25" s="20">
        <v>7</v>
      </c>
      <c r="M25" s="26" t="s">
        <v>58</v>
      </c>
      <c r="N25" s="16" t="s">
        <v>86</v>
      </c>
      <c r="O25" s="19"/>
      <c r="P25" s="8"/>
    </row>
    <row r="26" spans="1:16" ht="14.25" x14ac:dyDescent="0.15">
      <c r="A26" s="17" t="s">
        <v>43</v>
      </c>
      <c r="B26" s="18">
        <v>918</v>
      </c>
      <c r="C26" s="16" t="s">
        <v>87</v>
      </c>
      <c r="D26" s="25">
        <v>0</v>
      </c>
      <c r="E26" s="20"/>
      <c r="F26" s="20"/>
      <c r="G26" s="20"/>
      <c r="H26" s="19" t="s">
        <v>53</v>
      </c>
      <c r="I26" s="19" t="s">
        <v>101</v>
      </c>
      <c r="J26" s="19" t="s">
        <v>102</v>
      </c>
      <c r="K26" s="26" t="s">
        <v>76</v>
      </c>
      <c r="L26" s="20">
        <v>7</v>
      </c>
      <c r="M26" s="26" t="s">
        <v>57</v>
      </c>
      <c r="N26" s="16" t="s">
        <v>87</v>
      </c>
      <c r="O26" s="19"/>
      <c r="P26" s="8"/>
    </row>
    <row r="27" spans="1:16" ht="14.25" x14ac:dyDescent="0.15">
      <c r="A27" s="17" t="s">
        <v>43</v>
      </c>
      <c r="B27" s="18">
        <v>919</v>
      </c>
      <c r="C27" s="16" t="s">
        <v>88</v>
      </c>
      <c r="D27" s="25">
        <v>0</v>
      </c>
      <c r="E27" s="20"/>
      <c r="F27" s="20"/>
      <c r="G27" s="20"/>
      <c r="H27" s="19" t="s">
        <v>53</v>
      </c>
      <c r="I27" s="19" t="s">
        <v>101</v>
      </c>
      <c r="J27" s="19" t="s">
        <v>102</v>
      </c>
      <c r="K27" s="26" t="s">
        <v>75</v>
      </c>
      <c r="L27" s="20">
        <v>7</v>
      </c>
      <c r="M27" s="26" t="s">
        <v>58</v>
      </c>
      <c r="N27" s="16" t="s">
        <v>88</v>
      </c>
      <c r="O27" s="19"/>
      <c r="P27" s="8"/>
    </row>
    <row r="28" spans="1:16" ht="14.25" x14ac:dyDescent="0.15">
      <c r="A28" s="17" t="s">
        <v>43</v>
      </c>
      <c r="B28" s="18">
        <v>920</v>
      </c>
      <c r="C28" s="16" t="s">
        <v>84</v>
      </c>
      <c r="D28" s="25">
        <v>0</v>
      </c>
      <c r="E28" s="20"/>
      <c r="F28" s="20"/>
      <c r="G28" s="20"/>
      <c r="H28" s="19" t="s">
        <v>59</v>
      </c>
      <c r="I28" s="19" t="s">
        <v>101</v>
      </c>
      <c r="J28" s="19" t="s">
        <v>102</v>
      </c>
      <c r="K28" s="26" t="s">
        <v>74</v>
      </c>
      <c r="L28" s="20">
        <v>7</v>
      </c>
      <c r="M28" s="26" t="s">
        <v>57</v>
      </c>
      <c r="N28" s="16" t="s">
        <v>84</v>
      </c>
      <c r="O28" s="19"/>
      <c r="P28" s="8"/>
    </row>
    <row r="29" spans="1:16" x14ac:dyDescent="0.15">
      <c r="C29" s="4"/>
      <c r="D29" s="4"/>
      <c r="P29" s="8"/>
    </row>
    <row r="30" spans="1:16" x14ac:dyDescent="0.15">
      <c r="C30" s="4"/>
      <c r="D30" s="4"/>
      <c r="P30" s="8"/>
    </row>
    <row r="31" spans="1:16" x14ac:dyDescent="0.15">
      <c r="C31" s="4"/>
      <c r="D31" s="4"/>
      <c r="P31" s="8"/>
    </row>
    <row r="32" spans="1:16" x14ac:dyDescent="0.15">
      <c r="C32" s="4"/>
      <c r="D32" s="4"/>
      <c r="P32" s="8"/>
    </row>
    <row r="33" spans="3:16" x14ac:dyDescent="0.15">
      <c r="C33" s="4"/>
      <c r="D33" s="4"/>
      <c r="P33" s="8"/>
    </row>
    <row r="34" spans="3:16" x14ac:dyDescent="0.15">
      <c r="C34" s="4"/>
      <c r="D34" s="4"/>
      <c r="P34" s="8"/>
    </row>
    <row r="35" spans="3:16" x14ac:dyDescent="0.15">
      <c r="C35" s="4"/>
      <c r="D35" s="4"/>
      <c r="P35" s="8"/>
    </row>
    <row r="36" spans="3:16" x14ac:dyDescent="0.15">
      <c r="C36" s="4"/>
      <c r="D36" s="4"/>
      <c r="P36" s="8"/>
    </row>
    <row r="37" spans="3:16" x14ac:dyDescent="0.15">
      <c r="C37" s="4"/>
      <c r="D37" s="4"/>
      <c r="P37" s="8"/>
    </row>
    <row r="38" spans="3:16" x14ac:dyDescent="0.15">
      <c r="C38" s="4"/>
      <c r="D38" s="4"/>
      <c r="P38" s="8"/>
    </row>
    <row r="39" spans="3:16" x14ac:dyDescent="0.15">
      <c r="C39" s="4"/>
      <c r="D39" s="4"/>
      <c r="P39" s="8"/>
    </row>
    <row r="40" spans="3:16" x14ac:dyDescent="0.15">
      <c r="C40" s="4"/>
      <c r="D40" s="4"/>
      <c r="L40" s="7"/>
      <c r="M40" s="29"/>
      <c r="N40" s="29"/>
    </row>
    <row r="41" spans="3:16" x14ac:dyDescent="0.15">
      <c r="C41" s="4"/>
      <c r="D41" s="4"/>
      <c r="L41" s="7"/>
      <c r="M41" s="29"/>
      <c r="N41" s="29"/>
    </row>
    <row r="42" spans="3:16" x14ac:dyDescent="0.15">
      <c r="C42" s="4"/>
      <c r="D42" s="4"/>
      <c r="L42" s="7"/>
      <c r="M42" s="29"/>
      <c r="N42" s="29"/>
    </row>
    <row r="43" spans="3:16" x14ac:dyDescent="0.15">
      <c r="C43" s="4"/>
      <c r="D43" s="4"/>
      <c r="L43" s="7"/>
      <c r="M43" s="29"/>
      <c r="N43" s="29"/>
    </row>
    <row r="44" spans="3:16" x14ac:dyDescent="0.15">
      <c r="C44" s="4"/>
      <c r="D44" s="4"/>
      <c r="L44" s="7"/>
      <c r="M44" s="29"/>
      <c r="N44" s="29"/>
    </row>
    <row r="45" spans="3:16" x14ac:dyDescent="0.15">
      <c r="C45" s="4"/>
      <c r="D45" s="4"/>
      <c r="L45" s="7"/>
      <c r="M45" s="29"/>
      <c r="N45" s="29"/>
    </row>
    <row r="46" spans="3:16" x14ac:dyDescent="0.15">
      <c r="C46" s="4"/>
      <c r="D46" s="4"/>
      <c r="L46" s="7"/>
      <c r="M46" s="29"/>
      <c r="N46" s="29"/>
    </row>
    <row r="47" spans="3:16" x14ac:dyDescent="0.15">
      <c r="C47" s="4"/>
      <c r="D47" s="4"/>
      <c r="L47" s="7"/>
      <c r="M47" s="29"/>
      <c r="N47" s="29"/>
    </row>
    <row r="48" spans="3:16" x14ac:dyDescent="0.15">
      <c r="C48" s="4"/>
      <c r="D48" s="4"/>
      <c r="L48" s="7"/>
      <c r="M48" s="29"/>
      <c r="N48" s="29"/>
    </row>
    <row r="49" spans="3:16" x14ac:dyDescent="0.15">
      <c r="C49" s="4"/>
      <c r="D49" s="4"/>
      <c r="L49" s="7"/>
      <c r="M49" s="29"/>
      <c r="N49" s="29"/>
    </row>
    <row r="50" spans="3:16" x14ac:dyDescent="0.15">
      <c r="C50" s="4"/>
      <c r="D50" s="4"/>
      <c r="L50" s="7"/>
      <c r="M50" s="29"/>
      <c r="N50" s="29"/>
    </row>
    <row r="51" spans="3:16" x14ac:dyDescent="0.15">
      <c r="C51" s="4"/>
      <c r="D51" s="4"/>
      <c r="L51" s="7"/>
      <c r="M51" s="29"/>
      <c r="N51" s="29"/>
    </row>
    <row r="52" spans="3:16" x14ac:dyDescent="0.15">
      <c r="C52" s="4"/>
      <c r="D52" s="4"/>
      <c r="L52" s="7"/>
      <c r="M52" s="29"/>
      <c r="N52" s="29"/>
    </row>
    <row r="53" spans="3:16" x14ac:dyDescent="0.15">
      <c r="C53" s="4"/>
      <c r="D53" s="4"/>
      <c r="L53" s="7"/>
      <c r="M53" s="29"/>
      <c r="N53" s="29"/>
    </row>
    <row r="54" spans="3:16" x14ac:dyDescent="0.15">
      <c r="C54" s="4"/>
      <c r="D54" s="4"/>
      <c r="L54" s="7"/>
      <c r="M54" s="29"/>
      <c r="N54" s="29"/>
    </row>
    <row r="55" spans="3:16" x14ac:dyDescent="0.15">
      <c r="C55" s="4"/>
      <c r="D55" s="4"/>
      <c r="L55" s="7"/>
      <c r="M55" s="29"/>
      <c r="N55" s="29"/>
    </row>
    <row r="56" spans="3:16" x14ac:dyDescent="0.15">
      <c r="C56" s="4"/>
      <c r="D56" s="4"/>
      <c r="P56" s="8"/>
    </row>
    <row r="57" spans="3:16" x14ac:dyDescent="0.15">
      <c r="C57" s="4"/>
      <c r="D57" s="4"/>
      <c r="P57" s="8"/>
    </row>
    <row r="58" spans="3:16" x14ac:dyDescent="0.15">
      <c r="C58" s="4"/>
      <c r="D58" s="4"/>
      <c r="P58" s="8"/>
    </row>
    <row r="59" spans="3:16" x14ac:dyDescent="0.15">
      <c r="C59" s="4"/>
      <c r="D59" s="4"/>
      <c r="P59" s="8"/>
    </row>
    <row r="60" spans="3:16" x14ac:dyDescent="0.15">
      <c r="C60" s="4"/>
      <c r="D60" s="4"/>
      <c r="P60" s="8"/>
    </row>
    <row r="61" spans="3:16" x14ac:dyDescent="0.15">
      <c r="C61" s="4"/>
      <c r="D61" s="4"/>
      <c r="L61" s="7"/>
      <c r="M61" s="29"/>
      <c r="N61" s="29"/>
    </row>
    <row r="62" spans="3:16" x14ac:dyDescent="0.15">
      <c r="C62" s="4"/>
      <c r="D62" s="4"/>
      <c r="L62" s="7"/>
      <c r="M62" s="29"/>
      <c r="N62" s="29"/>
    </row>
    <row r="63" spans="3:16" x14ac:dyDescent="0.15">
      <c r="C63" s="4"/>
      <c r="D63" s="4"/>
      <c r="L63" s="7"/>
      <c r="M63" s="29"/>
      <c r="N63" s="29"/>
    </row>
    <row r="64" spans="3:16" x14ac:dyDescent="0.15">
      <c r="C64" s="4"/>
      <c r="D64" s="4"/>
      <c r="L64" s="7"/>
      <c r="M64" s="29"/>
      <c r="N64" s="29"/>
    </row>
    <row r="65" spans="3:14" x14ac:dyDescent="0.15">
      <c r="C65" s="4"/>
      <c r="D65" s="4"/>
      <c r="L65" s="7"/>
      <c r="M65" s="29"/>
      <c r="N65" s="29"/>
    </row>
    <row r="66" spans="3:14" x14ac:dyDescent="0.15">
      <c r="C66" s="4"/>
      <c r="D66" s="4"/>
      <c r="L66" s="7"/>
      <c r="M66" s="29"/>
      <c r="N66" s="29"/>
    </row>
    <row r="67" spans="3:14" x14ac:dyDescent="0.15">
      <c r="C67" s="4"/>
      <c r="D67" s="4"/>
      <c r="L67" s="7"/>
      <c r="M67" s="29"/>
      <c r="N67" s="29"/>
    </row>
    <row r="68" spans="3:14" x14ac:dyDescent="0.15">
      <c r="C68" s="4"/>
      <c r="D68" s="4"/>
      <c r="L68" s="7"/>
      <c r="M68" s="29"/>
      <c r="N68" s="29"/>
    </row>
    <row r="69" spans="3:14" x14ac:dyDescent="0.15">
      <c r="C69" s="4"/>
      <c r="D69" s="4"/>
      <c r="L69" s="7"/>
      <c r="M69" s="29"/>
      <c r="N69" s="29"/>
    </row>
    <row r="70" spans="3:14" x14ac:dyDescent="0.15">
      <c r="C70" s="4"/>
      <c r="D70" s="4"/>
      <c r="L70" s="7"/>
      <c r="M70" s="29"/>
      <c r="N70" s="29"/>
    </row>
    <row r="71" spans="3:14" x14ac:dyDescent="0.15">
      <c r="C71" s="4"/>
      <c r="D71" s="4"/>
      <c r="L71" s="7"/>
      <c r="M71" s="29"/>
      <c r="N71" s="29"/>
    </row>
    <row r="72" spans="3:14" x14ac:dyDescent="0.15">
      <c r="C72" s="4"/>
      <c r="D72" s="4"/>
      <c r="L72" s="7"/>
      <c r="M72" s="29"/>
      <c r="N72" s="29"/>
    </row>
    <row r="73" spans="3:14" x14ac:dyDescent="0.15">
      <c r="C73" s="4"/>
      <c r="D73" s="4"/>
      <c r="L73" s="7"/>
      <c r="M73" s="29"/>
      <c r="N73" s="29"/>
    </row>
    <row r="74" spans="3:14" x14ac:dyDescent="0.15">
      <c r="C74" s="4"/>
      <c r="D74" s="4"/>
      <c r="L74" s="7"/>
      <c r="M74" s="29"/>
      <c r="N74" s="29"/>
    </row>
    <row r="75" spans="3:14" x14ac:dyDescent="0.15">
      <c r="C75" s="4"/>
      <c r="D75" s="4"/>
      <c r="L75" s="7"/>
      <c r="M75" s="29"/>
      <c r="N75" s="29"/>
    </row>
    <row r="76" spans="3:14" x14ac:dyDescent="0.15">
      <c r="C76" s="4"/>
      <c r="D76" s="4"/>
      <c r="L76" s="7"/>
      <c r="M76" s="29"/>
      <c r="N76" s="29"/>
    </row>
    <row r="77" spans="3:14" x14ac:dyDescent="0.15">
      <c r="C77" s="4"/>
      <c r="D77" s="4"/>
      <c r="L77" s="7"/>
      <c r="M77" s="29"/>
      <c r="N77" s="29"/>
    </row>
    <row r="78" spans="3:14" x14ac:dyDescent="0.15">
      <c r="C78" s="4"/>
      <c r="D78" s="4"/>
      <c r="L78" s="7"/>
      <c r="M78" s="29"/>
      <c r="N78" s="29"/>
    </row>
    <row r="79" spans="3:14" x14ac:dyDescent="0.15">
      <c r="C79" s="4"/>
      <c r="D79" s="4"/>
      <c r="L79" s="7"/>
      <c r="M79" s="29"/>
      <c r="N79" s="29"/>
    </row>
    <row r="80" spans="3:14" x14ac:dyDescent="0.15">
      <c r="C80" s="4"/>
      <c r="D80" s="4"/>
      <c r="L80" s="7"/>
      <c r="M80" s="29"/>
      <c r="N80" s="29"/>
    </row>
    <row r="81" spans="3:14" x14ac:dyDescent="0.15">
      <c r="C81" s="4"/>
      <c r="D81" s="4"/>
      <c r="L81" s="7"/>
      <c r="M81" s="29"/>
      <c r="N81" s="29"/>
    </row>
  </sheetData>
  <phoneticPr fontId="26" type="noConversion"/>
  <pageMargins left="0.69930555555555596" right="0.69930555555555596" top="0.75" bottom="0.75" header="0.3" footer="0.3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60"/>
  <sheetViews>
    <sheetView workbookViewId="0">
      <pane ySplit="8" topLeftCell="A9" activePane="bottomLeft" state="frozen"/>
      <selection pane="bottomLeft" activeCell="F12" sqref="F12"/>
    </sheetView>
  </sheetViews>
  <sheetFormatPr defaultColWidth="9" defaultRowHeight="13.5" x14ac:dyDescent="0.15"/>
  <cols>
    <col min="1" max="1" width="9" style="4" customWidth="1"/>
    <col min="2" max="4" width="10.625" style="6" customWidth="1"/>
    <col min="5" max="5" width="13.125" style="6" bestFit="1" customWidth="1"/>
    <col min="6" max="7" width="9" style="4"/>
    <col min="8" max="8" width="13.125" style="6" bestFit="1" customWidth="1"/>
    <col min="9" max="16384" width="9" style="4"/>
  </cols>
  <sheetData>
    <row r="1" spans="1:8" s="1" customFormat="1" x14ac:dyDescent="0.15">
      <c r="A1" s="5" t="s">
        <v>13</v>
      </c>
      <c r="B1" s="1" t="s">
        <v>10</v>
      </c>
      <c r="C1" s="1" t="s">
        <v>10</v>
      </c>
      <c r="D1" s="1" t="s">
        <v>10</v>
      </c>
      <c r="E1" s="1" t="s">
        <v>10</v>
      </c>
    </row>
    <row r="2" spans="1:8" s="1" customFormat="1" x14ac:dyDescent="0.15">
      <c r="A2" s="5" t="s">
        <v>45</v>
      </c>
      <c r="B2" s="1" t="s">
        <v>6</v>
      </c>
      <c r="C2" s="1" t="s">
        <v>6</v>
      </c>
      <c r="D2" s="1" t="s">
        <v>6</v>
      </c>
      <c r="E2" s="1" t="s">
        <v>6</v>
      </c>
    </row>
    <row r="3" spans="1:8" s="2" customFormat="1" ht="14.25" x14ac:dyDescent="0.15">
      <c r="A3" s="16" t="s">
        <v>6</v>
      </c>
      <c r="B3" s="16" t="s">
        <v>7</v>
      </c>
      <c r="C3" s="16" t="s">
        <v>7</v>
      </c>
      <c r="D3" s="16" t="s">
        <v>7</v>
      </c>
      <c r="E3" s="16" t="s">
        <v>14</v>
      </c>
    </row>
    <row r="4" spans="1:8" s="2" customFormat="1" ht="14.25" x14ac:dyDescent="0.15">
      <c r="A4" s="16"/>
      <c r="B4" s="16" t="s">
        <v>9</v>
      </c>
      <c r="C4" s="16" t="s">
        <v>98</v>
      </c>
      <c r="D4" s="16" t="s">
        <v>93</v>
      </c>
      <c r="E4" s="16" t="s">
        <v>28</v>
      </c>
    </row>
    <row r="5" spans="1:8" s="2" customFormat="1" ht="14.25" x14ac:dyDescent="0.15">
      <c r="A5" s="16"/>
      <c r="B5" s="16" t="str">
        <f t="shared" ref="B5:E5" si="0">IF(B3="","",IF(B3="INT","i",IF(B3="FLOAT","f",IF(B3="STRING","s"))))</f>
        <v>i</v>
      </c>
      <c r="C5" s="16" t="str">
        <f t="shared" ref="C5:D5" si="1">IF(C3="","",IF(C3="INT","i",IF(C3="FLOAT","f",IF(C3="STRING","s"))))</f>
        <v>i</v>
      </c>
      <c r="D5" s="16" t="str">
        <f t="shared" si="1"/>
        <v>i</v>
      </c>
      <c r="E5" s="16" t="str">
        <f t="shared" si="0"/>
        <v>s</v>
      </c>
    </row>
    <row r="6" spans="1:8" s="2" customFormat="1" ht="14.25" x14ac:dyDescent="0.15">
      <c r="A6" s="16" t="s">
        <v>6</v>
      </c>
      <c r="B6" s="16" t="str">
        <f t="shared" ref="B6:E6" si="2">B5&amp;B4</f>
        <v>iID</v>
      </c>
      <c r="C6" s="16" t="str">
        <f t="shared" ref="C6:D6" si="3">C5&amp;C4</f>
        <v>iChapterID</v>
      </c>
      <c r="D6" s="16" t="str">
        <f t="shared" si="3"/>
        <v>iSectionID</v>
      </c>
      <c r="E6" s="16" t="str">
        <f t="shared" si="2"/>
        <v>sAwardInfo</v>
      </c>
    </row>
    <row r="7" spans="1:8" s="3" customFormat="1" ht="14.25" x14ac:dyDescent="0.15">
      <c r="A7" s="16"/>
      <c r="B7" s="16" t="s">
        <v>100</v>
      </c>
      <c r="C7" s="16" t="s">
        <v>99</v>
      </c>
      <c r="D7" s="16" t="s">
        <v>94</v>
      </c>
      <c r="E7" s="16" t="s">
        <v>95</v>
      </c>
      <c r="H7" s="2"/>
    </row>
    <row r="8" spans="1:8" s="3" customFormat="1" ht="14.25" x14ac:dyDescent="0.15">
      <c r="A8" s="16" t="s">
        <v>8</v>
      </c>
      <c r="B8" s="16">
        <v>0</v>
      </c>
      <c r="C8" s="16">
        <v>0</v>
      </c>
      <c r="D8" s="16">
        <v>0</v>
      </c>
      <c r="E8" s="16"/>
      <c r="H8" s="2"/>
    </row>
    <row r="9" spans="1:8" ht="14.25" x14ac:dyDescent="0.15">
      <c r="A9" s="17" t="s">
        <v>6</v>
      </c>
      <c r="B9" s="18">
        <v>1</v>
      </c>
      <c r="C9" s="18">
        <v>901</v>
      </c>
      <c r="D9" s="18"/>
      <c r="E9" s="19" t="s">
        <v>103</v>
      </c>
      <c r="F9" s="8"/>
    </row>
    <row r="10" spans="1:8" ht="14.25" x14ac:dyDescent="0.15">
      <c r="A10" s="17" t="s">
        <v>43</v>
      </c>
      <c r="B10" s="18">
        <v>2</v>
      </c>
      <c r="C10" s="18">
        <v>901</v>
      </c>
      <c r="D10" s="18"/>
      <c r="E10" s="19" t="s">
        <v>103</v>
      </c>
      <c r="F10" s="8"/>
    </row>
    <row r="11" spans="1:8" ht="14.25" x14ac:dyDescent="0.15">
      <c r="A11" s="17" t="s">
        <v>43</v>
      </c>
      <c r="B11" s="18">
        <v>3</v>
      </c>
      <c r="C11" s="18">
        <v>901</v>
      </c>
      <c r="D11" s="18"/>
      <c r="E11" s="19" t="s">
        <v>103</v>
      </c>
      <c r="F11" s="8"/>
    </row>
    <row r="12" spans="1:8" ht="14.25" x14ac:dyDescent="0.15">
      <c r="A12" s="17" t="s">
        <v>43</v>
      </c>
      <c r="B12" s="18">
        <v>4</v>
      </c>
      <c r="C12" s="18">
        <v>901</v>
      </c>
      <c r="D12" s="18"/>
      <c r="E12" s="19" t="s">
        <v>103</v>
      </c>
      <c r="F12" s="8"/>
    </row>
    <row r="13" spans="1:8" ht="14.25" x14ac:dyDescent="0.15">
      <c r="A13" s="17" t="s">
        <v>43</v>
      </c>
      <c r="B13" s="18">
        <v>5</v>
      </c>
      <c r="C13" s="18">
        <v>902</v>
      </c>
      <c r="D13" s="18"/>
      <c r="E13" s="19" t="s">
        <v>103</v>
      </c>
      <c r="F13" s="8"/>
    </row>
    <row r="14" spans="1:8" ht="14.25" x14ac:dyDescent="0.15">
      <c r="A14" s="17" t="s">
        <v>43</v>
      </c>
      <c r="B14" s="18">
        <v>6</v>
      </c>
      <c r="C14" s="18">
        <v>902</v>
      </c>
      <c r="D14" s="18"/>
      <c r="E14" s="19" t="s">
        <v>103</v>
      </c>
      <c r="F14" s="8"/>
    </row>
    <row r="15" spans="1:8" ht="14.25" x14ac:dyDescent="0.15">
      <c r="A15" s="17" t="s">
        <v>43</v>
      </c>
      <c r="B15" s="18">
        <v>7</v>
      </c>
      <c r="C15" s="18">
        <v>903</v>
      </c>
      <c r="D15" s="18"/>
      <c r="E15" s="19" t="s">
        <v>103</v>
      </c>
      <c r="F15" s="8"/>
    </row>
    <row r="16" spans="1:8" ht="14.25" x14ac:dyDescent="0.15">
      <c r="A16" s="17" t="s">
        <v>43</v>
      </c>
      <c r="B16" s="18">
        <v>8</v>
      </c>
      <c r="C16" s="18">
        <v>903</v>
      </c>
      <c r="D16" s="18"/>
      <c r="E16" s="19" t="s">
        <v>103</v>
      </c>
      <c r="F16" s="8"/>
    </row>
    <row r="17" spans="1:6" ht="14.25" x14ac:dyDescent="0.15">
      <c r="A17" s="17" t="s">
        <v>43</v>
      </c>
      <c r="B17" s="18">
        <v>9</v>
      </c>
      <c r="C17" s="18">
        <v>909</v>
      </c>
      <c r="D17" s="18"/>
      <c r="E17" s="19" t="s">
        <v>103</v>
      </c>
      <c r="F17" s="8"/>
    </row>
    <row r="18" spans="1:6" ht="14.25" x14ac:dyDescent="0.15">
      <c r="A18" s="17" t="s">
        <v>43</v>
      </c>
      <c r="B18" s="18">
        <v>10</v>
      </c>
      <c r="C18" s="18">
        <v>910</v>
      </c>
      <c r="D18" s="18"/>
      <c r="E18" s="19" t="s">
        <v>103</v>
      </c>
      <c r="F18" s="8"/>
    </row>
    <row r="19" spans="1:6" ht="14.25" x14ac:dyDescent="0.15">
      <c r="A19" s="17" t="s">
        <v>43</v>
      </c>
      <c r="B19" s="18">
        <v>11</v>
      </c>
      <c r="C19" s="18">
        <v>911</v>
      </c>
      <c r="D19" s="18"/>
      <c r="E19" s="19" t="s">
        <v>103</v>
      </c>
      <c r="F19" s="8"/>
    </row>
    <row r="20" spans="1:6" ht="14.25" x14ac:dyDescent="0.15">
      <c r="A20" s="17" t="s">
        <v>43</v>
      </c>
      <c r="B20" s="18">
        <v>12</v>
      </c>
      <c r="C20" s="18">
        <v>912</v>
      </c>
      <c r="D20" s="18"/>
      <c r="E20" s="19" t="s">
        <v>103</v>
      </c>
      <c r="F20" s="8"/>
    </row>
    <row r="21" spans="1:6" ht="14.25" x14ac:dyDescent="0.15">
      <c r="A21" s="30" t="s">
        <v>43</v>
      </c>
      <c r="B21" s="18">
        <v>13</v>
      </c>
      <c r="C21" s="18">
        <v>913</v>
      </c>
      <c r="D21" s="18"/>
      <c r="E21" s="19" t="s">
        <v>103</v>
      </c>
      <c r="F21" s="8"/>
    </row>
    <row r="22" spans="1:6" ht="14.25" x14ac:dyDescent="0.15">
      <c r="A22" s="17" t="s">
        <v>43</v>
      </c>
      <c r="B22" s="18">
        <v>14</v>
      </c>
      <c r="C22" s="18">
        <v>914</v>
      </c>
      <c r="D22" s="18"/>
      <c r="E22" s="19" t="s">
        <v>103</v>
      </c>
      <c r="F22" s="8"/>
    </row>
    <row r="23" spans="1:6" ht="14.25" x14ac:dyDescent="0.15">
      <c r="A23" s="17" t="s">
        <v>43</v>
      </c>
      <c r="B23" s="18">
        <v>15</v>
      </c>
      <c r="C23" s="18">
        <v>915</v>
      </c>
      <c r="D23" s="18"/>
      <c r="E23" s="19" t="s">
        <v>103</v>
      </c>
      <c r="F23" s="8"/>
    </row>
    <row r="24" spans="1:6" ht="14.25" x14ac:dyDescent="0.15">
      <c r="A24" s="17" t="s">
        <v>43</v>
      </c>
      <c r="B24" s="18">
        <v>16</v>
      </c>
      <c r="C24" s="18">
        <v>916</v>
      </c>
      <c r="D24" s="18"/>
      <c r="E24" s="19" t="s">
        <v>103</v>
      </c>
      <c r="F24" s="8"/>
    </row>
    <row r="25" spans="1:6" ht="14.25" x14ac:dyDescent="0.15">
      <c r="A25" s="17" t="s">
        <v>43</v>
      </c>
      <c r="B25" s="18">
        <v>17</v>
      </c>
      <c r="C25" s="18">
        <v>917</v>
      </c>
      <c r="D25" s="18"/>
      <c r="E25" s="19" t="s">
        <v>103</v>
      </c>
      <c r="F25" s="8"/>
    </row>
    <row r="26" spans="1:6" ht="14.25" x14ac:dyDescent="0.15">
      <c r="A26" s="17" t="s">
        <v>43</v>
      </c>
      <c r="B26" s="18">
        <v>18</v>
      </c>
      <c r="C26" s="18">
        <v>918</v>
      </c>
      <c r="D26" s="18"/>
      <c r="E26" s="19" t="s">
        <v>103</v>
      </c>
      <c r="F26" s="8"/>
    </row>
    <row r="27" spans="1:6" ht="14.25" x14ac:dyDescent="0.15">
      <c r="A27" s="17" t="s">
        <v>43</v>
      </c>
      <c r="B27" s="18">
        <v>19</v>
      </c>
      <c r="C27" s="18">
        <v>919</v>
      </c>
      <c r="D27" s="18"/>
      <c r="E27" s="19" t="s">
        <v>103</v>
      </c>
      <c r="F27" s="8"/>
    </row>
    <row r="28" spans="1:6" ht="14.25" x14ac:dyDescent="0.15">
      <c r="A28" s="17" t="s">
        <v>43</v>
      </c>
      <c r="B28" s="18">
        <v>20</v>
      </c>
      <c r="C28" s="18">
        <v>920</v>
      </c>
      <c r="D28" s="18"/>
      <c r="E28" s="19" t="s">
        <v>103</v>
      </c>
      <c r="F28" s="8"/>
    </row>
    <row r="29" spans="1:6" x14ac:dyDescent="0.15">
      <c r="F29" s="8"/>
    </row>
    <row r="30" spans="1:6" x14ac:dyDescent="0.15">
      <c r="F30" s="8"/>
    </row>
    <row r="31" spans="1:6" x14ac:dyDescent="0.15">
      <c r="F31" s="8"/>
    </row>
    <row r="32" spans="1:6" x14ac:dyDescent="0.15">
      <c r="F32" s="8"/>
    </row>
    <row r="33" spans="6:6" x14ac:dyDescent="0.15">
      <c r="F33" s="8"/>
    </row>
    <row r="34" spans="6:6" x14ac:dyDescent="0.15">
      <c r="F34" s="8"/>
    </row>
    <row r="35" spans="6:6" x14ac:dyDescent="0.15">
      <c r="F35" s="8"/>
    </row>
    <row r="36" spans="6:6" x14ac:dyDescent="0.15">
      <c r="F36" s="8"/>
    </row>
    <row r="37" spans="6:6" x14ac:dyDescent="0.15">
      <c r="F37" s="8"/>
    </row>
    <row r="38" spans="6:6" x14ac:dyDescent="0.15">
      <c r="F38" s="8"/>
    </row>
    <row r="39" spans="6:6" x14ac:dyDescent="0.15">
      <c r="F39" s="8"/>
    </row>
    <row r="56" spans="6:6" x14ac:dyDescent="0.15">
      <c r="F56" s="8"/>
    </row>
    <row r="57" spans="6:6" x14ac:dyDescent="0.15">
      <c r="F57" s="8"/>
    </row>
    <row r="58" spans="6:6" x14ac:dyDescent="0.15">
      <c r="F58" s="8"/>
    </row>
    <row r="59" spans="6:6" x14ac:dyDescent="0.15">
      <c r="F59" s="8"/>
    </row>
    <row r="60" spans="6:6" x14ac:dyDescent="0.15">
      <c r="F60" s="8"/>
    </row>
  </sheetData>
  <phoneticPr fontId="26" type="noConversion"/>
  <pageMargins left="0.69930555555555596" right="0.69930555555555596" top="0.75" bottom="0.75" header="0.3" footer="0.3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INDEX</vt:lpstr>
      <vt:lpstr>ChapterBaseCfg</vt:lpstr>
      <vt:lpstr>SectionProcessAward</vt:lpstr>
    </vt:vector>
  </TitlesOfParts>
  <Company>微软中国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boot</cp:lastModifiedBy>
  <dcterms:created xsi:type="dcterms:W3CDTF">2015-12-31T17:39:00Z</dcterms:created>
  <dcterms:modified xsi:type="dcterms:W3CDTF">2020-01-16T07:13:13Z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2052-9.1.0.5113</vt:lpwstr>
  </property>
</Properties>
</file>