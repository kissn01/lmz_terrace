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vn\Doc\Dev\DataConfig\China\"/>
    </mc:Choice>
  </mc:AlternateContent>
  <bookViews>
    <workbookView xWindow="17850" yWindow="-120" windowWidth="29040" windowHeight="15840" tabRatio="628" activeTab="1"/>
  </bookViews>
  <sheets>
    <sheet name="INDEX" sheetId="1" r:id="rId1"/>
    <sheet name="Item" sheetId="3" r:id="rId2"/>
    <sheet name="PktItem" sheetId="4" r:id="rId3"/>
    <sheet name="ItemQuality" sheetId="5" r:id="rId4"/>
    <sheet name="FastItem" sheetId="6" r:id="rId5"/>
    <sheet name="ExpItem" sheetId="7" r:id="rId6"/>
    <sheet name="SellItem" sheetId="8" r:id="rId7"/>
    <sheet name="GiftItem" sheetId="10" r:id="rId8"/>
    <sheet name="Voicetem" sheetId="9" r:id="rId9"/>
  </sheets>
  <definedNames>
    <definedName name="_xlnm._FilterDatabase" localSheetId="0" hidden="1">INDEX!$A$2:$F$5</definedName>
    <definedName name="_xlnm._FilterDatabase" localSheetId="1" hidden="1">Item!$D$1:$D$1108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4" l="1"/>
  <c r="T6" i="3" l="1"/>
  <c r="C6" i="10" l="1"/>
  <c r="B5" i="10" l="1"/>
  <c r="B6" i="10" s="1"/>
  <c r="B5" i="9" l="1"/>
  <c r="B6" i="9" s="1"/>
  <c r="S6" i="3" l="1"/>
  <c r="F6" i="8" l="1"/>
  <c r="D5" i="8" l="1"/>
  <c r="D6" i="8" s="1"/>
  <c r="E6" i="8"/>
  <c r="B5" i="8" l="1"/>
  <c r="B6" i="8" s="1"/>
  <c r="C5" i="8"/>
  <c r="C6" i="8" s="1"/>
  <c r="C6" i="7" l="1"/>
  <c r="D6" i="7" l="1"/>
  <c r="B5" i="7" l="1"/>
  <c r="B6" i="7" s="1"/>
  <c r="R6" i="3" l="1"/>
  <c r="C6" i="6" l="1"/>
  <c r="B5" i="6"/>
  <c r="B6" i="6" s="1"/>
  <c r="E5" i="5"/>
  <c r="E6" i="5" s="1"/>
  <c r="D5" i="5"/>
  <c r="D6" i="5" s="1"/>
  <c r="B8" i="5"/>
  <c r="C6" i="5"/>
  <c r="B5" i="5"/>
  <c r="B6" i="5" s="1"/>
  <c r="Q6" i="3"/>
  <c r="P5" i="3"/>
  <c r="P6" i="3" s="1"/>
  <c r="O5" i="3"/>
  <c r="O6" i="3" s="1"/>
  <c r="K6" i="4"/>
  <c r="N6" i="3"/>
  <c r="M6" i="3"/>
  <c r="B8" i="4"/>
  <c r="I6" i="4"/>
  <c r="H6" i="4"/>
  <c r="E6" i="4"/>
  <c r="F5" i="4"/>
  <c r="F6" i="4" s="1"/>
  <c r="B5" i="4"/>
  <c r="B6" i="4" s="1"/>
  <c r="E5" i="3"/>
  <c r="E6" i="3" s="1"/>
  <c r="I6" i="3"/>
  <c r="K6" i="3"/>
  <c r="J6" i="3"/>
  <c r="H6" i="3"/>
  <c r="B8" i="3"/>
  <c r="G6" i="3"/>
  <c r="F6" i="3"/>
  <c r="C6" i="3"/>
  <c r="D5" i="3"/>
  <c r="B5" i="3"/>
  <c r="B6" i="3" s="1"/>
  <c r="J10" i="4" l="1"/>
  <c r="J14" i="4"/>
  <c r="J18" i="4"/>
  <c r="J22" i="4"/>
  <c r="J16" i="4"/>
  <c r="J24" i="4"/>
  <c r="J17" i="4"/>
  <c r="J11" i="4"/>
  <c r="J15" i="4"/>
  <c r="J19" i="4"/>
  <c r="J23" i="4"/>
  <c r="J12" i="4"/>
  <c r="J20" i="4"/>
  <c r="J13" i="4"/>
  <c r="J21" i="4"/>
  <c r="J9" i="4"/>
  <c r="D6" i="3"/>
</calcChain>
</file>

<file path=xl/sharedStrings.xml><?xml version="1.0" encoding="utf-8"?>
<sst xmlns="http://schemas.openxmlformats.org/spreadsheetml/2006/main" count="5257" uniqueCount="2169">
  <si>
    <t>1至100之和：</t>
  </si>
  <si>
    <t>导出者</t>
  </si>
  <si>
    <t>Count</t>
  </si>
  <si>
    <t>SheetName</t>
  </si>
  <si>
    <t>TargetDIR</t>
  </si>
  <si>
    <t>StringDIR</t>
  </si>
  <si>
    <t>注释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</si>
  <si>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</si>
  <si>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*</t>
  </si>
  <si>
    <t>INT</t>
  </si>
  <si>
    <t>STRING</t>
  </si>
  <si>
    <t>默认值</t>
  </si>
  <si>
    <t>ID</t>
  </si>
  <si>
    <t>*</t>
    <phoneticPr fontId="26" type="noConversion"/>
  </si>
  <si>
    <t>*</t>
    <phoneticPr fontId="26" type="noConversion"/>
  </si>
  <si>
    <t>client</t>
    <phoneticPr fontId="26" type="noConversion"/>
  </si>
  <si>
    <t>Item</t>
    <phoneticPr fontId="26" type="noConversion"/>
  </si>
  <si>
    <t>道具</t>
    <phoneticPr fontId="26" type="noConversion"/>
  </si>
  <si>
    <t>INT</t>
    <phoneticPr fontId="28" type="noConversion"/>
  </si>
  <si>
    <t>STRING</t>
    <phoneticPr fontId="28" type="noConversion"/>
  </si>
  <si>
    <t>STRING</t>
    <phoneticPr fontId="28" type="noConversion"/>
  </si>
  <si>
    <t>ItemType</t>
    <phoneticPr fontId="28" type="noConversion"/>
  </si>
  <si>
    <t>Name</t>
    <phoneticPr fontId="28" type="noConversion"/>
  </si>
  <si>
    <t>Dec</t>
    <phoneticPr fontId="28" type="noConversion"/>
  </si>
  <si>
    <t>Time</t>
    <phoneticPr fontId="28" type="noConversion"/>
  </si>
  <si>
    <t>i</t>
    <phoneticPr fontId="28" type="noConversion"/>
  </si>
  <si>
    <t>s</t>
    <phoneticPr fontId="28" type="noConversion"/>
  </si>
  <si>
    <t>s</t>
    <phoneticPr fontId="28" type="noConversion"/>
  </si>
  <si>
    <t>物品索引</t>
    <phoneticPr fontId="28" type="noConversion"/>
  </si>
  <si>
    <t>名字</t>
    <phoneticPr fontId="28" type="noConversion"/>
  </si>
  <si>
    <t>描述</t>
    <phoneticPr fontId="28" type="noConversion"/>
  </si>
  <si>
    <t>有效时间</t>
    <phoneticPr fontId="28" type="noConversion"/>
  </si>
  <si>
    <t>金币</t>
    <phoneticPr fontId="28" type="noConversion"/>
  </si>
  <si>
    <t>..\..\DataServer\China\</t>
    <phoneticPr fontId="28" type="noConversion"/>
  </si>
  <si>
    <t>Price</t>
    <phoneticPr fontId="28" type="noConversion"/>
  </si>
  <si>
    <t>sellable</t>
    <phoneticPr fontId="28" type="noConversion"/>
  </si>
  <si>
    <t>是否可以出售</t>
    <phoneticPr fontId="28" type="noConversion"/>
  </si>
  <si>
    <t>PriceFormulatioin</t>
    <phoneticPr fontId="28" type="noConversion"/>
  </si>
  <si>
    <t>价格加成配方ID</t>
    <phoneticPr fontId="28" type="noConversion"/>
  </si>
  <si>
    <t>出售金币价格</t>
    <phoneticPr fontId="28" type="noConversion"/>
  </si>
  <si>
    <t>SellAward</t>
    <phoneticPr fontId="28" type="noConversion"/>
  </si>
  <si>
    <t>护身符</t>
    <phoneticPr fontId="28" type="noConversion"/>
  </si>
  <si>
    <t>香雪兰</t>
  </si>
  <si>
    <t>松枝</t>
  </si>
  <si>
    <t>胡葵</t>
  </si>
  <si>
    <t>马蹄莲</t>
  </si>
  <si>
    <t>梅花</t>
  </si>
  <si>
    <t>木兰</t>
  </si>
  <si>
    <t>杜鹃</t>
  </si>
  <si>
    <t>火棘</t>
  </si>
  <si>
    <t>甘草</t>
  </si>
  <si>
    <t>麦门冬</t>
  </si>
  <si>
    <t>黄连</t>
  </si>
  <si>
    <t>黄芩</t>
  </si>
  <si>
    <t>柴胡</t>
  </si>
  <si>
    <t>芍药</t>
  </si>
  <si>
    <t>附子</t>
  </si>
  <si>
    <t>当归</t>
  </si>
  <si>
    <t>茯苓</t>
  </si>
  <si>
    <t>地黄</t>
  </si>
  <si>
    <t>大黄</t>
  </si>
  <si>
    <t>对应图标</t>
    <phoneticPr fontId="28" type="noConversion"/>
  </si>
  <si>
    <t>STRING</t>
    <phoneticPr fontId="26" type="noConversion"/>
  </si>
  <si>
    <t>QualityLevel</t>
    <phoneticPr fontId="26" type="noConversion"/>
  </si>
  <si>
    <t>iQualityLevel</t>
    <phoneticPr fontId="26" type="noConversion"/>
  </si>
  <si>
    <t>道具品质等级</t>
    <phoneticPr fontId="26" type="noConversion"/>
  </si>
  <si>
    <t>导出/server</t>
    <phoneticPr fontId="26" type="noConversion"/>
  </si>
  <si>
    <t>父礼包</t>
    <phoneticPr fontId="26" type="noConversion"/>
  </si>
  <si>
    <t>子物品</t>
    <phoneticPr fontId="26" type="noConversion"/>
  </si>
  <si>
    <t>ItemNum</t>
    <phoneticPr fontId="28" type="noConversion"/>
  </si>
  <si>
    <t>物品数量</t>
    <phoneticPr fontId="28" type="noConversion"/>
  </si>
  <si>
    <t>INT</t>
    <phoneticPr fontId="26" type="noConversion"/>
  </si>
  <si>
    <t>权重</t>
    <phoneticPr fontId="28" type="noConversion"/>
  </si>
  <si>
    <t>金币</t>
    <phoneticPr fontId="26" type="noConversion"/>
  </si>
  <si>
    <t>PktId</t>
    <phoneticPr fontId="28" type="noConversion"/>
  </si>
  <si>
    <t>CalcRate</t>
    <phoneticPr fontId="28" type="noConversion"/>
  </si>
  <si>
    <t>礼包ID</t>
    <phoneticPr fontId="28" type="noConversion"/>
  </si>
  <si>
    <t>ItemId</t>
    <phoneticPr fontId="28" type="noConversion"/>
  </si>
  <si>
    <t>物品ID</t>
    <phoneticPr fontId="28" type="noConversion"/>
  </si>
  <si>
    <t>备注2</t>
    <phoneticPr fontId="26" type="noConversion"/>
  </si>
  <si>
    <t>备注3</t>
    <phoneticPr fontId="26" type="noConversion"/>
  </si>
  <si>
    <t>*</t>
    <phoneticPr fontId="26" type="noConversion"/>
  </si>
  <si>
    <t>INT</t>
    <phoneticPr fontId="26" type="noConversion"/>
  </si>
  <si>
    <t>UseType</t>
    <phoneticPr fontId="26" type="noConversion"/>
  </si>
  <si>
    <t>i</t>
    <phoneticPr fontId="26" type="noConversion"/>
  </si>
  <si>
    <t>SubItemType</t>
    <phoneticPr fontId="26" type="noConversion"/>
  </si>
  <si>
    <t>PktItem</t>
    <phoneticPr fontId="26" type="noConversion"/>
  </si>
  <si>
    <t>礼包</t>
    <phoneticPr fontId="26" type="noConversion"/>
  </si>
  <si>
    <t>随机模式:独立随机礼包|圆桌随机礼包</t>
    <phoneticPr fontId="26" type="noConversion"/>
  </si>
  <si>
    <t>SortLvl</t>
    <phoneticPr fontId="26" type="noConversion"/>
  </si>
  <si>
    <t>i</t>
    <phoneticPr fontId="26" type="noConversion"/>
  </si>
  <si>
    <t>排序</t>
    <phoneticPr fontId="26" type="noConversion"/>
  </si>
  <si>
    <t>BigIcon</t>
    <phoneticPr fontId="28" type="noConversion"/>
  </si>
  <si>
    <t>普通洗髓丹</t>
    <phoneticPr fontId="28" type="noConversion"/>
  </si>
  <si>
    <t>高级洗髓丹</t>
    <phoneticPr fontId="28" type="noConversion"/>
  </si>
  <si>
    <t>猫薄荷</t>
    <phoneticPr fontId="28" type="noConversion"/>
  </si>
  <si>
    <t>icon_prop_21003_mianfen</t>
  </si>
  <si>
    <t>icon_prop_23006_yuebairanliao</t>
  </si>
  <si>
    <t>icon_prop_23007_fenhongranliao</t>
  </si>
  <si>
    <t>icon_prop_23008_hulanranliao</t>
  </si>
  <si>
    <t>icon_prop_23009_ehuangranliao</t>
  </si>
  <si>
    <t>ItemQuality</t>
    <phoneticPr fontId="26" type="noConversion"/>
  </si>
  <si>
    <t>品质底框</t>
    <phoneticPr fontId="28" type="noConversion"/>
  </si>
  <si>
    <t>话题</t>
    <phoneticPr fontId="26" type="noConversion"/>
  </si>
  <si>
    <t>男主资料</t>
    <phoneticPr fontId="26" type="noConversion"/>
  </si>
  <si>
    <t>菜市场</t>
    <phoneticPr fontId="26" type="noConversion"/>
  </si>
  <si>
    <t>登高望远</t>
    <phoneticPr fontId="26" type="noConversion"/>
  </si>
  <si>
    <t>鱼塘</t>
    <phoneticPr fontId="26" type="noConversion"/>
  </si>
  <si>
    <t>玛仁糖</t>
    <phoneticPr fontId="26" type="noConversion"/>
  </si>
  <si>
    <t>猫总管</t>
    <phoneticPr fontId="26" type="noConversion"/>
  </si>
  <si>
    <t>工作台</t>
    <phoneticPr fontId="26" type="noConversion"/>
  </si>
  <si>
    <t>农田</t>
    <phoneticPr fontId="26" type="noConversion"/>
  </si>
  <si>
    <t>牧场</t>
    <phoneticPr fontId="26" type="noConversion"/>
  </si>
  <si>
    <t>矿洞</t>
    <phoneticPr fontId="26" type="noConversion"/>
  </si>
  <si>
    <t>仓库</t>
    <phoneticPr fontId="26" type="noConversion"/>
  </si>
  <si>
    <t>猫爬架</t>
    <phoneticPr fontId="26" type="noConversion"/>
  </si>
  <si>
    <t>货郎猫</t>
    <phoneticPr fontId="26" type="noConversion"/>
  </si>
  <si>
    <t>*</t>
    <phoneticPr fontId="26" type="noConversion"/>
  </si>
  <si>
    <t>INT</t>
    <phoneticPr fontId="26" type="noConversion"/>
  </si>
  <si>
    <t>LimitCnt</t>
    <phoneticPr fontId="26" type="noConversion"/>
  </si>
  <si>
    <t>i</t>
    <phoneticPr fontId="26" type="noConversion"/>
  </si>
  <si>
    <t>物品上限</t>
    <phoneticPr fontId="26" type="noConversion"/>
  </si>
  <si>
    <t>猫垫子</t>
  </si>
  <si>
    <t>猫垫子</t>
    <phoneticPr fontId="26" type="noConversion"/>
  </si>
  <si>
    <t>树木</t>
    <phoneticPr fontId="26" type="noConversion"/>
  </si>
  <si>
    <t>树木</t>
    <phoneticPr fontId="26" type="noConversion"/>
  </si>
  <si>
    <t>玩具</t>
    <phoneticPr fontId="26" type="noConversion"/>
  </si>
  <si>
    <t>玩具</t>
    <phoneticPr fontId="26" type="noConversion"/>
  </si>
  <si>
    <t>猫爬架</t>
    <phoneticPr fontId="26" type="noConversion"/>
  </si>
  <si>
    <t>ItemLevel</t>
    <phoneticPr fontId="28" type="noConversion"/>
  </si>
  <si>
    <t>物品品质</t>
    <phoneticPr fontId="28" type="noConversion"/>
  </si>
  <si>
    <t>白</t>
    <phoneticPr fontId="26" type="noConversion"/>
  </si>
  <si>
    <t>绿</t>
    <phoneticPr fontId="26" type="noConversion"/>
  </si>
  <si>
    <t>蓝</t>
    <phoneticPr fontId="26" type="noConversion"/>
  </si>
  <si>
    <t>橙</t>
    <phoneticPr fontId="26" type="noConversion"/>
  </si>
  <si>
    <t>金</t>
    <phoneticPr fontId="26" type="noConversion"/>
  </si>
  <si>
    <t>QualityName</t>
    <phoneticPr fontId="28" type="noConversion"/>
  </si>
  <si>
    <t>品质名称</t>
    <phoneticPr fontId="28" type="noConversion"/>
  </si>
  <si>
    <t>A</t>
    <phoneticPr fontId="26" type="noConversion"/>
  </si>
  <si>
    <t>B</t>
    <phoneticPr fontId="26" type="noConversion"/>
  </si>
  <si>
    <t>道具品质</t>
    <phoneticPr fontId="26" type="noConversion"/>
  </si>
  <si>
    <t>ItemQuality</t>
    <phoneticPr fontId="26" type="noConversion"/>
  </si>
  <si>
    <t>client</t>
    <phoneticPr fontId="26" type="noConversion"/>
  </si>
  <si>
    <t>STRING</t>
    <phoneticPr fontId="26" type="noConversion"/>
  </si>
  <si>
    <t>QualityName1</t>
    <phoneticPr fontId="28" type="noConversion"/>
  </si>
  <si>
    <t>品质名称1</t>
    <phoneticPr fontId="28" type="noConversion"/>
  </si>
  <si>
    <t>S</t>
    <phoneticPr fontId="26" type="noConversion"/>
  </si>
  <si>
    <t>C</t>
    <phoneticPr fontId="26" type="noConversion"/>
  </si>
  <si>
    <t>D</t>
    <phoneticPr fontId="26" type="noConversion"/>
  </si>
  <si>
    <t>backyard_item01</t>
    <phoneticPr fontId="26" type="noConversion"/>
  </si>
  <si>
    <t>桂花糕和绿豆酥</t>
    <phoneticPr fontId="26" type="noConversion"/>
  </si>
  <si>
    <t>今夜星辰</t>
    <phoneticPr fontId="26" type="noConversion"/>
  </si>
  <si>
    <t>暖身的酒</t>
    <phoneticPr fontId="26" type="noConversion"/>
  </si>
  <si>
    <t>小鱼干</t>
    <phoneticPr fontId="28" type="noConversion"/>
  </si>
  <si>
    <t>探索司</t>
    <phoneticPr fontId="26" type="noConversion"/>
  </si>
  <si>
    <t>森林货币</t>
    <phoneticPr fontId="26" type="noConversion"/>
  </si>
  <si>
    <t>沙漠货币</t>
    <phoneticPr fontId="26" type="noConversion"/>
  </si>
  <si>
    <t>湖泊货币</t>
    <phoneticPr fontId="26" type="noConversion"/>
  </si>
  <si>
    <t>山脉货币</t>
    <phoneticPr fontId="26" type="noConversion"/>
  </si>
  <si>
    <t>煤炭</t>
    <phoneticPr fontId="26" type="noConversion"/>
  </si>
  <si>
    <t>纸类</t>
    <phoneticPr fontId="26" type="noConversion"/>
  </si>
  <si>
    <t>探索森林类地图有可能获得的稀有货币，可以兑换相关道具</t>
  </si>
  <si>
    <t>探索沙漠类地图有可能获得的稀有货币，可以兑换相关道具</t>
  </si>
  <si>
    <t>探索湖泊类地图有可能获得的稀有货币，可以兑换相关道具</t>
  </si>
  <si>
    <t>探索山脉类地图有可能获得的稀有货币，可以兑换相关道具</t>
  </si>
  <si>
    <t>*</t>
    <phoneticPr fontId="26" type="noConversion"/>
  </si>
  <si>
    <t>答案书</t>
  </si>
  <si>
    <t>天气瓶</t>
  </si>
  <si>
    <t>萤火虫</t>
  </si>
  <si>
    <t>鳄鱼牙齿</t>
  </si>
  <si>
    <t>留声海螺</t>
  </si>
  <si>
    <t>小米粥</t>
  </si>
  <si>
    <t>最大</t>
  </si>
  <si>
    <t>星允制作的机关玩具</t>
    <phoneticPr fontId="26" type="noConversion"/>
  </si>
  <si>
    <t>中秋明月</t>
    <phoneticPr fontId="26" type="noConversion"/>
  </si>
  <si>
    <t>情人节蝴蝶结</t>
    <phoneticPr fontId="26" type="noConversion"/>
  </si>
  <si>
    <t>春节中国结</t>
    <phoneticPr fontId="26" type="noConversion"/>
  </si>
  <si>
    <t>初见霸总</t>
    <phoneticPr fontId="26" type="noConversion"/>
  </si>
  <si>
    <t>初次见到霸总的心跳回忆</t>
    <phoneticPr fontId="26" type="noConversion"/>
  </si>
  <si>
    <t>郎情妾意</t>
    <phoneticPr fontId="26" type="noConversion"/>
  </si>
  <si>
    <t>跟男主的心跳回忆</t>
    <phoneticPr fontId="26" type="noConversion"/>
  </si>
  <si>
    <t>两小无猜</t>
    <phoneticPr fontId="26" type="noConversion"/>
  </si>
  <si>
    <t>两个小朋友的感情</t>
    <phoneticPr fontId="26" type="noConversion"/>
  </si>
  <si>
    <t>出水芙蓉</t>
    <phoneticPr fontId="26" type="noConversion"/>
  </si>
  <si>
    <t>漂亮的女主游泳图</t>
    <phoneticPr fontId="26" type="noConversion"/>
  </si>
  <si>
    <t>小木筏</t>
    <phoneticPr fontId="26" type="noConversion"/>
  </si>
  <si>
    <t>扁舟</t>
    <phoneticPr fontId="26" type="noConversion"/>
  </si>
  <si>
    <t>大油船</t>
    <phoneticPr fontId="26" type="noConversion"/>
  </si>
  <si>
    <t>货轮</t>
    <phoneticPr fontId="26" type="noConversion"/>
  </si>
  <si>
    <t>巨型货轮</t>
    <phoneticPr fontId="26" type="noConversion"/>
  </si>
  <si>
    <t>豪华货轮</t>
    <phoneticPr fontId="26" type="noConversion"/>
  </si>
  <si>
    <t>泰坦尼克号</t>
    <phoneticPr fontId="26" type="noConversion"/>
  </si>
  <si>
    <t>油船</t>
    <phoneticPr fontId="26" type="noConversion"/>
  </si>
  <si>
    <t>大货轮</t>
    <phoneticPr fontId="26" type="noConversion"/>
  </si>
  <si>
    <t>特大豪华货轮</t>
    <phoneticPr fontId="26" type="noConversion"/>
  </si>
  <si>
    <t>通用话题</t>
    <phoneticPr fontId="26" type="noConversion"/>
  </si>
  <si>
    <t>中秋明月</t>
    <phoneticPr fontId="26" type="noConversion"/>
  </si>
  <si>
    <t>情人节蝴蝶结</t>
    <phoneticPr fontId="26" type="noConversion"/>
  </si>
  <si>
    <t>春节中国结</t>
    <phoneticPr fontId="26" type="noConversion"/>
  </si>
  <si>
    <t>元宵花灯</t>
    <phoneticPr fontId="26" type="noConversion"/>
  </si>
  <si>
    <t>元宵花灯</t>
    <phoneticPr fontId="26" type="noConversion"/>
  </si>
  <si>
    <t>码头</t>
    <phoneticPr fontId="26" type="noConversion"/>
  </si>
  <si>
    <t>喂食</t>
    <phoneticPr fontId="26" type="noConversion"/>
  </si>
  <si>
    <t>后花园</t>
    <phoneticPr fontId="26" type="noConversion"/>
  </si>
  <si>
    <t>纸鸢</t>
  </si>
  <si>
    <t>草药</t>
    <phoneticPr fontId="26" type="noConversion"/>
  </si>
  <si>
    <t>染料</t>
    <phoneticPr fontId="26" type="noConversion"/>
  </si>
  <si>
    <t>香辛料</t>
    <phoneticPr fontId="26" type="noConversion"/>
  </si>
  <si>
    <t>琉璃</t>
    <phoneticPr fontId="26" type="noConversion"/>
  </si>
  <si>
    <t>火药</t>
    <phoneticPr fontId="26" type="noConversion"/>
  </si>
  <si>
    <t>海鲜</t>
    <phoneticPr fontId="26" type="noConversion"/>
  </si>
  <si>
    <t>珍珠</t>
    <phoneticPr fontId="26" type="noConversion"/>
  </si>
  <si>
    <t>龙涎香</t>
    <phoneticPr fontId="26" type="noConversion"/>
  </si>
  <si>
    <t>物品存放类型</t>
  </si>
  <si>
    <t>出售其他奖励</t>
  </si>
  <si>
    <t>*</t>
    <phoneticPr fontId="26" type="noConversion"/>
  </si>
  <si>
    <t>猫抓板</t>
    <phoneticPr fontId="26" type="noConversion"/>
  </si>
  <si>
    <t>猫蒲团</t>
    <phoneticPr fontId="26" type="noConversion"/>
  </si>
  <si>
    <t>*</t>
    <phoneticPr fontId="26" type="noConversion"/>
  </si>
  <si>
    <t>绒毛球</t>
    <phoneticPr fontId="26" type="noConversion"/>
  </si>
  <si>
    <t>稀有猫概率出现概率增加10%</t>
  </si>
  <si>
    <t>一次招募成功概率增加10%</t>
  </si>
  <si>
    <t>icon_prop_37011_jiandao</t>
  </si>
  <si>
    <t>森林探险概率产出，使谷物发酵，常用于制作点心或酒类</t>
  </si>
  <si>
    <t>森林探险概率产出，琥珀，是松柏科等植物的树脂，掩埋在地下石化形成，有的内部包有蜜蜂等小昆虫</t>
  </si>
  <si>
    <t>森林探险概率产出，用植物纤维制成，质地坚韧、耐久，且轻便易书写，成为主流的书写和绘画的材料</t>
  </si>
  <si>
    <t>山脉探险概率产出，植物的花蕾、子实、叶茎或根须其中部分或全部能用于医疗的称之为草药</t>
  </si>
  <si>
    <t>山脉探险概率产出，从矿、植物中提取出来，用于对多种织物进行染色的物质</t>
  </si>
  <si>
    <t>山脉探险概率产出，用于炼铁、烧饭的主要燃料，主要是古代植物埋藏在地下经历复杂的变化后形成</t>
  </si>
  <si>
    <t>沙漠探险概率产出，具有芳香和辛香风味，能给食物带来特有的风味、色泽和刺激性味感</t>
  </si>
  <si>
    <t>沙漠探险概率产出，琉璃石经过高温烧制再通过手工精修细磨而成，是一种色彩流云漓彩的人造水晶</t>
  </si>
  <si>
    <t>沙漠探险概率产出，被引燃后会产生剧烈反应，生成大量高温燃气，并具有爆炸性</t>
  </si>
  <si>
    <t>湖泊探险概率产出，泛指出产于海里的可食用的动物性、或植物性原料，包括了鱼类、虾类、贝类等等</t>
  </si>
  <si>
    <t>湖泊探险概率产出，在珍珠贝类和珠母贝类软体动物体内产生的一种古老的有机宝石</t>
  </si>
  <si>
    <t>湖泊探险概率产出，一种价格昂贵的香料，点燃时香味四溢，亦是治病和补益强壮的名贵中药之一</t>
  </si>
  <si>
    <t>祁清和送的礼物，迷茫的时候可以给你答案</t>
  </si>
  <si>
    <t>安歌送的萤火虫，飞起来很漂亮</t>
  </si>
  <si>
    <t>宁北的礼物，可以随天气发生变化</t>
  </si>
  <si>
    <t>沈既明送的小礼物，能发出万物的声音</t>
  </si>
  <si>
    <t>icon_prop_207_doumaobang</t>
    <phoneticPr fontId="26" type="noConversion"/>
  </si>
  <si>
    <t>icon_prop_4_qingbaodian</t>
  </si>
  <si>
    <t>顶级织品商名录</t>
  </si>
  <si>
    <t>icon_prop_31131_fengmiguihuagao</t>
  </si>
  <si>
    <t>icon_prop_35081_dielianhuabuyao</t>
  </si>
  <si>
    <t>icon_prop_37081_pingansuo</t>
  </si>
  <si>
    <t>icon_prop_39021_zhiyuan</t>
  </si>
  <si>
    <t>icon_prop_100701_longxingyujue</t>
  </si>
  <si>
    <t>icon_prop_100702_yuewanggoujianjian</t>
  </si>
  <si>
    <t>icon_prop_100703_toulvboliping</t>
  </si>
  <si>
    <t>icon_prop_100704_shengxiaoyashengqian</t>
  </si>
  <si>
    <t>icon_prop_100705_yuhuahuiwenshu</t>
  </si>
  <si>
    <t>icon_prop_100706_caoyuanduanjian</t>
  </si>
  <si>
    <t>icon_prop_100707_zhanguotonghujie</t>
  </si>
  <si>
    <t>icon_prop_100708_qingyouzhihu</t>
  </si>
  <si>
    <t>icon_prop_100709_zhanguoshuijingbei</t>
  </si>
  <si>
    <t>icon_prop_100710_baiyuxianren</t>
  </si>
  <si>
    <t>icon_prop_100711_shoumianwenjue</t>
  </si>
  <si>
    <t>icon_prop_100712_qingyushuanghepei</t>
  </si>
  <si>
    <t>icon_prop_100713_furongjinjitu</t>
  </si>
  <si>
    <t>icon_prop_100714_liujinyinxiangnang</t>
  </si>
  <si>
    <t>icon_prop_100715_jinbichuan</t>
  </si>
  <si>
    <t>icon_prop_100716_qianlijiangshantu</t>
  </si>
  <si>
    <t>icon_prop_100717_kuaixueshiqingtie</t>
  </si>
  <si>
    <t>icon_prop_100718_qianziwen</t>
  </si>
  <si>
    <t>icon_prop_100719_zhuangjingshinvshan</t>
  </si>
  <si>
    <t>icon_prop_100720_lantingxu</t>
  </si>
  <si>
    <t>icon_prop_100721_dashengyiyinqin</t>
  </si>
  <si>
    <t>icon_prop_100722_jinkouyubei</t>
  </si>
  <si>
    <t>icon_prop_100723_shanhubijiatu</t>
  </si>
  <si>
    <t>icon_prop_100724_qingmingshanghetu</t>
  </si>
  <si>
    <t>icon_prop_100725_baiyubeipan</t>
  </si>
  <si>
    <t>icon_prop_100726_yuyulianzhui</t>
  </si>
  <si>
    <t>icon_prop_100727_boshanlu</t>
  </si>
  <si>
    <t>icon_prop_100728_manaowan</t>
  </si>
  <si>
    <t>icon_prop_100729_qingshiyan</t>
  </si>
  <si>
    <t>icon_prop_100730_bolibei</t>
  </si>
  <si>
    <t>icon_prop_101201_shukouqinglu</t>
  </si>
  <si>
    <t>icon_prop_101202_liangzhuanyuekan</t>
  </si>
  <si>
    <t>icon_prop_101203_siyanqingtie</t>
  </si>
  <si>
    <t>icon_prop_101204_jinhuayinpan</t>
  </si>
  <si>
    <t>icon_prop_101205_miandanzhaodaiquan</t>
  </si>
  <si>
    <t>icon_prop_101206_danchaofan</t>
  </si>
  <si>
    <t>icon_prop_101207_nanhaihaiyan</t>
  </si>
  <si>
    <t>icon_prop_101208_jinhuayinwan</t>
  </si>
  <si>
    <t>icon_prop_101209_pojiudemaojin</t>
  </si>
  <si>
    <t>icon_prop_101210_yuangongcanpiao</t>
  </si>
  <si>
    <t>icon_prop_101211_xiuzhenkuaizi</t>
  </si>
  <si>
    <t>icon_prop_101212_qingyourenxinghu</t>
  </si>
  <si>
    <t>icon_prop_101213_lanpaibian</t>
  </si>
  <si>
    <t>icon_prop_101214_suanpan</t>
  </si>
  <si>
    <t>icon_prop_101215_tianzibaojianquan</t>
  </si>
  <si>
    <t>icon_prop_101216_daoliuhu</t>
  </si>
  <si>
    <t>icon_prop_101217_ruanchi</t>
  </si>
  <si>
    <t>icon_prop_101218_yundou</t>
  </si>
  <si>
    <t>icon_prop_101220_jiayi</t>
  </si>
  <si>
    <t>icon_prop_101221_shoujuan</t>
  </si>
  <si>
    <t>icon_prop_101222_tuanshan</t>
  </si>
  <si>
    <t>icon_prop_101223_xiangnang</t>
  </si>
  <si>
    <t>icon_prop_101224_yuegongjing</t>
  </si>
  <si>
    <t>icon_prop_101225_gongdai</t>
  </si>
  <si>
    <t>icon_prop_101226_cipinnanzhu</t>
  </si>
  <si>
    <t>icon_prop_101227_pinganfu</t>
  </si>
  <si>
    <t>icon_prop_101228_tangsancaima</t>
  </si>
  <si>
    <t>icon_prop_101229_yanzhi</t>
  </si>
  <si>
    <t>icon_prop_101231_mixiang</t>
  </si>
  <si>
    <t>icon_prop_101232_qilian</t>
  </si>
  <si>
    <t>icon_prop_101233_bolanggu</t>
  </si>
  <si>
    <t>icon_prop_101234_jianzi</t>
  </si>
  <si>
    <t>icon_prop_101235_cuqiu</t>
  </si>
  <si>
    <t>icon_prop_101236_baibaohe</t>
  </si>
  <si>
    <t>icon_prop_101237_caiquanshoubi</t>
  </si>
  <si>
    <t>icon_prop_101238_xiguanchabei</t>
  </si>
  <si>
    <t>icon_prop_101239_jiguanchibang</t>
  </si>
  <si>
    <t>icon_prop_101240_mengxibitan</t>
  </si>
  <si>
    <t>icon_prop_101241_facaishumiao</t>
  </si>
  <si>
    <t>icon_prop_101242_zhaocaijinchan</t>
  </si>
  <si>
    <t>icon_prop_101243_shanghuizengpin</t>
  </si>
  <si>
    <t>icon_prop_101244_yingchenghelujin</t>
  </si>
  <si>
    <t>icon_prop_101245_yuchangbishou</t>
  </si>
  <si>
    <t>icon_prop_101246_mihunxiang</t>
  </si>
  <si>
    <t>icon_prop_101247_wangyedeqiandai</t>
  </si>
  <si>
    <t>icon_prop_101248_liujinyinchai</t>
  </si>
  <si>
    <t>icon_prop_101249_longfengtanghua</t>
  </si>
  <si>
    <t>icon_prop_101250_guoshijiangjun</t>
  </si>
  <si>
    <t>icon_prop_101251_pijintangren</t>
  </si>
  <si>
    <t>icon_prop_101252_tangyan</t>
  </si>
  <si>
    <t>icon_prop_101253_xiangpa</t>
  </si>
  <si>
    <t>icon_prop_101254_cansipipaxian</t>
  </si>
  <si>
    <t>icon_prop_101255_puman</t>
  </si>
  <si>
    <t>icon_prop_101256_wuxianpipa</t>
  </si>
  <si>
    <t>icon_prop_101257_goupigaoyao</t>
  </si>
  <si>
    <t>icon_prop_101258_baijiaxing</t>
  </si>
  <si>
    <t>icon_prop_101259_tuibeitu</t>
  </si>
  <si>
    <t>icon_prop_101260_linggongjiemeng</t>
  </si>
  <si>
    <t>icon_prop_101261_jiutan</t>
  </si>
  <si>
    <t>icon_prop_101262_yijuanshiwen</t>
  </si>
  <si>
    <t>icon_prop_101263_zhongjubaotie</t>
  </si>
  <si>
    <t>icon_prop_101264_dutongtie</t>
  </si>
  <si>
    <t>icon_prop_101267_dudou</t>
  </si>
  <si>
    <t>icon_prop_101268_xiulongxiaojingtu</t>
  </si>
  <si>
    <t>icon_prop_101269_toufa</t>
  </si>
  <si>
    <t>icon_prop_101271_zhiyuanbao</t>
  </si>
  <si>
    <t>icon_prop_101272_qingyoubalengping</t>
  </si>
  <si>
    <t>icon_prop_101273_molihua</t>
  </si>
  <si>
    <t>icon_prop_101275_sixiangshaoyao</t>
  </si>
  <si>
    <t>icon_prop_101276_tihuameiping</t>
  </si>
  <si>
    <t>icon_prop_101277_tonglingcheng</t>
  </si>
  <si>
    <t>icon_prop_101278_hanjinpazi</t>
  </si>
  <si>
    <t>icon_prop_101279_bubudeshuizi</t>
  </si>
  <si>
    <t>icon_prop_101280_wusaoyugeng</t>
  </si>
  <si>
    <t>icon_prop_101281_shierxiansheng</t>
  </si>
  <si>
    <t>icon_prop_101282_zhanwuxingce</t>
  </si>
  <si>
    <t>icon_prop_101283_liulibaoshi</t>
  </si>
  <si>
    <t>icon_prop_101284_yukongque</t>
  </si>
  <si>
    <t>icon_prop_101285_qianchaoshike</t>
  </si>
  <si>
    <t>icon_prop_101286_huangyubiniu</t>
  </si>
  <si>
    <t>icon_prop_101287_zhenmushou</t>
  </si>
  <si>
    <t>icon_prop_101288_huangyuhan</t>
  </si>
  <si>
    <t>icon_prop_101289_maomaomao</t>
  </si>
  <si>
    <t>icon_prop_101290_maiyushi</t>
  </si>
  <si>
    <t>icon_prop_101291_jincuodao</t>
  </si>
  <si>
    <t>icon_prop_101292_fengtouchai</t>
  </si>
  <si>
    <t>icon_prop_101293_fengniandao</t>
  </si>
  <si>
    <t>icon_prop_101294_zhuokuaixiaodie</t>
  </si>
  <si>
    <t>icon_prop_101295_chutou</t>
  </si>
  <si>
    <t>icon_prop_101296_lingwaidaida</t>
  </si>
  <si>
    <t>icon_prop_101297_baolimian</t>
  </si>
  <si>
    <t>icon_prop_101298_qianjinsheng</t>
  </si>
  <si>
    <t>icon_prop_101299_yiguanjingmi</t>
  </si>
  <si>
    <t>icon_prop_101301_shuijingyuanshi</t>
  </si>
  <si>
    <t>icon_prop_101302_jingangshidao</t>
  </si>
  <si>
    <t>icon_prop_101303_xiangyunsha</t>
  </si>
  <si>
    <t>icon_prop_101304_shuangkongquebaiyu</t>
  </si>
  <si>
    <t>中秋明月</t>
  </si>
  <si>
    <t>情人节蝴蝶结</t>
  </si>
  <si>
    <t>春节中国结</t>
  </si>
  <si>
    <t>元宵花灯</t>
  </si>
  <si>
    <t>龙形玉玦</t>
  </si>
  <si>
    <t>越王勾践剑</t>
  </si>
  <si>
    <t>透绿玻璃瓶</t>
  </si>
  <si>
    <t>生肖压胜钱</t>
  </si>
  <si>
    <t>玉花卉纹梳</t>
  </si>
  <si>
    <t>草原短剑</t>
  </si>
  <si>
    <t>战国铜虎节</t>
  </si>
  <si>
    <t>青釉执壶</t>
  </si>
  <si>
    <t>战国水晶杯</t>
  </si>
  <si>
    <t>白玉仙人</t>
  </si>
  <si>
    <t>兽面纹爵</t>
  </si>
  <si>
    <t>青玉双鹤佩</t>
  </si>
  <si>
    <t>芙蓉锦鸡图</t>
  </si>
  <si>
    <t>鎏金银香囊</t>
  </si>
  <si>
    <t>金臂钏</t>
  </si>
  <si>
    <t>千里江山图</t>
  </si>
  <si>
    <t>快雪时晴帖</t>
  </si>
  <si>
    <t>千字文</t>
  </si>
  <si>
    <t>妆靓仕女扇</t>
  </si>
  <si>
    <t>兰亭序</t>
  </si>
  <si>
    <t>大圣遗音琴</t>
  </si>
  <si>
    <t>金扣玉杯</t>
  </si>
  <si>
    <t>珊瑚笔架图</t>
  </si>
  <si>
    <t>清明上河图</t>
  </si>
  <si>
    <t>白玉杯盘</t>
  </si>
  <si>
    <t>玉鱼莲坠</t>
  </si>
  <si>
    <t>博山炉</t>
  </si>
  <si>
    <t>玛瑙碗</t>
  </si>
  <si>
    <t>青石砚</t>
  </si>
  <si>
    <t>玻璃杯</t>
  </si>
  <si>
    <t>暂无</t>
  </si>
  <si>
    <t>漱口清露</t>
  </si>
  <si>
    <t>良馔月刊</t>
  </si>
  <si>
    <t>私宴请帖</t>
  </si>
  <si>
    <t>金花银盘</t>
  </si>
  <si>
    <t>免单招待券</t>
  </si>
  <si>
    <t>蛋炒饭</t>
  </si>
  <si>
    <t>南海海盐</t>
  </si>
  <si>
    <t>金花银碗</t>
  </si>
  <si>
    <t>破旧的毛巾</t>
  </si>
  <si>
    <t>员工餐票</t>
  </si>
  <si>
    <t>袖珍筷子</t>
  </si>
  <si>
    <t>青釉人形壶</t>
  </si>
  <si>
    <t>烂牌匾</t>
  </si>
  <si>
    <t>算盘</t>
  </si>
  <si>
    <t>天字包间券</t>
  </si>
  <si>
    <t>倒流壶</t>
  </si>
  <si>
    <t>软尺</t>
  </si>
  <si>
    <t>熨斗</t>
  </si>
  <si>
    <t>并州剪</t>
  </si>
  <si>
    <t>嫁衣</t>
  </si>
  <si>
    <t>手绢</t>
  </si>
  <si>
    <t>团扇</t>
  </si>
  <si>
    <t>香囊</t>
  </si>
  <si>
    <t>月宫镜</t>
  </si>
  <si>
    <t>宫黛</t>
  </si>
  <si>
    <t>次品南珠</t>
  </si>
  <si>
    <t>平安符</t>
  </si>
  <si>
    <t>唐三彩马</t>
  </si>
  <si>
    <t>胭脂</t>
  </si>
  <si>
    <t>步摇</t>
  </si>
  <si>
    <t>秘香</t>
  </si>
  <si>
    <t>漆奁</t>
  </si>
  <si>
    <t>拨浪鼓</t>
  </si>
  <si>
    <t>毽子</t>
  </si>
  <si>
    <t>蹴球</t>
  </si>
  <si>
    <t>百宝盒</t>
  </si>
  <si>
    <t>猜拳手臂</t>
  </si>
  <si>
    <t>吸管茶杯</t>
  </si>
  <si>
    <t>机关翅膀</t>
  </si>
  <si>
    <t>梦溪笔谈</t>
  </si>
  <si>
    <t>发财树苗</t>
  </si>
  <si>
    <t>招财金蟾</t>
  </si>
  <si>
    <t>商会赠品</t>
  </si>
  <si>
    <t>郢爯和卢金</t>
  </si>
  <si>
    <t>鱼肠匕首</t>
  </si>
  <si>
    <t>迷魂香</t>
  </si>
  <si>
    <t>王爷的钱袋</t>
  </si>
  <si>
    <t>鎏金银钗</t>
  </si>
  <si>
    <t>龙凤糖画</t>
  </si>
  <si>
    <t>果食将军</t>
  </si>
  <si>
    <t>披锦糖人</t>
  </si>
  <si>
    <t>糖雁</t>
  </si>
  <si>
    <t>香帕</t>
  </si>
  <si>
    <t>蚕丝琵琶弦</t>
  </si>
  <si>
    <t>扑满</t>
  </si>
  <si>
    <t>五弦琵琶</t>
  </si>
  <si>
    <t>狗皮膏药</t>
  </si>
  <si>
    <t>百家姓</t>
  </si>
  <si>
    <t>推背图</t>
  </si>
  <si>
    <t>凌公解梦</t>
  </si>
  <si>
    <t>酒坛</t>
  </si>
  <si>
    <t>一卷诗文</t>
  </si>
  <si>
    <t>中举报帖</t>
  </si>
  <si>
    <t>肚痛帖</t>
  </si>
  <si>
    <t>花簪</t>
  </si>
  <si>
    <t>肚兜</t>
  </si>
  <si>
    <t>绣栊晓镜图</t>
  </si>
  <si>
    <t>头发</t>
  </si>
  <si>
    <t>长命锁</t>
  </si>
  <si>
    <t>纸元宝</t>
  </si>
  <si>
    <t>青釉八棱瓶</t>
  </si>
  <si>
    <t>茉莉花</t>
  </si>
  <si>
    <t>木犀花膏</t>
  </si>
  <si>
    <t>四相芍药</t>
  </si>
  <si>
    <t>剔花梅瓶</t>
  </si>
  <si>
    <t>铜铃铛</t>
  </si>
  <si>
    <t>汗巾帕子</t>
  </si>
  <si>
    <t>步步的睡姿</t>
  </si>
  <si>
    <t>五嫂鱼羹</t>
  </si>
  <si>
    <t>十二先生</t>
  </si>
  <si>
    <t>占五星册</t>
  </si>
  <si>
    <t>琉璃宝石</t>
  </si>
  <si>
    <t>玉孔雀</t>
  </si>
  <si>
    <t>前朝石刻</t>
  </si>
  <si>
    <t>黄玉鼻钮</t>
  </si>
  <si>
    <t>镇墓兽</t>
  </si>
  <si>
    <t>黄玉琀</t>
  </si>
  <si>
    <t>猫毛猫</t>
  </si>
  <si>
    <t>买鱼诗</t>
  </si>
  <si>
    <t>金错刀</t>
  </si>
  <si>
    <t>凤头钗</t>
  </si>
  <si>
    <t>丰年稻</t>
  </si>
  <si>
    <t>斫鲙小碟</t>
  </si>
  <si>
    <t>锄头</t>
  </si>
  <si>
    <t>岭外代答</t>
  </si>
  <si>
    <t>饱粒棉</t>
  </si>
  <si>
    <t>千斤绳</t>
  </si>
  <si>
    <t>一罐精米</t>
  </si>
  <si>
    <t>求法高僧传</t>
  </si>
  <si>
    <t>水晶原石</t>
  </si>
  <si>
    <t>金刚石刀</t>
  </si>
  <si>
    <t>香云纱</t>
  </si>
  <si>
    <t>双孔雀白玉</t>
  </si>
  <si>
    <t>蝉蜕</t>
  </si>
  <si>
    <t>发绳</t>
  </si>
  <si>
    <t>梳子</t>
  </si>
  <si>
    <t>纺线</t>
  </si>
  <si>
    <t>酒壶塞</t>
  </si>
  <si>
    <t>一片叶子</t>
  </si>
  <si>
    <t>马尾草</t>
  </si>
  <si>
    <t>钱袋</t>
  </si>
  <si>
    <t>鱼骨头</t>
  </si>
  <si>
    <t>红绳</t>
  </si>
  <si>
    <t>小木棍</t>
  </si>
  <si>
    <t>糖葫芦</t>
  </si>
  <si>
    <t>半截穗子</t>
  </si>
  <si>
    <t>顶针</t>
  </si>
  <si>
    <t>破鸟窝</t>
  </si>
  <si>
    <t>麻绳</t>
  </si>
  <si>
    <t>松果</t>
  </si>
  <si>
    <t>火折子</t>
  </si>
  <si>
    <t>佛塔角铃</t>
  </si>
  <si>
    <t>蜡烛</t>
  </si>
  <si>
    <t>铜钱</t>
  </si>
  <si>
    <t>麻将</t>
  </si>
  <si>
    <t>羽毛</t>
  </si>
  <si>
    <t>坐垫</t>
  </si>
  <si>
    <t>药铺幌子</t>
  </si>
  <si>
    <t>陶瓷汤勺</t>
  </si>
  <si>
    <t>生煎包装</t>
  </si>
  <si>
    <t>彩色石头</t>
  </si>
  <si>
    <t>一只鞋</t>
  </si>
  <si>
    <t>icon_prop_101300_qiufagaosengzhuan</t>
    <phoneticPr fontId="26" type="noConversion"/>
  </si>
  <si>
    <t>icon_prop_101300_qiufagaosengzhuan</t>
    <phoneticPr fontId="26" type="noConversion"/>
  </si>
  <si>
    <t>物品ID</t>
    <phoneticPr fontId="28" type="noConversion"/>
  </si>
  <si>
    <t>FastTime</t>
    <phoneticPr fontId="28" type="noConversion"/>
  </si>
  <si>
    <t>加速时间(s)</t>
    <phoneticPr fontId="28" type="noConversion"/>
  </si>
  <si>
    <t>*</t>
    <phoneticPr fontId="26" type="noConversion"/>
  </si>
  <si>
    <t>1个小时</t>
    <phoneticPr fontId="26" type="noConversion"/>
  </si>
  <si>
    <t>5分钟</t>
    <phoneticPr fontId="26" type="noConversion"/>
  </si>
  <si>
    <t>30分钟</t>
    <phoneticPr fontId="26" type="noConversion"/>
  </si>
  <si>
    <t>24个小时</t>
    <phoneticPr fontId="26" type="noConversion"/>
  </si>
  <si>
    <t>6个小时</t>
    <phoneticPr fontId="26" type="noConversion"/>
  </si>
  <si>
    <t>FastItem</t>
  </si>
  <si>
    <t>加速道具</t>
    <phoneticPr fontId="26" type="noConversion"/>
  </si>
  <si>
    <t>0.不可
1.可以</t>
    <phoneticPr fontId="26" type="noConversion"/>
  </si>
  <si>
    <t>导出/server</t>
    <phoneticPr fontId="26" type="noConversion"/>
  </si>
  <si>
    <t>游戏收藏道道具最大id</t>
    <phoneticPr fontId="26" type="noConversion"/>
  </si>
  <si>
    <t>人杰地灵收藏道具最大id</t>
    <phoneticPr fontId="26" type="noConversion"/>
  </si>
  <si>
    <t>CG收藏道具最大id</t>
    <phoneticPr fontId="26" type="noConversion"/>
  </si>
  <si>
    <t>船最大值id</t>
    <phoneticPr fontId="26" type="noConversion"/>
  </si>
  <si>
    <t>基本道具最大id</t>
    <phoneticPr fontId="26" type="noConversion"/>
  </si>
  <si>
    <t>材料最大id</t>
    <phoneticPr fontId="26" type="noConversion"/>
  </si>
  <si>
    <t>礼包最大id</t>
    <phoneticPr fontId="26" type="noConversion"/>
  </si>
  <si>
    <t>话题最大id</t>
    <phoneticPr fontId="26" type="noConversion"/>
  </si>
  <si>
    <t>男主资料最大id</t>
    <phoneticPr fontId="26" type="noConversion"/>
  </si>
  <si>
    <t>装饰物最大id</t>
    <phoneticPr fontId="26" type="noConversion"/>
  </si>
  <si>
    <t>建筑物最大id</t>
    <phoneticPr fontId="26" type="noConversion"/>
  </si>
  <si>
    <t>配方最大id</t>
    <phoneticPr fontId="26" type="noConversion"/>
  </si>
  <si>
    <t>地图积分最大id</t>
    <phoneticPr fontId="26" type="noConversion"/>
  </si>
  <si>
    <t>icon_prop_101266_huazan</t>
    <phoneticPr fontId="26" type="noConversion"/>
  </si>
  <si>
    <t>店铺</t>
    <phoneticPr fontId="26" type="noConversion"/>
  </si>
  <si>
    <t>水韵珠</t>
    <phoneticPr fontId="26" type="noConversion"/>
  </si>
  <si>
    <t>香木屑</t>
    <phoneticPr fontId="26" type="noConversion"/>
  </si>
  <si>
    <t>成品最大id</t>
    <phoneticPr fontId="26" type="noConversion"/>
  </si>
  <si>
    <t>服装店</t>
    <phoneticPr fontId="26" type="noConversion"/>
  </si>
  <si>
    <t>妆品店</t>
    <phoneticPr fontId="26" type="noConversion"/>
  </si>
  <si>
    <t>珠宝店</t>
    <phoneticPr fontId="26" type="noConversion"/>
  </si>
  <si>
    <t>米齐麟</t>
  </si>
  <si>
    <t>掌厨</t>
  </si>
  <si>
    <t>小二</t>
  </si>
  <si>
    <t>掌柜</t>
  </si>
  <si>
    <t>裁缝</t>
  </si>
  <si>
    <t>胡苩</t>
  </si>
  <si>
    <t>采办</t>
  </si>
  <si>
    <t>艳无归</t>
  </si>
  <si>
    <t>匠人</t>
  </si>
  <si>
    <t>玉王爷</t>
  </si>
  <si>
    <t>管事</t>
  </si>
  <si>
    <t>琛琛</t>
  </si>
  <si>
    <t>唐仁</t>
  </si>
  <si>
    <t>瑶琴</t>
  </si>
  <si>
    <t>凌半仙</t>
  </si>
  <si>
    <t>酒鬼</t>
  </si>
  <si>
    <t>左乜</t>
  </si>
  <si>
    <t>长发女</t>
  </si>
  <si>
    <t>花婆婆</t>
  </si>
  <si>
    <t>卷卷</t>
  </si>
  <si>
    <t>商人</t>
  </si>
  <si>
    <t>老叟</t>
  </si>
  <si>
    <t>路尤</t>
  </si>
  <si>
    <t>古德</t>
  </si>
  <si>
    <t>奈特</t>
  </si>
  <si>
    <t>毛宁</t>
  </si>
  <si>
    <t>京城名嘴，胖子一枚，自称吃遍天下，爱对菜肴评头论足。</t>
  </si>
  <si>
    <t>天下第一楼自视甚高的掌厨，总觉得自己开店一定比天下第一楼红火，从来只是嘴上说说。</t>
  </si>
  <si>
    <t>大嗓门的小二，对待客人很有一套，没有他聊不来的天，接不上的话，缺点是老喜欢偷吃东西偷酒喝，没少挨掌柜的骂。</t>
  </si>
  <si>
    <t>发愁的天下第一楼掌柜，人前他是意气风发的酒楼掌柜，人后实际上备受京城几家权贵剥削，营生艰难，得闲就爱喝些小酒消愁。</t>
  </si>
  <si>
    <t>云绣坊张裁缝，</t>
  </si>
  <si>
    <t>购买布匹的姑娘，想为远在边疆的情郎裁一身新衣，充满天真的幻想，一心期待情郎出征归来二人完婚。</t>
  </si>
  <si>
    <t>内务府的采办宫女，对珠翠衣饰一窍不通，却靠着家族关系讨得采办的肥差，但是好在办事沉稳有序，在宫中倒也得过且过。</t>
  </si>
  <si>
    <t>花街街长，面容姣好姿态娇媚的男子，对脂粉服饰颇为了解，与花街姑娘交情甚好。</t>
  </si>
  <si>
    <t>街边摆摊的巧匠人，制作各式小件玩意儿为生，颇受孩童欢喜。家中世代工匠技艺，精通机关宝具制作。</t>
  </si>
  <si>
    <t>脑回路清奇的王爷，动手能力极强，好自制手工，但审美极差，异常喜欢用珍贵材料制作毫无用处的玩意儿。</t>
  </si>
  <si>
    <t>商广会馆管事，祈家的左膀右臂。看相貌平平无奇，却是对商场无所不知的商场“笑面虎”。</t>
  </si>
  <si>
    <t>饿着肚子的女剑客，离家出走的某轻功了得小门派掌门的独女。</t>
  </si>
  <si>
    <t>街头摆摊的画糖摊贩，是个热心肠的耿直小伙，祖传的吹糖和拉糖手艺无人能比。</t>
  </si>
  <si>
    <t>花满楼的艺伎，家道中落被卖至青楼，韬光养晦等待有朝一日赎回自由之身。</t>
  </si>
  <si>
    <t>算命先生，沉迷于周易与修仙的青年人，满口“运气”、“周天”的胡话，但看相解梦倒是十分有准头。</t>
  </si>
  <si>
    <t>赖账的酒鬼，数十年前背负全村的希望背井离乡赴京赶考，连番考举失败的举人，意志消沉日日借酒消愁，沉迷于醉梦之中。</t>
  </si>
  <si>
    <t>在湖放纸鸢的少年，花满楼艺伎所生，生父是上京某权贵家的庶出二少爷，生母难产而死，被养育在花满楼。</t>
  </si>
  <si>
    <t>丢了孩子的长发女人，脸上毫无血色，口中念念有词，声音虚弱，一闻到酒味儿便会发狂。</t>
  </si>
  <si>
    <t>南湖旁照拂一大片花圃的老奶奶，日复一日悉心照料自己的花，凡见人来必如数家珍地介绍一番。</t>
  </si>
  <si>
    <t>路尤喂养的流浪猫之一，一只体型庞大，机敏贪玩，热爱攀爬的母猫，属挪威森林品种，是步步的青梅竹马。</t>
  </si>
  <si>
    <t>行脚商人，来回与几座城市间，依靠倒卖贵价物资为生，尖酸刻薄，不让人占一丁点便宜。</t>
  </si>
  <si>
    <t>神秘的老叟，身上散发着不祥的气息，不定期会出现在城中，向人兜售一些失传已久的宝物。</t>
  </si>
  <si>
    <t>小狸奴的掌柜，对狸奴毫无抵抗力，养了一群流浪狸奴，是个话痨，常常对狸奴们讲些有的没的。</t>
  </si>
  <si>
    <t>来自靠海盛产粮食的小国，兴农事，生产工具落后，国内矿石器物稀缺。</t>
  </si>
  <si>
    <t>来自内陆偏远的沙漠地带，棉麻种植发达，桑蚕养殖布料扎染技艺高深，粮食极其稀缺，对食物有天然的追求。</t>
  </si>
  <si>
    <t>来自靠海的江南小国物产丰富，皇室却偏爱奇石异玩，导致国内工匠水平天下无人能敌，农事勉强自给自足，纺织业却极其落后。</t>
  </si>
  <si>
    <t>猫毛</t>
    <phoneticPr fontId="26" type="noConversion"/>
  </si>
  <si>
    <t>NPC情报最小id</t>
    <phoneticPr fontId="26" type="noConversion"/>
  </si>
  <si>
    <t>NPC情报最大id</t>
    <phoneticPr fontId="26" type="noConversion"/>
  </si>
  <si>
    <t>STRING</t>
    <phoneticPr fontId="28" type="noConversion"/>
  </si>
  <si>
    <t>JumpTo</t>
  </si>
  <si>
    <t>s</t>
    <phoneticPr fontId="28" type="noConversion"/>
  </si>
  <si>
    <t>前台用于计算发船价格</t>
    <phoneticPr fontId="26" type="noConversion"/>
  </si>
  <si>
    <t>1|1</t>
    <phoneticPr fontId="26" type="noConversion"/>
  </si>
  <si>
    <t>1|2</t>
    <phoneticPr fontId="26" type="noConversion"/>
  </si>
  <si>
    <t>1|3</t>
    <phoneticPr fontId="26" type="noConversion"/>
  </si>
  <si>
    <t>1|4</t>
    <phoneticPr fontId="26" type="noConversion"/>
  </si>
  <si>
    <t>1|5</t>
    <phoneticPr fontId="26" type="noConversion"/>
  </si>
  <si>
    <t>1|6</t>
    <phoneticPr fontId="26" type="noConversion"/>
  </si>
  <si>
    <t>2|1</t>
    <phoneticPr fontId="26" type="noConversion"/>
  </si>
  <si>
    <t>2|2</t>
    <phoneticPr fontId="26" type="noConversion"/>
  </si>
  <si>
    <t>2|3</t>
    <phoneticPr fontId="26" type="noConversion"/>
  </si>
  <si>
    <t>2|4</t>
    <phoneticPr fontId="26" type="noConversion"/>
  </si>
  <si>
    <t>2|5</t>
    <phoneticPr fontId="26" type="noConversion"/>
  </si>
  <si>
    <t>2|6</t>
    <phoneticPr fontId="26" type="noConversion"/>
  </si>
  <si>
    <t>3|1</t>
    <phoneticPr fontId="26" type="noConversion"/>
  </si>
  <si>
    <t>3|2</t>
    <phoneticPr fontId="26" type="noConversion"/>
  </si>
  <si>
    <t>3|3</t>
    <phoneticPr fontId="26" type="noConversion"/>
  </si>
  <si>
    <t>3|4</t>
    <phoneticPr fontId="26" type="noConversion"/>
  </si>
  <si>
    <t>3|5</t>
    <phoneticPr fontId="26" type="noConversion"/>
  </si>
  <si>
    <t>3|6</t>
    <phoneticPr fontId="26" type="noConversion"/>
  </si>
  <si>
    <t>*</t>
    <phoneticPr fontId="26" type="noConversion"/>
  </si>
  <si>
    <t>增加经验</t>
    <phoneticPr fontId="28" type="noConversion"/>
  </si>
  <si>
    <t>可招募猫咪数量加1</t>
    <phoneticPr fontId="26" type="noConversion"/>
  </si>
  <si>
    <t>剧情消耗道具</t>
    <phoneticPr fontId="26" type="noConversion"/>
  </si>
  <si>
    <t>宁北给的纸条</t>
    <phoneticPr fontId="26" type="noConversion"/>
  </si>
  <si>
    <t>宁北给的纸条，指向街市的一家店铺</t>
    <phoneticPr fontId="26" type="noConversion"/>
  </si>
  <si>
    <t>icon_prop_22001_bingcansi</t>
  </si>
  <si>
    <t>icon_prop_22002_xianqinyu</t>
  </si>
  <si>
    <t>icon_prop_22003_yuyingzhi</t>
  </si>
  <si>
    <t>icon_prop_22004_paopaoqiu</t>
  </si>
  <si>
    <t>icon_prop_23001_shanlinkuang</t>
  </si>
  <si>
    <t>icon_prop_23002_shuijingjing</t>
  </si>
  <si>
    <t>icon_prop_23004_qionglinshi</t>
  </si>
  <si>
    <t>icon_prop_24001_shuiyunzhu</t>
  </si>
  <si>
    <t>icon_prop_24002_xiangmuxie</t>
  </si>
  <si>
    <t>icon_prop_31011_fanxingjuan</t>
  </si>
  <si>
    <t>icon_prop_31021_rouyunzhi</t>
  </si>
  <si>
    <t>icon_prop_31031_qingliangsha</t>
  </si>
  <si>
    <t>星云帛</t>
  </si>
  <si>
    <t>icon_prop_31061_xingyunbo</t>
  </si>
  <si>
    <t>icon_prop_31041_jiguangduan</t>
  </si>
  <si>
    <t>icon_prop_31051_dongxiajin</t>
  </si>
  <si>
    <t>icon_prop_32021_xihuajuanshan</t>
  </si>
  <si>
    <t>icon_prop_32041_hebao</t>
  </si>
  <si>
    <t>icon_prop_32051_yaofeng</t>
  </si>
  <si>
    <t>icon_prop_32061_yaodai</t>
  </si>
  <si>
    <t>icon_prop_34041_lieryou</t>
  </si>
  <si>
    <t>已占用</t>
    <phoneticPr fontId="26" type="noConversion"/>
  </si>
  <si>
    <t>type</t>
    <phoneticPr fontId="28" type="noConversion"/>
  </si>
  <si>
    <t>1.猫经验道具
2.卡经验道具</t>
    <phoneticPr fontId="26" type="noConversion"/>
  </si>
  <si>
    <t>经验类型</t>
    <phoneticPr fontId="28" type="noConversion"/>
  </si>
  <si>
    <t>ExpItem</t>
    <phoneticPr fontId="26" type="noConversion"/>
  </si>
  <si>
    <t>经验道具</t>
    <phoneticPr fontId="26" type="noConversion"/>
  </si>
  <si>
    <t>Exp</t>
    <phoneticPr fontId="28" type="noConversion"/>
  </si>
  <si>
    <t>轻巧荷包</t>
  </si>
  <si>
    <t>逗猫棒</t>
  </si>
  <si>
    <t>不知道是哪只小可爱留下的毛毛呢~</t>
    <phoneticPr fontId="26" type="noConversion"/>
  </si>
  <si>
    <t>好看，凉快，云绣坊夏日创营收的杀手锏</t>
  </si>
  <si>
    <t>装钱会被偷的，人们通常用它来装香料</t>
  </si>
  <si>
    <t>同心结</t>
    <phoneticPr fontId="26" type="noConversion"/>
  </si>
  <si>
    <t>吃瓜点</t>
  </si>
  <si>
    <t>时之砂</t>
  </si>
  <si>
    <t>icon_prop_301_jiasu</t>
  </si>
  <si>
    <t>加速30分钟</t>
  </si>
  <si>
    <t>加速1小时</t>
  </si>
  <si>
    <t>加速6小时</t>
  </si>
  <si>
    <t>加速24小时</t>
  </si>
  <si>
    <t>icon_prop_306_maobinggan</t>
  </si>
  <si>
    <t>icon_prop_307_xianrouguo</t>
  </si>
  <si>
    <t>icon_prop_308_liuzhongyu</t>
  </si>
  <si>
    <t>粉色猫尾草</t>
  </si>
  <si>
    <t>灵犀叶</t>
  </si>
  <si>
    <t>icon_prop_313_lingxiye</t>
  </si>
  <si>
    <t>灵犀花</t>
  </si>
  <si>
    <t>icon_prop_314_lingxihua</t>
  </si>
  <si>
    <t>灵犀果</t>
  </si>
  <si>
    <t>icon_prop_315_lingxiguo</t>
  </si>
  <si>
    <t>用于快速完成情报委托</t>
    <phoneticPr fontId="26" type="noConversion"/>
  </si>
  <si>
    <t>猫爪玉</t>
    <phoneticPr fontId="28" type="noConversion"/>
  </si>
  <si>
    <t>凡星绢</t>
  </si>
  <si>
    <t>精致凡星绢</t>
  </si>
  <si>
    <t>极品凡星绢</t>
  </si>
  <si>
    <t>柔云织</t>
  </si>
  <si>
    <t>精致柔云织</t>
  </si>
  <si>
    <t>极品柔云织</t>
  </si>
  <si>
    <t>精致星云帛</t>
  </si>
  <si>
    <t>极品星云帛</t>
  </si>
  <si>
    <t>清凉纱</t>
  </si>
  <si>
    <t>精致清凉纱</t>
  </si>
  <si>
    <t>极品清凉纱</t>
  </si>
  <si>
    <t>极光缎</t>
  </si>
  <si>
    <t>精致极光缎</t>
  </si>
  <si>
    <t>极品极光缎</t>
  </si>
  <si>
    <t>冬夏锦</t>
  </si>
  <si>
    <t>精致冬夏锦</t>
  </si>
  <si>
    <t>极品冬夏锦</t>
  </si>
  <si>
    <t>精致轻巧荷包</t>
  </si>
  <si>
    <t>极品轻巧荷包</t>
  </si>
  <si>
    <t>芊羽扇</t>
  </si>
  <si>
    <t>精致芊羽扇</t>
  </si>
  <si>
    <t>极品芊羽扇</t>
  </si>
  <si>
    <t>细画绢扇</t>
  </si>
  <si>
    <t>精致细画绢扇</t>
  </si>
  <si>
    <t>极品细画绢扇</t>
  </si>
  <si>
    <t>凤冠霞帔</t>
  </si>
  <si>
    <t>精致凤冠霞帔</t>
  </si>
  <si>
    <t>极品凤冠霞帔</t>
  </si>
  <si>
    <t>梦醒时</t>
  </si>
  <si>
    <t>精致梦醒时</t>
  </si>
  <si>
    <t>极品梦醒时</t>
  </si>
  <si>
    <t>好奇喵</t>
  </si>
  <si>
    <t>精致好奇喵</t>
  </si>
  <si>
    <t>极品好奇喵</t>
  </si>
  <si>
    <t>藏香</t>
  </si>
  <si>
    <t>精致藏香</t>
  </si>
  <si>
    <t>极品藏香</t>
  </si>
  <si>
    <t>狸儿诱</t>
  </si>
  <si>
    <t>精致狸儿诱</t>
  </si>
  <si>
    <t>极品狸儿诱</t>
  </si>
  <si>
    <t>甜豆沙</t>
  </si>
  <si>
    <t>精致甜豆沙</t>
  </si>
  <si>
    <t>极品甜豆沙</t>
  </si>
  <si>
    <t>花钿</t>
  </si>
  <si>
    <t>精致花钿</t>
  </si>
  <si>
    <t>极品花钿</t>
  </si>
  <si>
    <t>素银簪</t>
  </si>
  <si>
    <t>精致素银簪</t>
  </si>
  <si>
    <t>极品素银簪</t>
  </si>
  <si>
    <t>鎏金簪</t>
  </si>
  <si>
    <t>精致鎏金簪</t>
  </si>
  <si>
    <t>极品鎏金簪</t>
  </si>
  <si>
    <t>十里桃花</t>
  </si>
  <si>
    <t>精致十里桃花</t>
  </si>
  <si>
    <t>极品十里桃花</t>
  </si>
  <si>
    <t>适合与心仪之人约会时佩戴</t>
  </si>
  <si>
    <t>褪红消痘，清凉补水，痘痘肌福音</t>
  </si>
  <si>
    <t>4|3</t>
  </si>
  <si>
    <t>icon_prop_312_fensemaoweicao</t>
  </si>
  <si>
    <t>icon_prop_23003_tianrenlei</t>
  </si>
  <si>
    <t>icon_prop_32021_qianyushan</t>
  </si>
  <si>
    <t>icon_prop_34011_mengxingshi</t>
  </si>
  <si>
    <t>icon_prop_34021_xiangfen</t>
  </si>
  <si>
    <t>icon_prop_34031_cangxiang</t>
  </si>
  <si>
    <t>物品索引</t>
    <phoneticPr fontId="28" type="noConversion"/>
  </si>
  <si>
    <t>ItemID</t>
    <phoneticPr fontId="26" type="noConversion"/>
  </si>
  <si>
    <t>LunBegin</t>
  </si>
  <si>
    <t>LunEnd</t>
  </si>
  <si>
    <t>i</t>
  </si>
  <si>
    <t>开始轮次</t>
  </si>
  <si>
    <t>结束轮次</t>
  </si>
  <si>
    <t>获得数量</t>
    <phoneticPr fontId="26" type="noConversion"/>
  </si>
  <si>
    <t>GetNum</t>
    <phoneticPr fontId="26" type="noConversion"/>
  </si>
  <si>
    <t>currencyID</t>
  </si>
  <si>
    <t>buyPrice</t>
  </si>
  <si>
    <t>icurrencyID</t>
  </si>
  <si>
    <t>ibuyPrice</t>
  </si>
  <si>
    <t>购买货币ID</t>
  </si>
  <si>
    <t>购买价格</t>
  </si>
  <si>
    <t>SellItem</t>
  </si>
  <si>
    <t>bg_prop_lv1</t>
  </si>
  <si>
    <t>bg_prop_lv5</t>
  </si>
  <si>
    <t/>
  </si>
  <si>
    <t>bg_prop_lv4</t>
  </si>
  <si>
    <t>bg_prop_lv2</t>
  </si>
  <si>
    <t>bg_prop_lv3</t>
  </si>
  <si>
    <t>高级逗猫棒</t>
    <phoneticPr fontId="26" type="noConversion"/>
  </si>
  <si>
    <t>活跃度</t>
    <phoneticPr fontId="26" type="noConversion"/>
  </si>
  <si>
    <t>累计完成每日任务可获得奖励</t>
    <phoneticPr fontId="26" type="noConversion"/>
  </si>
  <si>
    <t>4|1</t>
    <phoneticPr fontId="26" type="noConversion"/>
  </si>
  <si>
    <t>*</t>
    <phoneticPr fontId="26" type="noConversion"/>
  </si>
  <si>
    <t>4|2</t>
    <phoneticPr fontId="26" type="noConversion"/>
  </si>
  <si>
    <t>4|3</t>
    <phoneticPr fontId="26" type="noConversion"/>
  </si>
  <si>
    <t>4|3</t>
    <phoneticPr fontId="26" type="noConversion"/>
  </si>
  <si>
    <t>bg_prop_lv2</t>
    <phoneticPr fontId="26" type="noConversion"/>
  </si>
  <si>
    <t>bg_prop_lv3</t>
    <phoneticPr fontId="26" type="noConversion"/>
  </si>
  <si>
    <t>加速5分钟</t>
  </si>
  <si>
    <t>*</t>
    <phoneticPr fontId="26" type="noConversion"/>
  </si>
  <si>
    <t>阅历</t>
    <phoneticPr fontId="28" type="noConversion"/>
  </si>
  <si>
    <t>决断</t>
  </si>
  <si>
    <t>亲善</t>
  </si>
  <si>
    <t>洞察</t>
  </si>
  <si>
    <t>小块鱼饼</t>
  </si>
  <si>
    <t>灵猫口粮，增加100灵猫经验</t>
  </si>
  <si>
    <t>中罐鱼饼</t>
  </si>
  <si>
    <t>灵猫口粮，增加500灵猫经验</t>
  </si>
  <si>
    <t>大袋鱼饼</t>
  </si>
  <si>
    <t>灵猫口粮，增加5000灵猫经验</t>
  </si>
  <si>
    <t>花笺情缘，增加100花笺经验</t>
  </si>
  <si>
    <t>花笺情缘，增加500花笺经验</t>
  </si>
  <si>
    <t>花笺情缘，增加5000花笺经验</t>
  </si>
  <si>
    <t>用于情意花笺问缘</t>
  </si>
  <si>
    <t>鱼糖饼</t>
    <phoneticPr fontId="26" type="noConversion"/>
  </si>
  <si>
    <t>凤糖饼</t>
    <phoneticPr fontId="26" type="noConversion"/>
  </si>
  <si>
    <t>龙糖饼</t>
    <phoneticPr fontId="26" type="noConversion"/>
  </si>
  <si>
    <t>鸡仔饼10级</t>
  </si>
  <si>
    <t>icon_prop_2001_maotupo10</t>
  </si>
  <si>
    <t>灵猫10级突破道具之一，馋人的鸡仔饼</t>
  </si>
  <si>
    <t>兔仔饼10级</t>
  </si>
  <si>
    <t>icon_prop_2002_maotupo10</t>
  </si>
  <si>
    <t>灵猫10级突破道具之一，美味的兔仔饼</t>
  </si>
  <si>
    <t>鸡仔饼20级</t>
  </si>
  <si>
    <t>icon_prop_2004_maotupo20</t>
  </si>
  <si>
    <t>灵猫20级突破道具之一，馋人的鸡仔饼</t>
  </si>
  <si>
    <t>兔仔饼20级</t>
  </si>
  <si>
    <t>icon_prop_2005_maotupo20</t>
  </si>
  <si>
    <t>灵猫20级突破道具之一，美味的兔仔饼</t>
  </si>
  <si>
    <t>鸡仔饼30级</t>
  </si>
  <si>
    <t>icon_prop_2007_maotupo30</t>
  </si>
  <si>
    <t>灵猫30级突破道具之一，馋人的鸡仔饼</t>
  </si>
  <si>
    <t>兔仔饼30级</t>
  </si>
  <si>
    <t>icon_prop_2008_maotupo30</t>
  </si>
  <si>
    <t>灵猫30级突破道具之一，美味的兔仔饼</t>
  </si>
  <si>
    <t>鸡仔饼40级</t>
  </si>
  <si>
    <t>icon_prop_2010_maotupo40</t>
  </si>
  <si>
    <t>灵猫40级突破道具之一，馋人的鸡仔饼</t>
  </si>
  <si>
    <t>兔仔饼40级</t>
  </si>
  <si>
    <t>icon_prop_2011_maotupo40</t>
  </si>
  <si>
    <t>灵猫40级突破道具之一，美味的兔仔饼</t>
  </si>
  <si>
    <t>鸡仔饼50级</t>
  </si>
  <si>
    <t>icon_prop_2013_maotupo50</t>
  </si>
  <si>
    <t>灵猫50级突破道具之一，馋人的鸡仔饼</t>
  </si>
  <si>
    <t>兔仔饼50级</t>
  </si>
  <si>
    <t>icon_prop_2014_maotupo50</t>
  </si>
  <si>
    <t>灵猫50级突破道具之一，美味的兔仔饼</t>
  </si>
  <si>
    <t>鸡仔饼60级</t>
  </si>
  <si>
    <t>icon_prop_2016_maotupo60</t>
  </si>
  <si>
    <t>灵猫60级突破道具之一，馋人的鸡仔饼</t>
  </si>
  <si>
    <t>兔仔饼60级</t>
  </si>
  <si>
    <t>icon_prop_2017_maotupo60</t>
  </si>
  <si>
    <t>灵猫60级突破道具之一，美味的兔仔饼</t>
  </si>
  <si>
    <t>鸡仔饼70级</t>
  </si>
  <si>
    <t>icon_prop_2019_maotupo70</t>
  </si>
  <si>
    <t>灵猫70级突破道具之一，馋人的鸡仔饼</t>
  </si>
  <si>
    <t>兔仔饼70级</t>
  </si>
  <si>
    <t>icon_prop_2020_maotupo70</t>
  </si>
  <si>
    <t>灵猫70级突破道具之一，美味的兔仔饼</t>
  </si>
  <si>
    <t>鸡仔饼80级</t>
  </si>
  <si>
    <t>icon_prop_2022_maotupo80</t>
  </si>
  <si>
    <t>灵猫80级突破道具之一，馋人的鸡仔饼</t>
  </si>
  <si>
    <t>兔仔饼80级</t>
  </si>
  <si>
    <t>icon_prop_2023_maotupo80</t>
  </si>
  <si>
    <t>灵猫80级突破道具之一，美味的兔仔饼</t>
  </si>
  <si>
    <t>鸡仔饼90级</t>
  </si>
  <si>
    <t>icon_prop_2025_maotupo90</t>
  </si>
  <si>
    <t>灵猫90级突破道具之一，馋人的鸡仔饼</t>
  </si>
  <si>
    <t>兔仔饼90级</t>
  </si>
  <si>
    <t>icon_prop_2026_maotupo90</t>
  </si>
  <si>
    <t>灵猫90级突破道具之一，美味的兔仔饼</t>
  </si>
  <si>
    <t>鸡仔饼100级</t>
  </si>
  <si>
    <t>icon_prop_2028_maotupo100</t>
  </si>
  <si>
    <t>兔仔饼100级</t>
  </si>
  <si>
    <t>icon_prop_2029_maotupo100</t>
  </si>
  <si>
    <t>鸡仔饼110级</t>
  </si>
  <si>
    <t>icon_prop_2031_maotupo110</t>
  </si>
  <si>
    <t>兔仔饼110级</t>
  </si>
  <si>
    <t>icon_prop_2032_maotupo110</t>
  </si>
  <si>
    <t>鸡仔饼120级</t>
  </si>
  <si>
    <t>icon_prop_2034_maotupo120</t>
  </si>
  <si>
    <t>兔仔饼120级</t>
  </si>
  <si>
    <t>icon_prop_2035_maotupo120</t>
  </si>
  <si>
    <t>花笺10级突破道具，祁清和情丝信物</t>
  </si>
  <si>
    <t>花笺10级突破道具，安歌情丝信物</t>
  </si>
  <si>
    <t>花笺10级突破道具，宁北情丝信物</t>
  </si>
  <si>
    <t>灵风鸢10级</t>
  </si>
  <si>
    <t>花笺10级突破道具，陆沉情丝信物</t>
  </si>
  <si>
    <t>灵花贼10级</t>
  </si>
  <si>
    <t>花笺10级突破道具，沈既明情丝信物</t>
  </si>
  <si>
    <t>灵算珠20级</t>
  </si>
  <si>
    <t>花笺20级突破道具，祁清和情丝信物</t>
  </si>
  <si>
    <t>灵松烟20级</t>
  </si>
  <si>
    <t>花笺20级突破道具，安歌情丝信物</t>
  </si>
  <si>
    <t>灵茶瓯20级</t>
  </si>
  <si>
    <t>花笺20级突破道具，宁北情丝信物</t>
  </si>
  <si>
    <t>灵风鸢20级</t>
  </si>
  <si>
    <t>花笺20级突破道具，陆沉情丝信物</t>
  </si>
  <si>
    <t>灵花贼20级</t>
  </si>
  <si>
    <t>花笺20级突破道具，沈既明情丝信物</t>
  </si>
  <si>
    <t>灵算珠30级</t>
  </si>
  <si>
    <t>花笺30级突破道具，祁清和情丝信物</t>
  </si>
  <si>
    <t>灵松烟30级</t>
  </si>
  <si>
    <t>花笺30级突破道具，安歌情丝信物</t>
  </si>
  <si>
    <t>灵茶瓯30级</t>
  </si>
  <si>
    <t>花笺30级突破道具，宁北情丝信物</t>
  </si>
  <si>
    <t>灵风鸢30级</t>
  </si>
  <si>
    <t>花笺30级突破道具，陆沉情丝信物</t>
  </si>
  <si>
    <t>灵花贼30级</t>
  </si>
  <si>
    <t>花笺30级突破道具，沈既明情丝信物</t>
  </si>
  <si>
    <t>灵算珠40级</t>
  </si>
  <si>
    <t>花笺40级突破道具，祁清和情丝信物</t>
  </si>
  <si>
    <t>灵松烟40级</t>
  </si>
  <si>
    <t>花笺40级突破道具，安歌情丝信物</t>
  </si>
  <si>
    <t>灵茶瓯40级</t>
  </si>
  <si>
    <t>花笺40级突破道具，宁北情丝信物</t>
  </si>
  <si>
    <t>灵风鸢40级</t>
  </si>
  <si>
    <t>花笺40级突破道具，陆沉情丝信物</t>
  </si>
  <si>
    <t>灵花贼40级</t>
  </si>
  <si>
    <t>花笺40级突破道具，沈既明情丝信物</t>
  </si>
  <si>
    <t>灵算珠50级</t>
  </si>
  <si>
    <t>花笺50级突破道具，祁清和情丝信物</t>
  </si>
  <si>
    <t>灵松烟50级</t>
  </si>
  <si>
    <t>花笺50级突破道具，安歌情丝信物</t>
  </si>
  <si>
    <t>灵茶瓯50级</t>
  </si>
  <si>
    <t>花笺50级突破道具，宁北情丝信物</t>
  </si>
  <si>
    <t>灵风鸢50级</t>
  </si>
  <si>
    <t>花笺50级突破道具，陆沉情丝信物</t>
  </si>
  <si>
    <t>灵花贼50级</t>
  </si>
  <si>
    <t>花笺50级突破道具，沈既明情丝信物</t>
  </si>
  <si>
    <t>灵算珠60级</t>
  </si>
  <si>
    <t>花笺60级突破道具，祁清和情丝信物</t>
  </si>
  <si>
    <t>灵松烟60级</t>
  </si>
  <si>
    <t>花笺60级突破道具，安歌情丝信物</t>
  </si>
  <si>
    <t>灵茶瓯60级</t>
  </si>
  <si>
    <t>花笺60级突破道具，宁北情丝信物</t>
  </si>
  <si>
    <t>灵风鸢60级</t>
  </si>
  <si>
    <t>花笺60级突破道具，陆沉情丝信物</t>
  </si>
  <si>
    <t>灵花贼60级</t>
  </si>
  <si>
    <t>花笺60级突破道具，沈既明情丝信物</t>
  </si>
  <si>
    <t>灵算珠70级</t>
  </si>
  <si>
    <t>花笺70级突破道具，祁清和情丝信物</t>
  </si>
  <si>
    <t>灵松烟70级</t>
  </si>
  <si>
    <t>花笺70级突破道具，安歌情丝信物</t>
  </si>
  <si>
    <t>灵茶瓯70级</t>
  </si>
  <si>
    <t>花笺70级突破道具，宁北情丝信物</t>
  </si>
  <si>
    <t>灵风鸢70级</t>
  </si>
  <si>
    <t>花笺70级突破道具，陆沉情丝信物</t>
  </si>
  <si>
    <t>灵花贼70级</t>
  </si>
  <si>
    <t>花笺70级突破道具，沈既明情丝信物</t>
  </si>
  <si>
    <t>灵算珠80级</t>
  </si>
  <si>
    <t>花笺80级突破道具，祁清和情丝信物</t>
  </si>
  <si>
    <t>灵松烟80级</t>
  </si>
  <si>
    <t>花笺80级突破道具，安歌情丝信物</t>
  </si>
  <si>
    <t>灵茶瓯80级</t>
  </si>
  <si>
    <t>花笺80级突破道具，宁北情丝信物</t>
  </si>
  <si>
    <t>灵风鸢80级</t>
  </si>
  <si>
    <t>花笺80级突破道具，陆沉情丝信物</t>
  </si>
  <si>
    <t>灵花贼80级</t>
  </si>
  <si>
    <t>花笺80级突破道具，沈既明情丝信物</t>
  </si>
  <si>
    <t>灵算珠90级</t>
  </si>
  <si>
    <t>花笺90级突破道具，祁清和情丝信物</t>
  </si>
  <si>
    <t>灵松烟90级</t>
  </si>
  <si>
    <t>花笺90级突破道具，安歌情丝信物</t>
  </si>
  <si>
    <t>灵茶瓯90级</t>
  </si>
  <si>
    <t>花笺90级突破道具，宁北情丝信物</t>
  </si>
  <si>
    <t>灵风鸢90级</t>
  </si>
  <si>
    <t>花笺90级突破道具，陆沉情丝信物</t>
  </si>
  <si>
    <t>灵花贼90级</t>
  </si>
  <si>
    <t>花笺90级突破道具，沈既明情丝信物</t>
  </si>
  <si>
    <t>灵算珠100级</t>
  </si>
  <si>
    <t>花笺100级突破道具，祁清和情丝信物</t>
  </si>
  <si>
    <t>灵松烟100级</t>
  </si>
  <si>
    <t>花笺100级突破道具，安歌情丝信物</t>
  </si>
  <si>
    <t>灵茶瓯100级</t>
  </si>
  <si>
    <t>花笺100级突破道具，宁北情丝信物</t>
  </si>
  <si>
    <t>灵风鸢100级</t>
  </si>
  <si>
    <t>花笺100级突破道具，陆沉情丝信物</t>
  </si>
  <si>
    <t>灵花贼100级</t>
  </si>
  <si>
    <t>花笺100级突破道具，沈既明情丝信物</t>
  </si>
  <si>
    <t>灵算珠110级</t>
  </si>
  <si>
    <t>花笺110级突破道具，祁清和情丝信物</t>
  </si>
  <si>
    <t>灵松烟110级</t>
  </si>
  <si>
    <t>花笺110级突破道具，安歌情丝信物</t>
  </si>
  <si>
    <t>灵茶瓯110级</t>
  </si>
  <si>
    <t>花笺110级突破道具，宁北情丝信物</t>
  </si>
  <si>
    <t>灵风鸢110级</t>
  </si>
  <si>
    <t>花笺110级突破道具，陆沉情丝信物</t>
  </si>
  <si>
    <t>灵花贼110级</t>
  </si>
  <si>
    <t>花笺110级突破道具，沈既明情丝信物</t>
  </si>
  <si>
    <t>灵算珠120级</t>
  </si>
  <si>
    <t>花笺120级突破道具，祁清和情丝信物</t>
  </si>
  <si>
    <t>灵松烟120级</t>
  </si>
  <si>
    <t>花笺120级突破道具，安歌情丝信物</t>
  </si>
  <si>
    <t>灵茶瓯120级</t>
  </si>
  <si>
    <t>花笺120级突破道具，宁北情丝信物</t>
  </si>
  <si>
    <t>灵风鸢120级</t>
  </si>
  <si>
    <t>花笺120级突破道具，陆沉情丝信物</t>
  </si>
  <si>
    <t>灵花贼120级</t>
  </si>
  <si>
    <t>花笺120级突破道具，沈既明情丝信物</t>
  </si>
  <si>
    <t>柔软透气，散发着微光，遥望如星光洒落其上</t>
  </si>
  <si>
    <t>明明像云朵一样轻柔，保暖性和透气性却极佳</t>
  </si>
  <si>
    <t>仙气十足，不易皱褶，裁衣版型挺阔不变形</t>
  </si>
  <si>
    <t>触手微凉，夏日必备，质地轻薄，也常作点缀</t>
  </si>
  <si>
    <t>冬暖夏凉，加之轻薄柔软，贴身穿极其舒适</t>
  </si>
  <si>
    <t>由仙禽之羽所制，扇动时犹如仙鸟飞过</t>
  </si>
  <si>
    <t>扇上绘有花鸟山水人物等多种花色，颇为高雅</t>
  </si>
  <si>
    <t>不易觉察的清淡花香，如梦境般旖旎</t>
  </si>
  <si>
    <t>香气清凉微甜，常常会莫名招来猫儿</t>
  </si>
  <si>
    <t>适合引猫来撸，还可缓解猫毛过敏的症状</t>
  </si>
  <si>
    <t>淡雅百搭小甜豆，白皮黄皮都能用</t>
  </si>
  <si>
    <t>桃花红</t>
  </si>
  <si>
    <t>温柔清新，桃花面妆必备，王爷斩色号</t>
  </si>
  <si>
    <t>精致桃花红</t>
  </si>
  <si>
    <t>极品桃花红</t>
  </si>
  <si>
    <t>樱草毛毛蝶</t>
    <phoneticPr fontId="26" type="noConversion"/>
  </si>
  <si>
    <t>icon_prop_2201_gift3_1</t>
    <phoneticPr fontId="26" type="noConversion"/>
  </si>
  <si>
    <t>三花毛毛猫</t>
    <phoneticPr fontId="26" type="noConversion"/>
  </si>
  <si>
    <t>奶牛毛毛猫</t>
    <phoneticPr fontId="26" type="noConversion"/>
  </si>
  <si>
    <t>icon_prop_2204_gift3_4</t>
    <phoneticPr fontId="26" type="noConversion"/>
  </si>
  <si>
    <t>心心毛毛猫</t>
    <phoneticPr fontId="26" type="noConversion"/>
  </si>
  <si>
    <t>暹罗毛毛猫</t>
    <phoneticPr fontId="26" type="noConversion"/>
  </si>
  <si>
    <t>icon_prop_2221_gift5_1</t>
    <phoneticPr fontId="26" type="noConversion"/>
  </si>
  <si>
    <t>icon_prop_2222_gift5_2</t>
    <phoneticPr fontId="26" type="noConversion"/>
  </si>
  <si>
    <t>icon_prop_2223_gift5_3</t>
    <phoneticPr fontId="26" type="noConversion"/>
  </si>
  <si>
    <t>icon_prop_2224_gift5_4</t>
    <phoneticPr fontId="26" type="noConversion"/>
  </si>
  <si>
    <t>icon_prop_2225_gift5_5</t>
    <phoneticPr fontId="26" type="noConversion"/>
  </si>
  <si>
    <t>icon_prop_2226_gift6_5</t>
    <phoneticPr fontId="26" type="noConversion"/>
  </si>
  <si>
    <t>锦鲤毛毛鱼</t>
    <phoneticPr fontId="26" type="noConversion"/>
  </si>
  <si>
    <t>icon_prop_2261_gift4_1</t>
    <phoneticPr fontId="26" type="noConversion"/>
  </si>
  <si>
    <t>icon_prop_2262_gift4_2</t>
    <phoneticPr fontId="26" type="noConversion"/>
  </si>
  <si>
    <t>icon_prop_2263_gift4_3</t>
    <phoneticPr fontId="26" type="noConversion"/>
  </si>
  <si>
    <t>icon_prop_2264_gift4_4</t>
    <phoneticPr fontId="26" type="noConversion"/>
  </si>
  <si>
    <t>icon_prop_2265_gift4_5</t>
    <phoneticPr fontId="26" type="noConversion"/>
  </si>
  <si>
    <t>icon_prop_2266_gift4_6</t>
    <phoneticPr fontId="26" type="noConversion"/>
  </si>
  <si>
    <t>月白毛毛蝶</t>
    <phoneticPr fontId="26" type="noConversion"/>
  </si>
  <si>
    <t>灵算珠10级</t>
    <phoneticPr fontId="26" type="noConversion"/>
  </si>
  <si>
    <t>灵松烟10级</t>
    <phoneticPr fontId="26" type="noConversion"/>
  </si>
  <si>
    <t>灵茶瓯10级</t>
    <phoneticPr fontId="26" type="noConversion"/>
  </si>
  <si>
    <t>再来一次揪尾巴</t>
    <phoneticPr fontId="26" type="noConversion"/>
  </si>
  <si>
    <t>柔软透气，散发着微光，遥望如星光洒落其上</t>
    <phoneticPr fontId="26" type="noConversion"/>
  </si>
  <si>
    <t>全部导出</t>
    <phoneticPr fontId="26" type="noConversion"/>
  </si>
  <si>
    <t>用于招募最稀有的灵猫</t>
    <phoneticPr fontId="26" type="noConversion"/>
  </si>
  <si>
    <t>我的阅历，用于提升我的等级</t>
    <phoneticPr fontId="26" type="noConversion"/>
  </si>
  <si>
    <t>唐仁的铺子上转得的鱼形糖饼</t>
    <phoneticPr fontId="26" type="noConversion"/>
  </si>
  <si>
    <t>唐仁的铺子上转得的龙形糖饼</t>
    <phoneticPr fontId="26" type="noConversion"/>
  </si>
  <si>
    <t>唐仁的铺子上转得的凤形糖饼</t>
    <phoneticPr fontId="26" type="noConversion"/>
  </si>
  <si>
    <t>*</t>
    <phoneticPr fontId="26" type="noConversion"/>
  </si>
  <si>
    <t>Source</t>
    <phoneticPr fontId="26" type="noConversion"/>
  </si>
  <si>
    <t>来源</t>
    <phoneticPr fontId="26" type="noConversion"/>
  </si>
  <si>
    <t>icon_prop_666</t>
  </si>
  <si>
    <t>公主包</t>
  </si>
  <si>
    <t>精致公主包</t>
    <phoneticPr fontId="26" type="noConversion"/>
  </si>
  <si>
    <t>极品公主包</t>
    <phoneticPr fontId="26" type="noConversion"/>
  </si>
  <si>
    <t>曼妙束腰</t>
  </si>
  <si>
    <t>精致曼妙束腰</t>
    <phoneticPr fontId="26" type="noConversion"/>
  </si>
  <si>
    <t>极品曼妙束腰</t>
    <phoneticPr fontId="26" type="noConversion"/>
  </si>
  <si>
    <t>云纹革带</t>
  </si>
  <si>
    <t>精致云纹革带</t>
    <phoneticPr fontId="26" type="noConversion"/>
  </si>
  <si>
    <t>极品云纹革带</t>
    <phoneticPr fontId="26" type="noConversion"/>
  </si>
  <si>
    <t>柳枝襦裙</t>
  </si>
  <si>
    <t>精致柳枝襦裙</t>
    <phoneticPr fontId="26" type="noConversion"/>
  </si>
  <si>
    <t>极品柳枝襦裙</t>
    <phoneticPr fontId="26" type="noConversion"/>
  </si>
  <si>
    <t>银星落罗裙</t>
  </si>
  <si>
    <t>精致银星落罗裙</t>
    <phoneticPr fontId="26" type="noConversion"/>
  </si>
  <si>
    <t>极品银星落罗裙</t>
    <phoneticPr fontId="26" type="noConversion"/>
  </si>
  <si>
    <t>百花时褶裙</t>
  </si>
  <si>
    <t>精致百花时褶裙</t>
    <phoneticPr fontId="26" type="noConversion"/>
  </si>
  <si>
    <t>极品百花时褶裙</t>
    <phoneticPr fontId="26" type="noConversion"/>
  </si>
  <si>
    <t>仙娥锦袍</t>
  </si>
  <si>
    <t>精致仙娥锦袍</t>
    <phoneticPr fontId="26" type="noConversion"/>
  </si>
  <si>
    <t>极品仙娥锦袍</t>
    <phoneticPr fontId="26" type="noConversion"/>
  </si>
  <si>
    <t>惹香罗衫</t>
    <phoneticPr fontId="26" type="noConversion"/>
  </si>
  <si>
    <t>精致惹香罗衫</t>
    <phoneticPr fontId="26" type="noConversion"/>
  </si>
  <si>
    <t>极品惹香罗衫</t>
    <phoneticPr fontId="26" type="noConversion"/>
  </si>
  <si>
    <t>锦霞云裘</t>
  </si>
  <si>
    <t>精致锦霞云裘</t>
    <phoneticPr fontId="26" type="noConversion"/>
  </si>
  <si>
    <t>极品锦霞云裘</t>
    <phoneticPr fontId="26" type="noConversion"/>
  </si>
  <si>
    <t>色调淡雅轻盈，上身清凉透气</t>
  </si>
  <si>
    <t>云绣坊特色产品，闪耀非凡，如星河落满身</t>
  </si>
  <si>
    <t>带有逼真写生的折枝花纹，走路间如步步生花</t>
    <phoneticPr fontId="26" type="noConversion"/>
  </si>
  <si>
    <t>若凝脂粉霜</t>
  </si>
  <si>
    <t>极品若凝脂粉霜</t>
    <phoneticPr fontId="26" type="noConversion"/>
  </si>
  <si>
    <t>月宫桂</t>
    <phoneticPr fontId="26" type="noConversion"/>
  </si>
  <si>
    <t>精致月宫桂</t>
    <phoneticPr fontId="26" type="noConversion"/>
  </si>
  <si>
    <t>极品月宫桂</t>
    <phoneticPr fontId="26" type="noConversion"/>
  </si>
  <si>
    <t>icon_prop_36031_liulihuazan</t>
    <phoneticPr fontId="26" type="noConversion"/>
  </si>
  <si>
    <t>一包金币</t>
  </si>
  <si>
    <t>全给</t>
    <phoneticPr fontId="26" type="noConversion"/>
  </si>
  <si>
    <t>全给</t>
    <phoneticPr fontId="26" type="noConversion"/>
  </si>
  <si>
    <t>指定宝箱</t>
  </si>
  <si>
    <t>剧情奖池券</t>
    <phoneticPr fontId="26" type="noConversion"/>
  </si>
  <si>
    <t>逗猫棒</t>
    <phoneticPr fontId="26" type="noConversion"/>
  </si>
  <si>
    <t>猫薄荷</t>
    <phoneticPr fontId="26" type="noConversion"/>
  </si>
  <si>
    <t>*</t>
    <phoneticPr fontId="26" type="noConversion"/>
  </si>
  <si>
    <t>独立随机宝箱</t>
    <phoneticPr fontId="26" type="noConversion"/>
  </si>
  <si>
    <t>剧情奖池券</t>
    <phoneticPr fontId="26" type="noConversion"/>
  </si>
  <si>
    <t>独立随机宝箱</t>
    <phoneticPr fontId="26" type="noConversion"/>
  </si>
  <si>
    <t>独立随机宝箱</t>
    <phoneticPr fontId="26" type="noConversion"/>
  </si>
  <si>
    <t>猫薄荷</t>
    <phoneticPr fontId="26" type="noConversion"/>
  </si>
  <si>
    <t>圆桌随机宝箱</t>
    <phoneticPr fontId="26" type="noConversion"/>
  </si>
  <si>
    <t>逗猫棒</t>
    <phoneticPr fontId="26" type="noConversion"/>
  </si>
  <si>
    <t>*</t>
    <phoneticPr fontId="26" type="noConversion"/>
  </si>
  <si>
    <t>圆桌随机宝箱</t>
    <phoneticPr fontId="26" type="noConversion"/>
  </si>
  <si>
    <t>猫薄荷</t>
    <phoneticPr fontId="26" type="noConversion"/>
  </si>
  <si>
    <t>*</t>
    <phoneticPr fontId="26" type="noConversion"/>
  </si>
  <si>
    <t>一包金币</t>
    <phoneticPr fontId="26" type="noConversion"/>
  </si>
  <si>
    <t>获得1000金币</t>
    <phoneticPr fontId="26" type="noConversion"/>
  </si>
  <si>
    <t>体力丹</t>
    <phoneticPr fontId="26" type="noConversion"/>
  </si>
  <si>
    <t>获得60点心魄</t>
    <phoneticPr fontId="26" type="noConversion"/>
  </si>
  <si>
    <t>指定宝箱</t>
    <phoneticPr fontId="26" type="noConversion"/>
  </si>
  <si>
    <t>获得3个道具</t>
    <phoneticPr fontId="26" type="noConversion"/>
  </si>
  <si>
    <t>*</t>
    <phoneticPr fontId="26" type="noConversion"/>
  </si>
  <si>
    <t>独立随机宝箱</t>
  </si>
  <si>
    <t>获得1到3个道具</t>
    <phoneticPr fontId="26" type="noConversion"/>
  </si>
  <si>
    <t>圆桌随机宝箱</t>
  </si>
  <si>
    <t>获得一个随机道具</t>
    <phoneticPr fontId="26" type="noConversion"/>
  </si>
  <si>
    <t>使用前往界面</t>
    <phoneticPr fontId="26" type="noConversion"/>
  </si>
  <si>
    <t>喵之智</t>
    <phoneticPr fontId="26" type="noConversion"/>
  </si>
  <si>
    <t>猫蛋最大id</t>
    <phoneticPr fontId="26" type="noConversion"/>
  </si>
  <si>
    <t>bg_prop_lv3</t>
    <phoneticPr fontId="26" type="noConversion"/>
  </si>
  <si>
    <t>浮光麻</t>
    <phoneticPr fontId="26" type="noConversion"/>
  </si>
  <si>
    <t>绒绒棉</t>
    <phoneticPr fontId="26" type="noConversion"/>
  </si>
  <si>
    <t>千色堇</t>
    <phoneticPr fontId="26" type="noConversion"/>
  </si>
  <si>
    <t>薄荷果</t>
    <phoneticPr fontId="26" type="noConversion"/>
  </si>
  <si>
    <t>皮皮竹</t>
    <phoneticPr fontId="26" type="noConversion"/>
  </si>
  <si>
    <t>玲珑胶</t>
    <phoneticPr fontId="26" type="noConversion"/>
  </si>
  <si>
    <t>细麻自带微光，远望之有如粼粼波光浮于其上</t>
  </si>
  <si>
    <t>引自沙漠之地。云朵般轻盈柔软，保暖性极强</t>
  </si>
  <si>
    <t>多色小堇花，制成的染料色泽鲜艳、不易褪色</t>
  </si>
  <si>
    <t>气味清凉微甜，沁人心脾，有提神清心的功效</t>
  </si>
  <si>
    <t>外皮煮过后防水挡风，柔韧度佳，可造皮制品</t>
  </si>
  <si>
    <t>玲珑荟叶子中提取的无色透明胶质，滋补美颜</t>
  </si>
  <si>
    <t>蚕丝细滑，轻盈透气，触感微凉，乃消暑佳品</t>
  </si>
  <si>
    <t>灵山深处的禽鸟之羽，极柔韧，花色繁复美丽</t>
  </si>
  <si>
    <t>脂豚毛发熬煮而成。膏脂晶莹剔透，香味清雅</t>
  </si>
  <si>
    <t>泡泡羊身上的白色泡沫。温和绵密，清洁力强</t>
  </si>
  <si>
    <t>沙砾貂肚皮上最柔软的绒毛，因好动而掉毛快</t>
  </si>
  <si>
    <t>水仙蚌孕育的五彩灵珠，圆润饱满，光泽柔和</t>
  </si>
  <si>
    <t>冰蚕丝</t>
  </si>
  <si>
    <t>仙禽羽</t>
  </si>
  <si>
    <t>玉莹脂</t>
  </si>
  <si>
    <t>泡泡球</t>
  </si>
  <si>
    <t>沙貂绒</t>
  </si>
  <si>
    <t>水韵珠</t>
  </si>
  <si>
    <t>山野中挖掘的天然矿物，类型丰富，开采不易</t>
  </si>
  <si>
    <t>百年香木的旧枝木屑，木香有安神镇定的功效</t>
  </si>
  <si>
    <t>剔透的六方晶柱，象征永恒，是极佳定情信物</t>
  </si>
  <si>
    <t>透明泪滴状矿物。透光观之，色彩如梦似幻</t>
  </si>
  <si>
    <t>罕见的玉石品种，温润养人，佩戴可驱除寒气</t>
  </si>
  <si>
    <t>来自无夜沙海，吸收日之精华，暗处自带荧光</t>
  </si>
  <si>
    <t>山林矿</t>
  </si>
  <si>
    <t>香木屑</t>
  </si>
  <si>
    <t>水晶晶</t>
  </si>
  <si>
    <t>天人泪</t>
  </si>
  <si>
    <t>琼琳石</t>
  </si>
  <si>
    <t>夜明砂</t>
  </si>
  <si>
    <t>清凉纱制作的素色荷包，轻盈精致，装随身小物正好</t>
    <phoneticPr fontId="26" type="noConversion"/>
  </si>
  <si>
    <t>柔云织制作的腰封，百搭实用，展现灵动曼妙腰肢</t>
    <phoneticPr fontId="26" type="noConversion"/>
  </si>
  <si>
    <t>极光缎制作的腰带，镶嵌不同宝石，贵气十足</t>
  </si>
  <si>
    <t>柔软飘逸，色泽明艳，穿之如神女下凡</t>
  </si>
  <si>
    <t>制衣之时使用秘法加上香料，衣物天然含香</t>
  </si>
  <si>
    <t>用锦缎制作而成的披肩，绣满精致的花卉纹样</t>
  </si>
  <si>
    <t>蓬松保暖，花色繁复美丽，穿之如身披锦霞</t>
  </si>
  <si>
    <t>均匀肤色，持久水润，质地轻盈不脱妆</t>
  </si>
  <si>
    <t>精致若凝脂粉霜</t>
    <phoneticPr fontId="26" type="noConversion"/>
  </si>
  <si>
    <t>若桃花粉霜</t>
    <phoneticPr fontId="26" type="noConversion"/>
  </si>
  <si>
    <t>精致若桃花粉霜</t>
    <phoneticPr fontId="26" type="noConversion"/>
  </si>
  <si>
    <t>极品若桃花粉霜</t>
    <phoneticPr fontId="26" type="noConversion"/>
  </si>
  <si>
    <t>三色配方，遮瑕力强，修饰不同肤色问题</t>
  </si>
  <si>
    <t>青山黛</t>
    <phoneticPr fontId="26" type="noConversion"/>
  </si>
  <si>
    <t>精致青山黛</t>
    <phoneticPr fontId="26" type="noConversion"/>
  </si>
  <si>
    <t>极品青山黛</t>
    <phoneticPr fontId="26" type="noConversion"/>
  </si>
  <si>
    <t>色调自然，长时间显色，拒绝晕染</t>
  </si>
  <si>
    <t>多种花色可选。点缀于眉间，甚是引人注目</t>
  </si>
  <si>
    <t>香浴清露</t>
    <phoneticPr fontId="26" type="noConversion"/>
  </si>
  <si>
    <t>精致香浴清露</t>
    <phoneticPr fontId="26" type="noConversion"/>
  </si>
  <si>
    <t>极品香浴清露</t>
    <phoneticPr fontId="26" type="noConversion"/>
  </si>
  <si>
    <t>温和清洁，赋予肌肤持久幽雅的甜蜜沁香</t>
  </si>
  <si>
    <t>玉肌霜</t>
    <phoneticPr fontId="26" type="noConversion"/>
  </si>
  <si>
    <t>精致玉肌霜</t>
    <phoneticPr fontId="26" type="noConversion"/>
  </si>
  <si>
    <t>极品玉肌霜</t>
    <phoneticPr fontId="26" type="noConversion"/>
  </si>
  <si>
    <t>洗颜泡沫</t>
  </si>
  <si>
    <t>精致洗颜泡沫</t>
    <phoneticPr fontId="26" type="noConversion"/>
  </si>
  <si>
    <t>极品洗颜泡沫</t>
    <phoneticPr fontId="26" type="noConversion"/>
  </si>
  <si>
    <t>细腻泡沫，深度清洁毛孔，柔和不紧绷</t>
  </si>
  <si>
    <t>焕肤面膜</t>
    <phoneticPr fontId="26" type="noConversion"/>
  </si>
  <si>
    <t>精致焕肤面膜</t>
    <phoneticPr fontId="26" type="noConversion"/>
  </si>
  <si>
    <t>极品焕肤面膜</t>
    <phoneticPr fontId="26" type="noConversion"/>
  </si>
  <si>
    <t>温和修复，缓解晒后红肿现象，敏感肌可用</t>
  </si>
  <si>
    <t>白银质地的簪子，造型朴素却不失优雅</t>
  </si>
  <si>
    <t>黄金打造的簪子，流光溢彩，华贵而不艳俗</t>
  </si>
  <si>
    <t>溪涧曲</t>
  </si>
  <si>
    <t>精致溪涧曲</t>
    <phoneticPr fontId="26" type="noConversion"/>
  </si>
  <si>
    <t>极品溪涧曲</t>
    <phoneticPr fontId="26" type="noConversion"/>
  </si>
  <si>
    <t>上垂水晶流苏，摇曳间似波光粼粼，声如溪曲</t>
  </si>
  <si>
    <t>极品胧月簪</t>
    <phoneticPr fontId="26" type="noConversion"/>
  </si>
  <si>
    <t>精致胧月簪</t>
    <phoneticPr fontId="26" type="noConversion"/>
  </si>
  <si>
    <t>胧月簪</t>
    <phoneticPr fontId="26" type="noConversion"/>
  </si>
  <si>
    <t>佩戴后如一弯胧月缀于发间，清雅出尘</t>
  </si>
  <si>
    <t>簪上雕月桂几朵，似金色月桂落在云髻上</t>
  </si>
  <si>
    <t>花满枝</t>
  </si>
  <si>
    <t>精致花满枝</t>
    <phoneticPr fontId="26" type="noConversion"/>
  </si>
  <si>
    <t>极品花满枝</t>
    <phoneticPr fontId="26" type="noConversion"/>
  </si>
  <si>
    <t>银簪上缀一枝繁花，透出春色几分，浓淡相宜</t>
  </si>
  <si>
    <t>金卉纹镯</t>
  </si>
  <si>
    <t>精致金卉纹镯</t>
    <phoneticPr fontId="26" type="noConversion"/>
  </si>
  <si>
    <t>极品金卉纹镯</t>
    <phoneticPr fontId="26" type="noConversion"/>
  </si>
  <si>
    <t>镯子开口两端刻有花叶，华贵而不失雅致</t>
  </si>
  <si>
    <t>项链。清新婉约，仿佛十里桃花落在颈间</t>
  </si>
  <si>
    <t>离人泪</t>
    <phoneticPr fontId="26" type="noConversion"/>
  </si>
  <si>
    <t>精致离人泪</t>
    <phoneticPr fontId="26" type="noConversion"/>
  </si>
  <si>
    <t>极品离人泪</t>
    <phoneticPr fontId="26" type="noConversion"/>
  </si>
  <si>
    <t>耳坠似泪滴，水汽氤氲，如离愁之泪</t>
  </si>
  <si>
    <t>玉狸笔搁</t>
  </si>
  <si>
    <t>精致玉狸笔搁</t>
    <phoneticPr fontId="26" type="noConversion"/>
  </si>
  <si>
    <t>极品玉狸笔搁</t>
    <phoneticPr fontId="26" type="noConversion"/>
  </si>
  <si>
    <t>宝玉雕成可爱猫咪形状，用之像猫儿托着毛笔</t>
  </si>
  <si>
    <t>玉兔腰佩</t>
  </si>
  <si>
    <t>精致玉兔腰佩</t>
    <phoneticPr fontId="26" type="noConversion"/>
  </si>
  <si>
    <t>极品玉兔腰佩</t>
    <phoneticPr fontId="26" type="noConversion"/>
  </si>
  <si>
    <t>形若玉兔，十分可爱，深得贵族小姐的喜欢</t>
  </si>
  <si>
    <t>朱雀剑穗</t>
  </si>
  <si>
    <t>朱红色的剑穗，挂珠用天人泪雕制，十分闪耀</t>
  </si>
  <si>
    <t>精致朱雀剑穗</t>
    <phoneticPr fontId="26" type="noConversion"/>
  </si>
  <si>
    <t>极品朱雀剑穗</t>
    <phoneticPr fontId="26" type="noConversion"/>
  </si>
  <si>
    <t>白莲玉香插</t>
  </si>
  <si>
    <t>精致白莲玉香插</t>
    <phoneticPr fontId="26" type="noConversion"/>
  </si>
  <si>
    <t>极品白莲玉香插</t>
    <phoneticPr fontId="26" type="noConversion"/>
  </si>
  <si>
    <t>形似睡莲的香插，花瓣形态舒展，上缀露珠</t>
  </si>
  <si>
    <t>猫蛋初始id</t>
    <phoneticPr fontId="26" type="noConversion"/>
  </si>
  <si>
    <t>icon_prop_666</t>
    <phoneticPr fontId="26" type="noConversion"/>
  </si>
  <si>
    <t>icon_prop_306_maobinggan</t>
    <phoneticPr fontId="26" type="noConversion"/>
  </si>
  <si>
    <t>icon_prop_suanzhu30</t>
    <phoneticPr fontId="26" type="noConversion"/>
  </si>
  <si>
    <t>icon_prop_suanzhu40</t>
    <phoneticPr fontId="26" type="noConversion"/>
  </si>
  <si>
    <t>icon_prop_suanzhu80</t>
    <phoneticPr fontId="26" type="noConversion"/>
  </si>
  <si>
    <t>icon_prop_suanzhu110</t>
    <phoneticPr fontId="26" type="noConversion"/>
  </si>
  <si>
    <t>icon_prop_suanzhu120</t>
    <phoneticPr fontId="26" type="noConversion"/>
  </si>
  <si>
    <t>icon_prop_suanzhu20</t>
    <phoneticPr fontId="26" type="noConversion"/>
  </si>
  <si>
    <t>icon_prop_suanzhu50</t>
    <phoneticPr fontId="26" type="noConversion"/>
  </si>
  <si>
    <t>icon_prop_suanzhu60</t>
    <phoneticPr fontId="26" type="noConversion"/>
  </si>
  <si>
    <t>icon_prop_suanzhu70</t>
    <phoneticPr fontId="26" type="noConversion"/>
  </si>
  <si>
    <t>icon_prop_suanzhu90</t>
    <phoneticPr fontId="26" type="noConversion"/>
  </si>
  <si>
    <t>icon_prop_suanzhu100</t>
    <phoneticPr fontId="26" type="noConversion"/>
  </si>
  <si>
    <t>icon_prop_chabei20</t>
    <phoneticPr fontId="26" type="noConversion"/>
  </si>
  <si>
    <t>icon_prop_chabei30</t>
  </si>
  <si>
    <t>icon_prop_chabei40</t>
  </si>
  <si>
    <t>icon_prop_chabei50</t>
  </si>
  <si>
    <t>icon_prop_chabei60</t>
  </si>
  <si>
    <t>icon_prop_chabei70</t>
  </si>
  <si>
    <t>icon_prop_chabei80</t>
  </si>
  <si>
    <t>icon_prop_chabei90</t>
  </si>
  <si>
    <t>icon_prop_chabei100</t>
  </si>
  <si>
    <t>icon_prop_chabei110</t>
  </si>
  <si>
    <t>icon_prop_chabei120</t>
  </si>
  <si>
    <t>白玉糍</t>
    <phoneticPr fontId="26" type="noConversion"/>
  </si>
  <si>
    <t>花玉糍</t>
    <phoneticPr fontId="26" type="noConversion"/>
  </si>
  <si>
    <t>icon_prop_songyan20</t>
    <phoneticPr fontId="26" type="noConversion"/>
  </si>
  <si>
    <t>icon_prop_songyan30</t>
  </si>
  <si>
    <t>icon_prop_songyan40</t>
  </si>
  <si>
    <t>icon_prop_songyan50</t>
  </si>
  <si>
    <t>icon_prop_songyan60</t>
  </si>
  <si>
    <t>icon_prop_songyan70</t>
  </si>
  <si>
    <t>icon_prop_songyan90</t>
  </si>
  <si>
    <t>icon_prop_songyan100</t>
  </si>
  <si>
    <t>icon_prop_songyan110</t>
  </si>
  <si>
    <t>icon_prop_songyan120</t>
  </si>
  <si>
    <t>icon_prop_songyan80</t>
    <phoneticPr fontId="26" type="noConversion"/>
  </si>
  <si>
    <t>icon_prop_fengyuan10</t>
    <phoneticPr fontId="26" type="noConversion"/>
  </si>
  <si>
    <t>icon_prop_fengyuan20</t>
    <phoneticPr fontId="26" type="noConversion"/>
  </si>
  <si>
    <t>icon_prop_fengyuan30</t>
    <phoneticPr fontId="26" type="noConversion"/>
  </si>
  <si>
    <t>icon_prop_fengyuan40</t>
    <phoneticPr fontId="26" type="noConversion"/>
  </si>
  <si>
    <t>icon_prop_fengyuan50</t>
    <phoneticPr fontId="26" type="noConversion"/>
  </si>
  <si>
    <t>icon_prop_fengyuan60</t>
    <phoneticPr fontId="26" type="noConversion"/>
  </si>
  <si>
    <t>icon_prop_fengyuan70</t>
    <phoneticPr fontId="26" type="noConversion"/>
  </si>
  <si>
    <t>icon_prop_fengyuan80</t>
    <phoneticPr fontId="26" type="noConversion"/>
  </si>
  <si>
    <t>icon_prop_fengyuan90</t>
    <phoneticPr fontId="26" type="noConversion"/>
  </si>
  <si>
    <t>icon_prop_fengyuan100</t>
    <phoneticPr fontId="26" type="noConversion"/>
  </si>
  <si>
    <t>icon_prop_fengyuan110</t>
    <phoneticPr fontId="26" type="noConversion"/>
  </si>
  <si>
    <t>icon_prop_fengyuan120</t>
    <phoneticPr fontId="26" type="noConversion"/>
  </si>
  <si>
    <t>icon_prop_huazei10</t>
    <phoneticPr fontId="26" type="noConversion"/>
  </si>
  <si>
    <t>icon_prop_huazei20</t>
    <phoneticPr fontId="26" type="noConversion"/>
  </si>
  <si>
    <t>icon_prop_huazei30</t>
    <phoneticPr fontId="26" type="noConversion"/>
  </si>
  <si>
    <t>icon_prop_huazei40</t>
    <phoneticPr fontId="26" type="noConversion"/>
  </si>
  <si>
    <t>icon_prop_huazei50</t>
    <phoneticPr fontId="26" type="noConversion"/>
  </si>
  <si>
    <t>icon_prop_huazei60</t>
    <phoneticPr fontId="26" type="noConversion"/>
  </si>
  <si>
    <t>icon_prop_huazei70</t>
    <phoneticPr fontId="26" type="noConversion"/>
  </si>
  <si>
    <t>icon_prop_huazei80</t>
    <phoneticPr fontId="26" type="noConversion"/>
  </si>
  <si>
    <t>icon_prop_huazei90</t>
    <phoneticPr fontId="26" type="noConversion"/>
  </si>
  <si>
    <t>icon_prop_huazei100</t>
    <phoneticPr fontId="26" type="noConversion"/>
  </si>
  <si>
    <t>icon_prop_huazei110</t>
    <phoneticPr fontId="26" type="noConversion"/>
  </si>
  <si>
    <t>icon_prop_huazei120</t>
    <phoneticPr fontId="26" type="noConversion"/>
  </si>
  <si>
    <t>icon_prop_23006_yemingsha</t>
    <phoneticPr fontId="26" type="noConversion"/>
  </si>
  <si>
    <t>icon_prop_22006_shadiaorong</t>
    <phoneticPr fontId="26" type="noConversion"/>
  </si>
  <si>
    <t>icon_prop_666</t>
    <phoneticPr fontId="26" type="noConversion"/>
  </si>
  <si>
    <t>icon_prop_gongzhubao</t>
    <phoneticPr fontId="26" type="noConversion"/>
  </si>
  <si>
    <t>icon_prop_liuzhiruqun</t>
    <phoneticPr fontId="26" type="noConversion"/>
  </si>
  <si>
    <t>icon_prop_yinxingluoluoqun</t>
    <phoneticPr fontId="26" type="noConversion"/>
  </si>
  <si>
    <t>icon_prop_baihuashizhequn</t>
    <phoneticPr fontId="26" type="noConversion"/>
  </si>
  <si>
    <t>icon_prop_xianejinpao</t>
    <phoneticPr fontId="26" type="noConversion"/>
  </si>
  <si>
    <t>icon_prop_fengguanxiapei</t>
    <phoneticPr fontId="26" type="noConversion"/>
  </si>
  <si>
    <t>icon_prop_jinxiayunqiu</t>
    <phoneticPr fontId="26" type="noConversion"/>
  </si>
  <si>
    <t>icon_prop_fengguanxiapei</t>
    <phoneticPr fontId="26" type="noConversion"/>
  </si>
  <si>
    <t>热卖锣</t>
    <phoneticPr fontId="26" type="noConversion"/>
  </si>
  <si>
    <t>ProtagID</t>
    <phoneticPr fontId="26" type="noConversion"/>
  </si>
  <si>
    <t>男主id</t>
    <phoneticPr fontId="26" type="noConversion"/>
  </si>
  <si>
    <t>Voicetem</t>
  </si>
  <si>
    <t>语音道具</t>
    <phoneticPr fontId="26" type="noConversion"/>
  </si>
  <si>
    <t>*</t>
    <phoneticPr fontId="26" type="noConversion"/>
  </si>
  <si>
    <t>iProtagID</t>
    <phoneticPr fontId="26" type="noConversion"/>
  </si>
  <si>
    <t>icon_prop_35021</t>
  </si>
  <si>
    <t>icon_prop_35031</t>
  </si>
  <si>
    <t>icon_prop_35061</t>
  </si>
  <si>
    <t>icon_prop_34061_qingshuangpaomo</t>
    <phoneticPr fontId="26" type="noConversion"/>
  </si>
  <si>
    <t>icon_prop_37011</t>
  </si>
  <si>
    <t>icon_prop_37021</t>
  </si>
  <si>
    <t>icon_prop_37031</t>
  </si>
  <si>
    <t>icon_prop_38011</t>
  </si>
  <si>
    <t>icon_prop_38021</t>
  </si>
  <si>
    <t>icon_prop_39011</t>
  </si>
  <si>
    <t>icon_prop_39021</t>
  </si>
  <si>
    <t>icon_prop_39041</t>
  </si>
  <si>
    <t>Favor</t>
    <phoneticPr fontId="26" type="noConversion"/>
  </si>
  <si>
    <t>GiftType</t>
    <phoneticPr fontId="26" type="noConversion"/>
  </si>
  <si>
    <t>iGiftType</t>
    <phoneticPr fontId="26" type="noConversion"/>
  </si>
  <si>
    <t>增加好感度</t>
    <phoneticPr fontId="26" type="noConversion"/>
  </si>
  <si>
    <t>猫毛猫1</t>
    <phoneticPr fontId="26" type="noConversion"/>
  </si>
  <si>
    <t>猫毛猫2</t>
  </si>
  <si>
    <t>猫毛猫3</t>
  </si>
  <si>
    <t>猫毛猫4</t>
  </si>
  <si>
    <t>猫毛猫5</t>
  </si>
  <si>
    <t>猫毛猫6</t>
  </si>
  <si>
    <t>猫毛鸟1</t>
    <phoneticPr fontId="26" type="noConversion"/>
  </si>
  <si>
    <t>猫毛鸟2</t>
  </si>
  <si>
    <t>猫毛鸟3</t>
  </si>
  <si>
    <t>猫毛鸟4</t>
  </si>
  <si>
    <t>猫毛鸟5</t>
  </si>
  <si>
    <t>猫毛鸟6</t>
  </si>
  <si>
    <t>猫毛鱼1</t>
    <phoneticPr fontId="26" type="noConversion"/>
  </si>
  <si>
    <t>猫毛鱼2</t>
  </si>
  <si>
    <t>猫毛鱼3</t>
  </si>
  <si>
    <t>猫毛鱼4</t>
  </si>
  <si>
    <t>猫毛鱼5</t>
  </si>
  <si>
    <t>猫毛鱼6</t>
  </si>
  <si>
    <t>猫毛狗1</t>
    <phoneticPr fontId="26" type="noConversion"/>
  </si>
  <si>
    <t>猫毛狗2</t>
  </si>
  <si>
    <t>猫毛狗3</t>
  </si>
  <si>
    <t>猫毛狗4</t>
  </si>
  <si>
    <t>猫毛狗5</t>
  </si>
  <si>
    <t>猫毛狗6</t>
  </si>
  <si>
    <t>猫毛蝴蝶1</t>
    <phoneticPr fontId="26" type="noConversion"/>
  </si>
  <si>
    <t>猫毛蝴蝶2</t>
  </si>
  <si>
    <t>猫毛蝴蝶3</t>
  </si>
  <si>
    <t>猫毛蝴蝶4</t>
  </si>
  <si>
    <t>猫毛蝴蝶5</t>
  </si>
  <si>
    <t>猫毛蝴蝶6</t>
  </si>
  <si>
    <t>GiftItem</t>
  </si>
  <si>
    <t>男主赠送的礼物</t>
    <phoneticPr fontId="26" type="noConversion"/>
  </si>
  <si>
    <t>STRING</t>
    <phoneticPr fontId="26" type="noConversion"/>
  </si>
  <si>
    <t>s</t>
    <phoneticPr fontId="26" type="noConversion"/>
  </si>
  <si>
    <t>男主提示</t>
    <phoneticPr fontId="26" type="noConversion"/>
  </si>
  <si>
    <t>*</t>
    <phoneticPr fontId="26" type="noConversion"/>
  </si>
  <si>
    <t>Hint</t>
    <phoneticPr fontId="26" type="noConversion"/>
  </si>
  <si>
    <t>sHint</t>
    <phoneticPr fontId="26" type="noConversion"/>
  </si>
  <si>
    <t>凡星绢配方</t>
    <phoneticPr fontId="26" type="noConversion"/>
  </si>
  <si>
    <t>灵魄</t>
    <phoneticPr fontId="28" type="noConversion"/>
  </si>
  <si>
    <t>异色影花扇</t>
  </si>
  <si>
    <t>精致异色影花扇</t>
  </si>
  <si>
    <t>极品异色影花扇</t>
  </si>
  <si>
    <t>竹皮编腕</t>
  </si>
  <si>
    <t>精致竹皮编腕</t>
  </si>
  <si>
    <t>极品竹皮编腕</t>
  </si>
  <si>
    <t>星帛竹皮笠</t>
  </si>
  <si>
    <t>精致星帛竹皮笠</t>
  </si>
  <si>
    <t>极品星帛竹皮笠</t>
  </si>
  <si>
    <t>貂绒坐垫</t>
  </si>
  <si>
    <t>精致貂绒坐垫</t>
  </si>
  <si>
    <t>极品貂绒坐垫</t>
  </si>
  <si>
    <t>貂绒披肩</t>
  </si>
  <si>
    <t>精致貂绒披肩</t>
  </si>
  <si>
    <t>极品貂绒披肩</t>
  </si>
  <si>
    <t>神锦被衾</t>
  </si>
  <si>
    <t>精致神锦被衾</t>
  </si>
  <si>
    <t>极品神锦被衾</t>
  </si>
  <si>
    <t>水风清</t>
  </si>
  <si>
    <t>精致水风清</t>
  </si>
  <si>
    <t>极品水风清</t>
  </si>
  <si>
    <t>落霞明</t>
  </si>
  <si>
    <t>精致落霞明</t>
  </si>
  <si>
    <t>极品落霞明</t>
  </si>
  <si>
    <t>梅子酒</t>
  </si>
  <si>
    <t>精致梅子酒</t>
  </si>
  <si>
    <t>极品梅子酒</t>
  </si>
  <si>
    <t>正宫红</t>
  </si>
  <si>
    <t>精致正宫红</t>
  </si>
  <si>
    <t>极品正宫红</t>
  </si>
  <si>
    <t>净妆膏脂</t>
  </si>
  <si>
    <t>精致净妆膏脂</t>
  </si>
  <si>
    <t>极品净妆膏脂</t>
  </si>
  <si>
    <t>冰肌水</t>
  </si>
  <si>
    <t>精致冰肌水</t>
  </si>
  <si>
    <t>极品冰肌水</t>
  </si>
  <si>
    <t>去痕凝胶</t>
  </si>
  <si>
    <t>精致去痕凝胶</t>
  </si>
  <si>
    <t>极品去痕凝胶</t>
  </si>
  <si>
    <t>icon_prop_32071</t>
  </si>
  <si>
    <t>icon_prop_32081</t>
  </si>
  <si>
    <t>icon_prop_32091</t>
  </si>
  <si>
    <t>icon_prop_32101</t>
  </si>
  <si>
    <t>icon_prop_32111</t>
  </si>
  <si>
    <t>icon_prop_34051</t>
  </si>
  <si>
    <t>icon_prop_34061</t>
  </si>
  <si>
    <t>icon_prop_35071</t>
  </si>
  <si>
    <t>icon_prop_35081</t>
  </si>
  <si>
    <t>icon_prop_36051</t>
  </si>
  <si>
    <t>icon_prop_36071</t>
  </si>
  <si>
    <t>icon_prop_32071</t>
    <phoneticPr fontId="26" type="noConversion"/>
  </si>
  <si>
    <t>icon_prop_32101</t>
    <phoneticPr fontId="26" type="noConversion"/>
  </si>
  <si>
    <t>icon_prop_32111</t>
    <phoneticPr fontId="26" type="noConversion"/>
  </si>
  <si>
    <t>icon_prop_666</t>
    <phoneticPr fontId="26" type="noConversion"/>
  </si>
  <si>
    <t>护腕质地坚韧，轻盈耐用，极受欢迎。</t>
  </si>
  <si>
    <t>精心设计成贴合头部的形状，不压乱发型</t>
  </si>
  <si>
    <t>扇体极轻，上绣各色花卉，极其精致高雅</t>
  </si>
  <si>
    <t>绒绒棉和砂貂绒所制的坐垫，柔软保暖。</t>
  </si>
  <si>
    <t>可抵御冬季肩头脖颈寒冷。花色美丽多样。</t>
  </si>
  <si>
    <t>香味清冽纯净，如清晨薄雾，草尖露珠</t>
  </si>
  <si>
    <t>香味浓而不烈，雅致旖旎，犹如晚霞漫天</t>
  </si>
  <si>
    <t>紫调偏红，薄涂温柔娴静，厚涂气场十足</t>
  </si>
  <si>
    <t>质地丝滑好推，正宫之威，一抹既得</t>
  </si>
  <si>
    <t>清洁力强，温和带走残妆同时滋养肌肤</t>
  </si>
  <si>
    <t>香味宜人，水润而不黏腻，还你饱满水光肌</t>
  </si>
  <si>
    <t>抚平淡化疤痕，镇痛消炎舒缓，也可治疗痘痘</t>
  </si>
  <si>
    <t>bg_prop_lv1</t>
    <phoneticPr fontId="26" type="noConversion"/>
  </si>
  <si>
    <t>bg_prop_lv3</t>
    <phoneticPr fontId="26" type="noConversion"/>
  </si>
  <si>
    <t>花魂10级</t>
  </si>
  <si>
    <t>花魂20级</t>
  </si>
  <si>
    <t>花魂30级</t>
  </si>
  <si>
    <t>花魂40级</t>
  </si>
  <si>
    <t>花魂50级</t>
  </si>
  <si>
    <t>花魂60级</t>
  </si>
  <si>
    <t>花魂70级</t>
  </si>
  <si>
    <t>花魂80级</t>
  </si>
  <si>
    <t>花魂90级</t>
  </si>
  <si>
    <t>花魂100级</t>
  </si>
  <si>
    <t>花魂110级</t>
  </si>
  <si>
    <t>花魂120级</t>
  </si>
  <si>
    <t>花迹10级</t>
  </si>
  <si>
    <t>花迹20级</t>
  </si>
  <si>
    <t>花迹30级</t>
  </si>
  <si>
    <t>花迹40级</t>
  </si>
  <si>
    <t>花迹50级</t>
  </si>
  <si>
    <t>花迹60级</t>
  </si>
  <si>
    <t>花迹70级</t>
  </si>
  <si>
    <t>花迹80级</t>
  </si>
  <si>
    <t>花迹90级</t>
  </si>
  <si>
    <t>花迹100级</t>
  </si>
  <si>
    <t>花迹110级</t>
  </si>
  <si>
    <t>花迹120级</t>
  </si>
  <si>
    <t>随机礼物礼包</t>
    <phoneticPr fontId="26" type="noConversion"/>
  </si>
  <si>
    <t>获得一个随机猫猫道具</t>
    <phoneticPr fontId="26" type="noConversion"/>
  </si>
  <si>
    <t>每个奖励随机</t>
    <phoneticPr fontId="26" type="noConversion"/>
  </si>
  <si>
    <t>随机其中一个</t>
    <phoneticPr fontId="26" type="noConversion"/>
  </si>
  <si>
    <t>*</t>
    <phoneticPr fontId="26" type="noConversion"/>
  </si>
  <si>
    <t>随机礼物礼包</t>
    <phoneticPr fontId="26" type="noConversion"/>
  </si>
  <si>
    <t>随机其中一个</t>
    <phoneticPr fontId="26" type="noConversion"/>
  </si>
  <si>
    <t>随机礼物礼包</t>
    <phoneticPr fontId="26" type="noConversion"/>
  </si>
  <si>
    <t>随机礼物礼包</t>
    <phoneticPr fontId="26" type="noConversion"/>
  </si>
  <si>
    <t>锦鲤毛毛鱼</t>
    <phoneticPr fontId="26" type="noConversion"/>
  </si>
  <si>
    <t>随机其中一个</t>
    <phoneticPr fontId="26" type="noConversion"/>
  </si>
  <si>
    <t>月白毛毛蝶</t>
    <phoneticPr fontId="26" type="noConversion"/>
  </si>
  <si>
    <t>随机其中一个</t>
    <phoneticPr fontId="26" type="noConversion"/>
  </si>
  <si>
    <t>喵之武</t>
    <phoneticPr fontId="26" type="noConversion"/>
  </si>
  <si>
    <t>喵之魅</t>
    <phoneticPr fontId="26" type="noConversion"/>
  </si>
  <si>
    <t>icon_prop_11601</t>
    <phoneticPr fontId="26" type="noConversion"/>
  </si>
  <si>
    <t>icon_prop_11621</t>
    <phoneticPr fontId="26" type="noConversion"/>
  </si>
  <si>
    <t>icon_prop_11602</t>
  </si>
  <si>
    <t>icon_prop_11603</t>
  </si>
  <si>
    <t>icon_prop_11604</t>
  </si>
  <si>
    <t>icon_prop_11605</t>
  </si>
  <si>
    <t>icon_prop_11606</t>
  </si>
  <si>
    <t>icon_prop_11607</t>
  </si>
  <si>
    <t>icon_prop_11608</t>
  </si>
  <si>
    <t>icon_prop_11609</t>
  </si>
  <si>
    <t>icon_prop_11610</t>
  </si>
  <si>
    <t>icon_prop_11611</t>
  </si>
  <si>
    <t>icon_prop_11612</t>
  </si>
  <si>
    <t>icon_prop_11622</t>
  </si>
  <si>
    <t>icon_prop_11623</t>
  </si>
  <si>
    <t>icon_prop_11624</t>
  </si>
  <si>
    <t>icon_prop_11625</t>
  </si>
  <si>
    <t>icon_prop_11626</t>
  </si>
  <si>
    <t>icon_prop_11627</t>
  </si>
  <si>
    <t>icon_prop_11628</t>
  </si>
  <si>
    <t>icon_prop_11629</t>
  </si>
  <si>
    <t>icon_prop_11630</t>
  </si>
  <si>
    <t>icon_prop_11631</t>
  </si>
  <si>
    <t>icon_prop_11632</t>
  </si>
  <si>
    <t>icon_prop_11042</t>
  </si>
  <si>
    <t>icon_prop_11043</t>
  </si>
  <si>
    <t>icon_prop_11044</t>
  </si>
  <si>
    <t>icon_prop_11045</t>
  </si>
  <si>
    <t>icon_prop_11046</t>
  </si>
  <si>
    <t>icon_prop_11047</t>
  </si>
  <si>
    <t>icon_prop_11048</t>
  </si>
  <si>
    <t>icon_prop_11049</t>
  </si>
  <si>
    <t>icon_prop_11050</t>
  </si>
  <si>
    <t>icon_prop_11051</t>
  </si>
  <si>
    <t>icon_prop_11052</t>
  </si>
  <si>
    <t>icon_prop_11061</t>
    <phoneticPr fontId="26" type="noConversion"/>
  </si>
  <si>
    <t>icon_prop_11062</t>
  </si>
  <si>
    <t>icon_prop_11063</t>
  </si>
  <si>
    <t>icon_prop_11064</t>
  </si>
  <si>
    <t>icon_prop_11065</t>
  </si>
  <si>
    <t>icon_prop_11066</t>
  </si>
  <si>
    <t>icon_prop_11067</t>
  </si>
  <si>
    <t>icon_prop_11068</t>
  </si>
  <si>
    <t>icon_prop_11069</t>
  </si>
  <si>
    <t>icon_prop_11070</t>
  </si>
  <si>
    <t>icon_prop_11071</t>
  </si>
  <si>
    <t>icon_prop_11072</t>
  </si>
  <si>
    <t>icon_prop_11081</t>
    <phoneticPr fontId="26" type="noConversion"/>
  </si>
  <si>
    <t>icon_prop_11082</t>
  </si>
  <si>
    <t>icon_prop_11083</t>
  </si>
  <si>
    <t>icon_prop_11084</t>
  </si>
  <si>
    <t>icon_prop_11085</t>
  </si>
  <si>
    <t>icon_prop_11086</t>
  </si>
  <si>
    <t>icon_prop_11087</t>
  </si>
  <si>
    <t>icon_prop_11088</t>
  </si>
  <si>
    <t>icon_prop_11089</t>
  </si>
  <si>
    <t>icon_prop_11090</t>
  </si>
  <si>
    <t>icon_prop_11091</t>
  </si>
  <si>
    <t>icon_prop_11092</t>
  </si>
  <si>
    <t>icon_prop_11101</t>
    <phoneticPr fontId="26" type="noConversion"/>
  </si>
  <si>
    <t>icon_prop_11102</t>
  </si>
  <si>
    <t>icon_prop_11103</t>
  </si>
  <si>
    <t>icon_prop_11104</t>
  </si>
  <si>
    <t>icon_prop_11105</t>
  </si>
  <si>
    <t>icon_prop_11106</t>
  </si>
  <si>
    <t>icon_prop_11107</t>
  </si>
  <si>
    <t>icon_prop_11108</t>
  </si>
  <si>
    <t>icon_prop_11109</t>
  </si>
  <si>
    <t>icon_prop_11110</t>
  </si>
  <si>
    <t>icon_prop_11111</t>
  </si>
  <si>
    <t>icon_prop_11112</t>
  </si>
  <si>
    <t>icon_prop_11121</t>
    <phoneticPr fontId="26" type="noConversion"/>
  </si>
  <si>
    <t>icon_prop_11122</t>
  </si>
  <si>
    <t>icon_prop_11123</t>
  </si>
  <si>
    <t>icon_prop_11124</t>
  </si>
  <si>
    <t>icon_prop_11125</t>
  </si>
  <si>
    <t>icon_prop_11126</t>
  </si>
  <si>
    <t>icon_prop_11127</t>
  </si>
  <si>
    <t>icon_prop_11128</t>
  </si>
  <si>
    <t>icon_prop_11129</t>
  </si>
  <si>
    <t>icon_prop_11130</t>
  </si>
  <si>
    <t>icon_prop_11131</t>
  </si>
  <si>
    <t>icon_prop_11132</t>
  </si>
  <si>
    <t>icon_prop_11141</t>
    <phoneticPr fontId="26" type="noConversion"/>
  </si>
  <si>
    <t>icon_prop_11142</t>
  </si>
  <si>
    <t>icon_prop_11143</t>
  </si>
  <si>
    <t>icon_prop_11144</t>
  </si>
  <si>
    <t>icon_prop_11145</t>
  </si>
  <si>
    <t>icon_prop_11146</t>
  </si>
  <si>
    <t>icon_prop_11147</t>
  </si>
  <si>
    <t>icon_prop_11148</t>
  </si>
  <si>
    <t>icon_prop_11149</t>
  </si>
  <si>
    <t>icon_prop_11150</t>
  </si>
  <si>
    <t>icon_prop_11151</t>
  </si>
  <si>
    <t>icon_prop_11152</t>
  </si>
  <si>
    <t>icon_prop_11041</t>
    <phoneticPr fontId="26" type="noConversion"/>
  </si>
  <si>
    <t>1.货币
2.消耗道具
3.有时间周期的物品
4.产出的原料
5.制作的道具
6.礼包
7.话题
8.男主资料
9.猫碎片
10.猫装扮
11.基本建筑
12.配方
13.探险积分
14.支线钥匙
15.男主秘宝
16.普通秘宝
17.男主CG
18.船皮肤
21.男主id
22.NPC
23.商铺
24.情报线索
25.NPC好感
26.商品经验
27.小纸条
28.花笺碎片
29.证据
30.猫
31.男主来访事件
32.养成物品</t>
    <phoneticPr fontId="26" type="noConversion"/>
  </si>
  <si>
    <t>自选礼包</t>
    <phoneticPr fontId="26" type="noConversion"/>
  </si>
  <si>
    <t>从奖励中选一件获得</t>
    <phoneticPr fontId="26" type="noConversion"/>
  </si>
  <si>
    <t>OptionalGift</t>
    <phoneticPr fontId="26" type="noConversion"/>
  </si>
  <si>
    <t>自选其中一个</t>
    <phoneticPr fontId="26" type="noConversion"/>
  </si>
  <si>
    <t>自选礼物礼包</t>
    <phoneticPr fontId="26" type="noConversion"/>
  </si>
  <si>
    <t>17|18|19|20|21</t>
    <phoneticPr fontId="26" type="noConversion"/>
  </si>
  <si>
    <t>体力</t>
    <phoneticPr fontId="26" type="noConversion"/>
  </si>
  <si>
    <t>每6分钟回复一点体力</t>
    <phoneticPr fontId="26" type="noConversion"/>
  </si>
  <si>
    <t>喵贝</t>
    <phoneticPr fontId="26" type="noConversion"/>
  </si>
  <si>
    <t>用于在小花园与造访的灵猫玩耍</t>
    <phoneticPr fontId="26" type="noConversion"/>
  </si>
  <si>
    <t>猫探险获得，可在卷卷的【喵欢喜】商店兑换物品</t>
    <phoneticPr fontId="26" type="noConversion"/>
  </si>
  <si>
    <t>撸猫手套</t>
    <phoneticPr fontId="26" type="noConversion"/>
  </si>
  <si>
    <t>灵猫10级突破道具，清甜的鲜奶，狸花最爱</t>
  </si>
  <si>
    <t>灵猫20级突破道具，清甜的鲜奶，狸花最爱</t>
  </si>
  <si>
    <t>灵猫30级突破道具，清甜的鲜奶，狸花最爱</t>
  </si>
  <si>
    <t>灵猫40级突破道具，清甜的鲜奶，狸花最爱</t>
  </si>
  <si>
    <t>灵猫50级突破道具，清甜的鲜奶，狸花最爱</t>
  </si>
  <si>
    <t>灵猫60级突破道具，清甜的鲜奶，狸花最爱</t>
  </si>
  <si>
    <t>灵猫70级突破道具，清甜的鲜奶，狸花最爱</t>
  </si>
  <si>
    <t>灵猫80级突破道具，清甜的鲜奶，狸花最爱</t>
  </si>
  <si>
    <t>灵猫90级突破道具，清甜的鲜奶，狸花最爱</t>
  </si>
  <si>
    <t>灵猫100级突破道具，清甜的鲜奶，狸花最爱</t>
  </si>
  <si>
    <t>灵猫110级突破道具，清甜的鲜奶，狸花最爱</t>
  </si>
  <si>
    <t>灵猫120级突破道具，清甜的鲜奶，狸花最爱</t>
  </si>
  <si>
    <t>灵猫10级突破道具，诱人的鲜奶，大橘最爱</t>
  </si>
  <si>
    <t>灵猫20级突破道具，诱人的鲜奶，大橘最爱</t>
  </si>
  <si>
    <t>灵猫30级突破道具，诱人的鲜奶，大橘最爱</t>
  </si>
  <si>
    <t>灵猫40级突破道具，诱人的鲜奶，大橘最爱</t>
  </si>
  <si>
    <t>灵猫50级突破道具，诱人的鲜奶，大橘最爱</t>
  </si>
  <si>
    <t>灵猫60级突破道具，诱人的鲜奶，大橘最爱</t>
  </si>
  <si>
    <t>灵猫70级突破道具，诱人的鲜奶，大橘最爱</t>
  </si>
  <si>
    <t>灵猫80级突破道具，诱人的鲜奶，大橘最爱</t>
  </si>
  <si>
    <t>灵猫90级突破道具，诱人的鲜奶，大橘最爱</t>
  </si>
  <si>
    <t>灵猫100级突破道具，诱人的鲜奶，大橘最爱</t>
  </si>
  <si>
    <t>灵猫110级突破道具，诱人的鲜奶，大橘最爱</t>
  </si>
  <si>
    <t>灵猫120级突破道具，诱人的鲜奶，大橘最爱</t>
  </si>
  <si>
    <t>灵猫10级突破道具，甜甜的鲜奶，布偶最爱</t>
  </si>
  <si>
    <t>灵猫20级突破道具，甜甜的鲜奶，布偶最爱</t>
  </si>
  <si>
    <t>灵猫30级突破道具，甜甜的鲜奶，布偶最爱</t>
  </si>
  <si>
    <t>灵猫40级突破道具，甜甜的鲜奶，布偶最爱</t>
  </si>
  <si>
    <t>灵猫50级突破道具，甜甜的鲜奶，布偶最爱</t>
  </si>
  <si>
    <t>灵猫60级突破道具，甜甜的鲜奶，布偶最爱</t>
  </si>
  <si>
    <t>灵猫70级突破道具，甜甜的鲜奶，布偶最爱</t>
  </si>
  <si>
    <t>灵猫80级突破道具，甜甜的鲜奶，布偶最爱</t>
  </si>
  <si>
    <t>灵猫90级突破道具，甜甜的鲜奶，布偶最爱</t>
  </si>
  <si>
    <t>灵猫100级突破道具，甜甜的鲜奶，布偶最爱</t>
  </si>
  <si>
    <t>灵猫110级突破道具，甜甜的鲜奶，布偶最爱</t>
  </si>
  <si>
    <t>灵猫120级突破道具，甜甜的鲜奶，布偶最爱</t>
  </si>
  <si>
    <t>灵猫10级突破道具，浓郁的鲜奶，英短最爱</t>
  </si>
  <si>
    <t>灵猫20级突破道具，浓郁的鲜奶，英短最爱</t>
  </si>
  <si>
    <t>灵猫30级突破道具，浓郁的鲜奶，英短最爱</t>
  </si>
  <si>
    <t>灵猫40级突破道具，浓郁的鲜奶，英短最爱</t>
  </si>
  <si>
    <t>灵猫50级突破道具，浓郁的鲜奶，英短最爱</t>
  </si>
  <si>
    <t>灵猫60级突破道具，浓郁的鲜奶，英短最爱</t>
  </si>
  <si>
    <t>灵猫70级突破道具，浓郁的鲜奶，英短最爱</t>
  </si>
  <si>
    <t>灵猫80级突破道具，浓郁的鲜奶，英短最爱</t>
  </si>
  <si>
    <t>灵猫90级突破道具，浓郁的鲜奶，英短最爱</t>
  </si>
  <si>
    <t>灵猫100级突破道具，浓郁的鲜奶，英短最爱</t>
  </si>
  <si>
    <t>灵猫110级突破道具，浓郁的鲜奶，英短最爱</t>
  </si>
  <si>
    <t>灵猫120级突破道具，浓郁的鲜奶，英短最爱</t>
  </si>
  <si>
    <t>灵猫10级突破道具，美味的鲜奶，奶牛最爱</t>
  </si>
  <si>
    <t>灵猫20级突破道具，美味的鲜奶，奶牛最爱</t>
  </si>
  <si>
    <t>灵猫30级突破道具，美味的鲜奶，奶牛最爱</t>
  </si>
  <si>
    <t>灵猫40级突破道具，美味的鲜奶，奶牛最爱</t>
  </si>
  <si>
    <t>灵猫50级突破道具，美味的鲜奶，奶牛最爱</t>
  </si>
  <si>
    <t>灵猫60级突破道具，美味的鲜奶，奶牛最爱</t>
  </si>
  <si>
    <t>灵猫70级突破道具，美味的鲜奶，奶牛最爱</t>
  </si>
  <si>
    <t>灵猫80级突破道具，美味的鲜奶，奶牛最爱</t>
  </si>
  <si>
    <t>灵猫90级突破道具，美味的鲜奶，奶牛最爱</t>
  </si>
  <si>
    <t>灵猫100级突破道具，美味的鲜奶，奶牛最爱</t>
  </si>
  <si>
    <t>灵猫110级突破道具，美味的鲜奶，奶牛最爱</t>
  </si>
  <si>
    <t>灵猫120级突破道具，美味的鲜奶，奶牛最爱</t>
  </si>
  <si>
    <t>灵猫10级突破道具，可口的鲜奶，加菲最爱</t>
  </si>
  <si>
    <t>灵猫20级突破道具，可口的鲜奶，加菲最爱</t>
  </si>
  <si>
    <t>灵猫30级突破道具，可口的鲜奶，加菲最爱</t>
  </si>
  <si>
    <t>灵猫40级突破道具，可口的鲜奶，加菲最爱</t>
  </si>
  <si>
    <t>灵猫50级突破道具，可口的鲜奶，加菲最爱</t>
  </si>
  <si>
    <t>灵猫60级突破道具，可口的鲜奶，加菲最爱</t>
  </si>
  <si>
    <t>灵猫70级突破道具，可口的鲜奶，加菲最爱</t>
  </si>
  <si>
    <t>灵猫80级突破道具，可口的鲜奶，加菲最爱</t>
  </si>
  <si>
    <t>灵猫90级突破道具，可口的鲜奶，加菲最爱</t>
  </si>
  <si>
    <t>灵猫100级突破道具，可口的鲜奶，加菲最爱</t>
  </si>
  <si>
    <t>灵猫110级突破道具，可口的鲜奶，加菲最爱</t>
  </si>
  <si>
    <t>灵猫120级突破道具，可口的鲜奶，加菲最爱</t>
  </si>
  <si>
    <t>体力丹</t>
    <phoneticPr fontId="26" type="noConversion"/>
  </si>
  <si>
    <t>体力</t>
    <phoneticPr fontId="26" type="noConversion"/>
  </si>
  <si>
    <t>胖橘毛毛猫</t>
  </si>
  <si>
    <t>狸纹毛毛猫</t>
  </si>
  <si>
    <t>元气毛毛鸟</t>
  </si>
  <si>
    <t>知绿毛毛鸟</t>
  </si>
  <si>
    <t>修仙毛毛鸟</t>
  </si>
  <si>
    <t>思春毛毛鸟</t>
  </si>
  <si>
    <t>风雪毛毛鸟</t>
  </si>
  <si>
    <t>桃粉毛毛鸟</t>
  </si>
  <si>
    <t>墨迹毛毛鱼</t>
  </si>
  <si>
    <t>大黑毛毛狗</t>
  </si>
  <si>
    <t>大黄毛毛狗</t>
  </si>
  <si>
    <t>大巴毛毛狗</t>
  </si>
  <si>
    <t>大卷毛毛狗</t>
  </si>
  <si>
    <t>大条毛毛狗</t>
  </si>
  <si>
    <t>大眯毛毛狗</t>
  </si>
  <si>
    <t>十分雀跃的小鸟，看起来能带来好运。</t>
  </si>
  <si>
    <t>它有一点绿，是春天的感觉呢。</t>
  </si>
  <si>
    <t>胡姑娘做的是休闲的鸟儿，无奈写错了名。</t>
  </si>
  <si>
    <t>鹦鹉的样子，长得颇像思归。</t>
  </si>
  <si>
    <t>冬景种若是有鸟儿，就应长这个样子吧。</t>
  </si>
  <si>
    <t>有些少女模样的毛毡鸟。</t>
  </si>
  <si>
    <t>用奶牛猫的猫毛制成的奶牛色毛毡。</t>
  </si>
  <si>
    <t>雁山堂的那只大黄，好像也长这个样子。</t>
  </si>
  <si>
    <t>照着巴哥儿的模样做的毛毡。</t>
  </si>
  <si>
    <t>听说是以西洋独有的卷毛狗为原型所制。</t>
  </si>
  <si>
    <t>因为没见过条纹狗，特意做了条纹样的毛毡狗。</t>
  </si>
  <si>
    <t>看不到眼睛的长毛狗毛毡，长得十分可爱。</t>
  </si>
  <si>
    <t>icon_prop_36061</t>
    <phoneticPr fontId="26" type="noConversion"/>
  </si>
  <si>
    <t>icon_prop_35011</t>
    <phoneticPr fontId="26" type="noConversion"/>
  </si>
  <si>
    <t>icon_prop_36061</t>
    <phoneticPr fontId="26" type="noConversion"/>
  </si>
  <si>
    <t>icon_prop_39031</t>
    <phoneticPr fontId="26" type="noConversion"/>
  </si>
  <si>
    <t>Icon</t>
    <phoneticPr fontId="28" type="noConversion"/>
  </si>
  <si>
    <t>对应图标</t>
    <phoneticPr fontId="28" type="noConversion"/>
  </si>
  <si>
    <t>icon_prop_1_jinbi</t>
    <phoneticPr fontId="28" type="noConversion"/>
  </si>
  <si>
    <t>icon_prop_2_maozhuayu</t>
    <phoneticPr fontId="28" type="noConversion"/>
  </si>
  <si>
    <t>icon_prop_3_jingyan</t>
    <phoneticPr fontId="28" type="noConversion"/>
  </si>
  <si>
    <t>icon_prop_14</t>
    <phoneticPr fontId="26" type="noConversion"/>
  </si>
  <si>
    <t>icon_prop_2003_maotupo10</t>
    <phoneticPr fontId="26" type="noConversion"/>
  </si>
  <si>
    <t>icon_prop_666</t>
    <phoneticPr fontId="28" type="noConversion"/>
  </si>
  <si>
    <t>icon_prop_203</t>
    <phoneticPr fontId="28" type="noConversion"/>
  </si>
  <si>
    <t>icon_prop_208_maobohe</t>
    <phoneticPr fontId="28" type="noConversion"/>
  </si>
  <si>
    <t>icon_prop_209_maozhuaban</t>
    <phoneticPr fontId="26" type="noConversion"/>
  </si>
  <si>
    <t>backyard_item02</t>
    <phoneticPr fontId="26" type="noConversion"/>
  </si>
  <si>
    <t>backyard_item03</t>
    <phoneticPr fontId="26" type="noConversion"/>
  </si>
  <si>
    <t>icon_prop_207_gaojidoumaobang</t>
    <phoneticPr fontId="26" type="noConversion"/>
  </si>
  <si>
    <t>icon_prop_101249_longfengtanghua</t>
    <phoneticPr fontId="26" type="noConversion"/>
  </si>
  <si>
    <t>icon_prop_316</t>
    <phoneticPr fontId="26" type="noConversion"/>
  </si>
  <si>
    <t>icon_prop_317</t>
    <phoneticPr fontId="26" type="noConversion"/>
  </si>
  <si>
    <t>icon_prop_318_tongxinjie</t>
    <phoneticPr fontId="26" type="noConversion"/>
  </si>
  <si>
    <t>icon_prop_319_saodangquan</t>
    <phoneticPr fontId="26" type="noConversion"/>
  </si>
  <si>
    <t>icon_prop_101233_huoyuedu</t>
    <phoneticPr fontId="26" type="noConversion"/>
  </si>
  <si>
    <t>icon_prop_321</t>
    <phoneticPr fontId="26" type="noConversion"/>
  </si>
  <si>
    <t>icon_prop_322</t>
    <phoneticPr fontId="26" type="noConversion"/>
  </si>
  <si>
    <t>icon_prop_100726_qianziwen</t>
    <phoneticPr fontId="26" type="noConversion"/>
  </si>
  <si>
    <t>icon_prop_suanzhu10</t>
    <phoneticPr fontId="26" type="noConversion"/>
  </si>
  <si>
    <t>icon_prop_songyan10</t>
    <phoneticPr fontId="26" type="noConversion"/>
  </si>
  <si>
    <t>icon_prop_chabei10</t>
    <phoneticPr fontId="26" type="noConversion"/>
  </si>
  <si>
    <t>icon_prop_2202_gift3_2</t>
    <phoneticPr fontId="26" type="noConversion"/>
  </si>
  <si>
    <t>icon_prop_2203_gift3_3</t>
    <phoneticPr fontId="26" type="noConversion"/>
  </si>
  <si>
    <t>icon_prop_13001</t>
    <phoneticPr fontId="26" type="noConversion"/>
  </si>
  <si>
    <t>icon_prop_13011</t>
    <phoneticPr fontId="26" type="noConversion"/>
  </si>
  <si>
    <t>icon_prop_13021</t>
    <phoneticPr fontId="26" type="noConversion"/>
  </si>
  <si>
    <t>icon_prop_21001_fuguangma</t>
    <phoneticPr fontId="26" type="noConversion"/>
  </si>
  <si>
    <t>icon_prop_21002_rongrongmian</t>
    <phoneticPr fontId="26" type="noConversion"/>
  </si>
  <si>
    <t>icon_prop_21003_qiansejin</t>
    <phoneticPr fontId="26" type="noConversion"/>
  </si>
  <si>
    <t>icon_prop_21004_boheguo</t>
    <phoneticPr fontId="26" type="noConversion"/>
  </si>
  <si>
    <t>icon_prop_21005_pipizhu</t>
    <phoneticPr fontId="26" type="noConversion"/>
  </si>
  <si>
    <t>icon_prop_21006_linglongjiao</t>
    <phoneticPr fontId="26" type="noConversion"/>
  </si>
  <si>
    <t>icon_prop_24000_maomao</t>
    <phoneticPr fontId="26" type="noConversion"/>
  </si>
  <si>
    <t>icon_prop_24001_shuiyunzhu</t>
    <phoneticPr fontId="26" type="noConversion"/>
  </si>
  <si>
    <t>icon_prop_24002_xiangmuxie</t>
    <phoneticPr fontId="26" type="noConversion"/>
  </si>
  <si>
    <t>icon_prop_666</t>
    <phoneticPr fontId="26" type="noConversion"/>
  </si>
  <si>
    <t>icon_prop_666</t>
    <phoneticPr fontId="26" type="noConversion"/>
  </si>
  <si>
    <t>icon_prop_gongzhubao</t>
    <phoneticPr fontId="26" type="noConversion"/>
  </si>
  <si>
    <t>icon_prop_gongzhubao</t>
    <phoneticPr fontId="26" type="noConversion"/>
  </si>
  <si>
    <t>icon_prop_32051_yaofeng</t>
    <phoneticPr fontId="26" type="noConversion"/>
  </si>
  <si>
    <t>icon_prop_32051_yaofeng</t>
    <phoneticPr fontId="26" type="noConversion"/>
  </si>
  <si>
    <t>icon_prop_32061_yaodai</t>
    <phoneticPr fontId="26" type="noConversion"/>
  </si>
  <si>
    <t>icon_prop_liuzhiruqun</t>
    <phoneticPr fontId="26" type="noConversion"/>
  </si>
  <si>
    <t>icon_prop_yinxingluoluoqun</t>
    <phoneticPr fontId="26" type="noConversion"/>
  </si>
  <si>
    <t>icon_prop_baihuashizhequn</t>
    <phoneticPr fontId="26" type="noConversion"/>
  </si>
  <si>
    <t>icon_prop_baihuashizhequn</t>
    <phoneticPr fontId="26" type="noConversion"/>
  </si>
  <si>
    <t>icon_prop_xianejinpao</t>
    <phoneticPr fontId="26" type="noConversion"/>
  </si>
  <si>
    <t>icon_prop_xianejinpao</t>
    <phoneticPr fontId="26" type="noConversion"/>
  </si>
  <si>
    <t>icon_prop_rexiangluoshan</t>
    <phoneticPr fontId="26" type="noConversion"/>
  </si>
  <si>
    <t>icon_prop_rexiangluoshan</t>
    <phoneticPr fontId="26" type="noConversion"/>
  </si>
  <si>
    <t>icon_prop_rexiangluoshan</t>
    <phoneticPr fontId="26" type="noConversion"/>
  </si>
  <si>
    <t>icon_prop_jinxiayunqiu</t>
    <phoneticPr fontId="26" type="noConversion"/>
  </si>
  <si>
    <t>icon_prop_jinxiayunqiu</t>
    <phoneticPr fontId="26" type="noConversion"/>
  </si>
  <si>
    <t>icon_prop_35031</t>
    <phoneticPr fontId="26" type="noConversion"/>
  </si>
  <si>
    <t>icon_prop_35031</t>
    <phoneticPr fontId="26" type="noConversion"/>
  </si>
  <si>
    <t>icon_prop_35041</t>
    <phoneticPr fontId="26" type="noConversion"/>
  </si>
  <si>
    <t>icon_prop_35041</t>
    <phoneticPr fontId="26" type="noConversion"/>
  </si>
  <si>
    <t>icon_prop_35051</t>
    <phoneticPr fontId="26" type="noConversion"/>
  </si>
  <si>
    <t>icon_prop_35051</t>
    <phoneticPr fontId="26" type="noConversion"/>
  </si>
  <si>
    <t>icon_prop_36011</t>
    <phoneticPr fontId="26" type="noConversion"/>
  </si>
  <si>
    <t>icon_prop_36011</t>
    <phoneticPr fontId="26" type="noConversion"/>
  </si>
  <si>
    <t>icon_prop_34061_qingshuangpaomo</t>
    <phoneticPr fontId="26" type="noConversion"/>
  </si>
  <si>
    <t>icon_prop_34051_ningfushuang</t>
    <phoneticPr fontId="26" type="noConversion"/>
  </si>
  <si>
    <t>icon_prop_34051_ningfushuang</t>
    <phoneticPr fontId="26" type="noConversion"/>
  </si>
  <si>
    <t>icon_prop_huanfumianmo</t>
    <phoneticPr fontId="26" type="noConversion"/>
  </si>
  <si>
    <t>icon_prop_37031</t>
    <phoneticPr fontId="26" type="noConversion"/>
  </si>
  <si>
    <t>icon_prop_37031</t>
    <phoneticPr fontId="26" type="noConversion"/>
  </si>
  <si>
    <t>icon_prop_37041</t>
    <phoneticPr fontId="26" type="noConversion"/>
  </si>
  <si>
    <t>icon_prop_37041</t>
    <phoneticPr fontId="26" type="noConversion"/>
  </si>
  <si>
    <t>icon_prop_37051_yuegonggui</t>
    <phoneticPr fontId="26" type="noConversion"/>
  </si>
  <si>
    <t>icon_prop_36031_liulihuazan</t>
    <phoneticPr fontId="26" type="noConversion"/>
  </si>
  <si>
    <t>icon_prop_36031_liulihuazan</t>
    <phoneticPr fontId="26" type="noConversion"/>
  </si>
  <si>
    <t>icon_prop_38011</t>
    <phoneticPr fontId="26" type="noConversion"/>
  </si>
  <si>
    <t>icon_prop_38031</t>
    <phoneticPr fontId="26" type="noConversion"/>
  </si>
  <si>
    <t>icon_prop_39011</t>
    <phoneticPr fontId="26" type="noConversion"/>
  </si>
  <si>
    <t>icon_prop_39021</t>
    <phoneticPr fontId="26" type="noConversion"/>
  </si>
  <si>
    <t>icon_prop_39021</t>
    <phoneticPr fontId="26" type="noConversion"/>
  </si>
  <si>
    <t>icon_prop_39031</t>
    <phoneticPr fontId="26" type="noConversion"/>
  </si>
  <si>
    <t>icon_prop_39041</t>
    <phoneticPr fontId="26" type="noConversion"/>
  </si>
  <si>
    <t>icon_prop_box1</t>
    <phoneticPr fontId="26" type="noConversion"/>
  </si>
  <si>
    <t>backyard_item02</t>
    <phoneticPr fontId="26" type="noConversion"/>
  </si>
  <si>
    <t>backyard_item03</t>
    <phoneticPr fontId="26" type="noConversion"/>
  </si>
  <si>
    <t>backyard_item04</t>
    <phoneticPr fontId="26" type="noConversion"/>
  </si>
  <si>
    <t>icon_prop_31011_fanxingjuan</t>
    <phoneticPr fontId="26" type="noConversion"/>
  </si>
  <si>
    <t>icon_gold_01</t>
    <phoneticPr fontId="26" type="noConversion"/>
  </si>
  <si>
    <t>icon_prop_666</t>
    <phoneticPr fontId="26" type="noConversion"/>
  </si>
  <si>
    <t>icon_prop_2205_gift3_5</t>
    <phoneticPr fontId="26" type="noConversion"/>
  </si>
  <si>
    <t>icon_prop_2206_gift3_6</t>
    <phoneticPr fontId="26" type="noConversion"/>
  </si>
  <si>
    <t>用三花猫毛制成的三花小公猫玩具。</t>
    <phoneticPr fontId="26" type="noConversion"/>
  </si>
  <si>
    <t>黑白配，成双对，猫毛也不贵。</t>
    <phoneticPr fontId="26" type="noConversion"/>
  </si>
  <si>
    <t>真正的狸花猫，是不可能静静待着的。</t>
    <phoneticPr fontId="26" type="noConversion"/>
  </si>
  <si>
    <t>尚京街头里难得一见的一只猫。</t>
    <phoneticPr fontId="26" type="noConversion"/>
  </si>
  <si>
    <t>黑脸脸黑手手黑尾尾，它经历了什么呢？</t>
    <phoneticPr fontId="26" type="noConversion"/>
  </si>
  <si>
    <t>icon_prop_2241_gift1_1</t>
    <phoneticPr fontId="26" type="noConversion"/>
  </si>
  <si>
    <t>长着锦鲤模样的毛毡鱼。</t>
    <phoneticPr fontId="26" type="noConversion"/>
  </si>
  <si>
    <t>清凉毛毛鱼</t>
    <phoneticPr fontId="26" type="noConversion"/>
  </si>
  <si>
    <t>icon_prop_2242_gift1_2</t>
    <phoneticPr fontId="26" type="noConversion"/>
  </si>
  <si>
    <t>毛毡中混入了一些冰蚕丝，摸着凉凉的。</t>
    <phoneticPr fontId="26" type="noConversion"/>
  </si>
  <si>
    <t>牡丹毛毛鱼</t>
    <phoneticPr fontId="26" type="noConversion"/>
  </si>
  <si>
    <t>icon_prop_2243_gift1_3</t>
    <phoneticPr fontId="26" type="noConversion"/>
  </si>
  <si>
    <t>比起牡丹鱼，它长得更像牡丹。</t>
    <phoneticPr fontId="26" type="noConversion"/>
  </si>
  <si>
    <t>icon_prop_2244_gift1_4</t>
    <phoneticPr fontId="26" type="noConversion"/>
  </si>
  <si>
    <t>墨色的毛毡，是近日流行的颜色。</t>
    <phoneticPr fontId="26" type="noConversion"/>
  </si>
  <si>
    <t>滑稽毛毛鱼</t>
    <phoneticPr fontId="26" type="noConversion"/>
  </si>
  <si>
    <t>icon_prop_2245_gift1_5</t>
    <phoneticPr fontId="26" type="noConversion"/>
  </si>
  <si>
    <t>看起来一副滑稽的样子，能够缓解压力。</t>
    <phoneticPr fontId="26" type="noConversion"/>
  </si>
  <si>
    <t>公主毛毛鱼</t>
    <phoneticPr fontId="26" type="noConversion"/>
  </si>
  <si>
    <t>icon_prop_2246_gift1_6</t>
    <phoneticPr fontId="26" type="noConversion"/>
  </si>
  <si>
    <t>仿照公主鱼的样子制成的毛毡，能以假乱真。</t>
    <phoneticPr fontId="26" type="noConversion"/>
  </si>
  <si>
    <t>月白毛毛蝶</t>
    <phoneticPr fontId="26" type="noConversion"/>
  </si>
  <si>
    <t>icon_prop_2281_gift2_1</t>
    <phoneticPr fontId="26" type="noConversion"/>
  </si>
  <si>
    <t>能收集到这个颜色的猫毛也很是奇特。</t>
    <phoneticPr fontId="26" type="noConversion"/>
  </si>
  <si>
    <t>海棠毛毛蝶</t>
    <phoneticPr fontId="26" type="noConversion"/>
  </si>
  <si>
    <t>icon_prop_2282_gift2_2</t>
    <phoneticPr fontId="26" type="noConversion"/>
  </si>
  <si>
    <t>海棠花色的毛毡，藏在花中竟分不出真假。</t>
    <phoneticPr fontId="26" type="noConversion"/>
  </si>
  <si>
    <t>黛紫毛毛蝶</t>
    <phoneticPr fontId="26" type="noConversion"/>
  </si>
  <si>
    <t>icon_prop_2283_gift2_3</t>
    <phoneticPr fontId="26" type="noConversion"/>
  </si>
  <si>
    <t>这个颜色因为太过贵气销量不太好……</t>
    <phoneticPr fontId="26" type="noConversion"/>
  </si>
  <si>
    <t>icon_prop_2284_gift2_4</t>
    <phoneticPr fontId="26" type="noConversion"/>
  </si>
  <si>
    <t>听闻樱草可寄情，胡姑娘便制了樱草色毛毡。</t>
    <phoneticPr fontId="26" type="noConversion"/>
  </si>
  <si>
    <t>萤翠毛毛蝶</t>
    <phoneticPr fontId="26" type="noConversion"/>
  </si>
  <si>
    <t>icon_prop_2285_gift2_5</t>
    <phoneticPr fontId="26" type="noConversion"/>
  </si>
  <si>
    <t>加入了萤石染料，看着颇有灵性。</t>
    <phoneticPr fontId="26" type="noConversion"/>
  </si>
  <si>
    <t>蕴香毛毛蝶</t>
    <phoneticPr fontId="26" type="noConversion"/>
  </si>
  <si>
    <t>icon_prop_2286_gift2_6</t>
    <phoneticPr fontId="26" type="noConversion"/>
  </si>
  <si>
    <t>姑娘们喜欢在内里藏上自用的香赠与心上人。</t>
    <phoneticPr fontId="26" type="noConversion"/>
  </si>
  <si>
    <t>宫中有只橘色御猫，颇为贪吃，是有些福相。</t>
  </si>
  <si>
    <t>坊间传言，三花猫只有母猫，你可见过公猫？</t>
  </si>
  <si>
    <t>今日圣上赐下一道黑白双色的糕点，你尝尝。</t>
  </si>
  <si>
    <t>本侯听闻，狸纹猫生性闹腾，当真？</t>
  </si>
  <si>
    <t>附近有只身上带有桃心纹样的猫，性子有几分像你。</t>
  </si>
  <si>
    <t>本侯见过的猫不少，但貌如矿工的，很少。</t>
  </si>
  <si>
    <t>我已无大碍，不过伤了些元气，你不必担心。</t>
  </si>
  <si>
    <t>谷里皆是冬景，许久不见春光绿意是的光景。</t>
  </si>
  <si>
    <t>寒谷中时光流逝不显，日子向来无趣，适合修炼。</t>
  </si>
  <si>
    <t>思归黄白的的毛色在这谷里，也寻不到相似的。</t>
  </si>
  <si>
    <t>风雪过后的寒谷于凡人来说，应是极佳的景致。</t>
  </si>
  <si>
    <t>有什么与你相似色彩的物件带在身旁，也挺好。</t>
  </si>
  <si>
    <t>先前在下遣人送去的锦鲤，姑娘可还喜欢？</t>
  </si>
  <si>
    <t>天气变得有些闷热了，在下也在寻一些清凉的玩意儿。</t>
  </si>
  <si>
    <t>院子里的牡丹开得正好，姑娘可愿与在下共赏？</t>
  </si>
  <si>
    <t>城中流行起的玄墨色，姑娘可有了解？</t>
  </si>
  <si>
    <t>在下并非忽略了姑娘，近日琐事缠身，这才……</t>
  </si>
  <si>
    <t>在下素来不受小动物喜爱，池中养的公主鱼也……</t>
  </si>
  <si>
    <t>你知道吗，我今天在林子里看见一只大黑，在学狼呢！</t>
  </si>
  <si>
    <t>大黄又被暗器伤了，它何时才能成熟一些呀！</t>
  </si>
  <si>
    <t>你瞧见王适之抱着的那只巴哥狗了没？太逗了哈哈。</t>
  </si>
  <si>
    <t>听闻西洋有一种狗，长着卷毛呢，你信不信？</t>
  </si>
  <si>
    <t>小师妹，你说为何猫有横条纹的，狗却少见呢？</t>
  </si>
  <si>
    <t>你说啊，长毛狗眼睛都被遮住了，还看得着路吗？</t>
  </si>
  <si>
    <t>你看这幅月影廊下的绢画，可还缺点什么吗？</t>
  </si>
  <si>
    <t>今日的海棠花与你相衬，带一些回去罢。</t>
  </si>
  <si>
    <t>你来看看新制的紫芙线香，置在盒子里总不够贵气。</t>
  </si>
  <si>
    <t>这束樱草赠予姑娘，你可知我是何意？</t>
  </si>
  <si>
    <t>安某新置了一身萤翠绿的舞服，姑娘看看如何？</t>
  </si>
  <si>
    <t>你一忙便见不到人，总得给安某留些你的东西。</t>
  </si>
  <si>
    <t>LikeGiftTip</t>
    <phoneticPr fontId="26" type="noConversion"/>
  </si>
  <si>
    <t>NormalGiftTip</t>
    <phoneticPr fontId="26" type="noConversion"/>
  </si>
  <si>
    <t>sLikeGiftTip</t>
    <phoneticPr fontId="26" type="noConversion"/>
  </si>
  <si>
    <t>sNormalGiftTip</t>
    <phoneticPr fontId="26" type="noConversion"/>
  </si>
  <si>
    <t>喜欢的回复</t>
    <phoneticPr fontId="26" type="noConversion"/>
  </si>
  <si>
    <t>不喜欢的回复</t>
    <phoneticPr fontId="26" type="noConversion"/>
  </si>
  <si>
    <t>姑娘的回礼竟如此别出心裁，果真是心思玲珑。</t>
  </si>
  <si>
    <t>姑娘的礼物很是特别，在下十分感激。</t>
  </si>
  <si>
    <t>咦？这微凉的触感，姑娘可真是解了再下燃眉之需。</t>
  </si>
  <si>
    <t>这件礼物赠得巧，恰与满院的牡丹相衬。</t>
  </si>
  <si>
    <t>啊…姑娘总能知晓在下心中事，在下……甚喜。</t>
  </si>
  <si>
    <t>它有趣的模样令人轻松许多，最令人欣喜的，还是你。</t>
  </si>
  <si>
    <t>你、你这毛毡鱼是……在下能与姑娘相识实乃大幸。</t>
  </si>
  <si>
    <t>哈哈，小师妹你这只大黑看着像只铁憨憨~</t>
  </si>
  <si>
    <t>还是我小师妹贴心～你送的我都喜欢～</t>
  </si>
  <si>
    <t>你这只大黄真像它，我把这拿去定能唬住它！</t>
  </si>
  <si>
    <t>汪~汪汪~你瞧，它被我吓得不敢吭声~</t>
  </si>
  <si>
    <t>诶——！？你怎么比我知道的还多！</t>
  </si>
  <si>
    <t>哇！你是不是为了我特意找的呀~</t>
  </si>
  <si>
    <t>你都哪里找来的这么多像你一样可爱的小玩意儿！</t>
  </si>
  <si>
    <t>真是巧了，安某与姑娘所想别无二致。</t>
  </si>
  <si>
    <t>这礼甚好，不过，安某图的向来是你的心。</t>
  </si>
  <si>
    <t>爱惜芳心莫轻吐， 且教桃李闹春风。</t>
  </si>
  <si>
    <t>以蝶为配……是个好主意，在蝶身薰上香就更妙了。</t>
  </si>
  <si>
    <t>你……只愿君心似我心，定不负相思意。</t>
  </si>
  <si>
    <t>甚好，甚好，此蝶与安某这支舞，点缀得恰到好处。</t>
  </si>
  <si>
    <t>如此以来，倒像是你始终陪伴在旁，真好……</t>
  </si>
  <si>
    <t>送本侯这个，可是希望本侯也将你喂得有福相？</t>
  </si>
  <si>
    <t>既是你赠的礼，本侯会仔细珍藏。</t>
  </si>
  <si>
    <t>它是公的……也没错，本侯没想到你心思如此独特。</t>
  </si>
  <si>
    <t>黑白双色的毛毡猫，是巧妙的回礼，如你的风格。</t>
  </si>
  <si>
    <t>这只是不闹腾，不过，你却调皮。</t>
  </si>
  <si>
    <t>它替代你伴随本侯左右，倒是不错。</t>
  </si>
  <si>
    <t>……确实是下过矿的模样，有趣。</t>
  </si>
  <si>
    <t>它可使凡人恢复元气吗？多谢，我确实好多了。</t>
  </si>
  <si>
    <t>多谢，你总能带来些凡俗的新奇物件。</t>
  </si>
  <si>
    <t>确是有了几分春意，不过，你更胜春光。</t>
  </si>
  <si>
    <t>你说……它修仙？我…尽力助它修成魂魄……</t>
  </si>
  <si>
    <t>确实有几分思归的模样，它叫……思春？</t>
  </si>
  <si>
    <t>有了它，雪居也多了些活泼，它可比思归安静。</t>
  </si>
  <si>
    <t>看见它与你相似的色彩，是令我想起你了。</t>
  </si>
  <si>
    <t>我想要的东西，姑娘不妨猜猜？</t>
    <phoneticPr fontId="26" type="noConversion"/>
  </si>
  <si>
    <t>多谢。</t>
    <phoneticPr fontId="26" type="noConversion"/>
  </si>
  <si>
    <t>我……很心悦，多谢。</t>
    <phoneticPr fontId="26" type="noConversion"/>
  </si>
  <si>
    <t>狸花奶10级</t>
  </si>
  <si>
    <t>狸花奶20级</t>
  </si>
  <si>
    <t>狸花奶30级</t>
  </si>
  <si>
    <t>狸花奶40级</t>
  </si>
  <si>
    <t>狸花奶50级</t>
  </si>
  <si>
    <t>狸花奶60级</t>
  </si>
  <si>
    <t>狸花奶70级</t>
  </si>
  <si>
    <t>狸花奶80级</t>
  </si>
  <si>
    <t>狸花奶90级</t>
  </si>
  <si>
    <t>狸花奶100级</t>
  </si>
  <si>
    <t>狸花奶110级</t>
  </si>
  <si>
    <t>狸花奶120级</t>
  </si>
  <si>
    <t>大橘奶10级</t>
  </si>
  <si>
    <t>大橘奶20级</t>
  </si>
  <si>
    <t>大橘奶30级</t>
  </si>
  <si>
    <t>大橘奶40级</t>
  </si>
  <si>
    <t>大橘奶50级</t>
  </si>
  <si>
    <t>大橘奶60级</t>
  </si>
  <si>
    <t>大橘奶70级</t>
  </si>
  <si>
    <t>大橘奶80级</t>
  </si>
  <si>
    <t>大橘奶90级</t>
  </si>
  <si>
    <t>大橘奶100级</t>
  </si>
  <si>
    <t>大橘奶110级</t>
  </si>
  <si>
    <t>大橘奶120级</t>
  </si>
  <si>
    <t>布偶奶10级</t>
  </si>
  <si>
    <t>布偶奶20级</t>
  </si>
  <si>
    <t>布偶奶30级</t>
  </si>
  <si>
    <t>布偶奶40级</t>
  </si>
  <si>
    <t>布偶奶50级</t>
  </si>
  <si>
    <t>布偶奶60级</t>
  </si>
  <si>
    <t>布偶奶70级</t>
  </si>
  <si>
    <t>布偶奶80级</t>
  </si>
  <si>
    <t>布偶奶90级</t>
  </si>
  <si>
    <t>布偶奶100级</t>
  </si>
  <si>
    <t>布偶奶110级</t>
  </si>
  <si>
    <t>布偶奶120级</t>
  </si>
  <si>
    <t>英短奶10级</t>
  </si>
  <si>
    <t>英短奶20级</t>
  </si>
  <si>
    <t>英短奶30级</t>
  </si>
  <si>
    <t>英短奶40级</t>
  </si>
  <si>
    <t>英短奶50级</t>
  </si>
  <si>
    <t>英短奶60级</t>
  </si>
  <si>
    <t>英短奶70级</t>
  </si>
  <si>
    <t>英短奶80级</t>
  </si>
  <si>
    <t>英短奶90级</t>
  </si>
  <si>
    <t>英短奶100级</t>
  </si>
  <si>
    <t>英短奶110级</t>
  </si>
  <si>
    <t>英短奶120级</t>
  </si>
  <si>
    <t>奶牛奶10级</t>
  </si>
  <si>
    <t>奶牛奶20级</t>
  </si>
  <si>
    <t>奶牛奶30级</t>
  </si>
  <si>
    <t>奶牛奶40级</t>
  </si>
  <si>
    <t>奶牛奶50级</t>
  </si>
  <si>
    <t>奶牛奶60级</t>
  </si>
  <si>
    <t>奶牛奶70级</t>
  </si>
  <si>
    <t>奶牛奶80级</t>
  </si>
  <si>
    <t>奶牛奶90级</t>
  </si>
  <si>
    <t>奶牛奶100级</t>
  </si>
  <si>
    <t>奶牛奶110级</t>
  </si>
  <si>
    <t>奶牛奶120级</t>
  </si>
  <si>
    <t>加菲奶10级</t>
  </si>
  <si>
    <t>加菲奶20级</t>
  </si>
  <si>
    <t>加菲奶30级</t>
  </si>
  <si>
    <t>加菲奶40级</t>
  </si>
  <si>
    <t>加菲奶50级</t>
  </si>
  <si>
    <t>加菲奶60级</t>
  </si>
  <si>
    <t>加菲奶70级</t>
  </si>
  <si>
    <t>加菲奶80级</t>
  </si>
  <si>
    <t>加菲奶90级</t>
  </si>
  <si>
    <t>加菲奶100级</t>
  </si>
  <si>
    <t>加菲奶110级</t>
  </si>
  <si>
    <t>加菲奶120级</t>
  </si>
  <si>
    <t>男主ID</t>
    <phoneticPr fontId="26" type="noConversion"/>
  </si>
  <si>
    <t>*</t>
    <phoneticPr fontId="26" type="noConversion"/>
  </si>
  <si>
    <t>主要通过订单获得，用于接取探事轩委托</t>
    <phoneticPr fontId="26" type="noConversion"/>
  </si>
  <si>
    <t>用于在小花园刷新灵猫造访</t>
    <phoneticPr fontId="26" type="noConversion"/>
  </si>
  <si>
    <t>花笺卡突破宝箱中获得，用于阅读各种男主故事</t>
    <phoneticPr fontId="26" type="noConversion"/>
  </si>
  <si>
    <t>导出/server</t>
    <phoneticPr fontId="26" type="noConversion"/>
  </si>
  <si>
    <t>扫荡券</t>
    <phoneticPr fontId="26" type="noConversion"/>
  </si>
  <si>
    <t>开启一次热卖，快速卖出大量货物</t>
    <phoneticPr fontId="26" type="noConversion"/>
  </si>
  <si>
    <t>用于撸猫，路尤的【小狸奴】店铺可购买</t>
    <phoneticPr fontId="26" type="noConversion"/>
  </si>
  <si>
    <t>灵猫100级突破道具之一，馋人的兔仔饼</t>
    <phoneticPr fontId="26" type="noConversion"/>
  </si>
  <si>
    <t>灵猫110级突破道具之一，馋人的兔仔饼</t>
    <phoneticPr fontId="26" type="noConversion"/>
  </si>
  <si>
    <t>灵猫120级突破道具之一，馋人的兔仔饼</t>
    <phoneticPr fontId="26" type="noConversion"/>
  </si>
  <si>
    <t>灵猫100级突破道具之一，美味的兔仔饼</t>
    <phoneticPr fontId="26" type="noConversion"/>
  </si>
  <si>
    <t>灵猫110级突破道具之一，美味的兔仔饼</t>
    <phoneticPr fontId="26" type="noConversion"/>
  </si>
  <si>
    <t>灵猫120级突破道具之一，美味的兔仔饼</t>
    <phoneticPr fontId="26" type="noConversion"/>
  </si>
  <si>
    <t>花笺10级突破道具，花之精魂</t>
    <phoneticPr fontId="26" type="noConversion"/>
  </si>
  <si>
    <t>花笺10级突破道具，花之印迹</t>
  </si>
  <si>
    <t>花笺20级突破道具，花之印迹</t>
  </si>
  <si>
    <t>花笺30级突破道具，花之印迹</t>
  </si>
  <si>
    <t>花笺40级突破道具，花之印迹</t>
  </si>
  <si>
    <t>花笺50级突破道具，花之印迹</t>
  </si>
  <si>
    <t>花笺60级突破道具，花之印迹</t>
  </si>
  <si>
    <t>花笺70级突破道具，花之印迹</t>
  </si>
  <si>
    <t>花笺80级突破道具，花之印迹</t>
  </si>
  <si>
    <t>花笺90级突破道具，花之印迹</t>
  </si>
  <si>
    <t>花笺100级突破道具，花之印迹</t>
  </si>
  <si>
    <t>花笺110级突破道具，花之印迹</t>
  </si>
  <si>
    <t>花笺120级突破道具，花之印迹</t>
  </si>
  <si>
    <t>花笺20级突破道具，花之精魂</t>
  </si>
  <si>
    <t>花笺30级突破道具，花之精魂</t>
  </si>
  <si>
    <t>花笺40级突破道具，花之精魂</t>
  </si>
  <si>
    <t>花笺50级突破道具，花之精魂</t>
  </si>
  <si>
    <t>花笺60级突破道具，花之精魂</t>
  </si>
  <si>
    <t>花笺70级突破道具，花之精魂</t>
  </si>
  <si>
    <t>花笺80级突破道具，花之精魂</t>
  </si>
  <si>
    <t>花笺90级突破道具，花之精魂</t>
  </si>
  <si>
    <t>花笺100级突破道具，花之精魂</t>
  </si>
  <si>
    <t>花笺110级突破道具，花之精魂</t>
  </si>
  <si>
    <t>花笺120级突破道具，花之精魂</t>
  </si>
  <si>
    <t>大胖橘猫身上薅下的毛所制胖橘毛毡。</t>
    <phoneticPr fontId="26" type="noConversion"/>
  </si>
  <si>
    <t>灵猫武力成长道具，卷卷的【喵欢喜】兑换获得</t>
    <phoneticPr fontId="26" type="noConversion"/>
  </si>
  <si>
    <t>灵猫智力成长道具，卷卷的【喵欢喜】兑换获得</t>
    <phoneticPr fontId="26" type="noConversion"/>
  </si>
  <si>
    <t>灵猫魅力成长道具，卷卷的【喵欢喜】兑换获得</t>
    <phoneticPr fontId="26" type="noConversion"/>
  </si>
  <si>
    <t>物品类型</t>
    <phoneticPr fontId="28" type="noConversion"/>
  </si>
  <si>
    <t>特惠礼包1</t>
  </si>
  <si>
    <t>特惠礼包2</t>
  </si>
  <si>
    <t>特惠礼包3</t>
  </si>
  <si>
    <t>特惠礼包4</t>
  </si>
  <si>
    <t>特惠礼包5</t>
  </si>
  <si>
    <t>全获得</t>
    <phoneticPr fontId="26" type="noConversion"/>
  </si>
  <si>
    <t>礼包展示内容</t>
    <phoneticPr fontId="26" type="noConversion"/>
  </si>
  <si>
    <t>PKItem表id</t>
    <phoneticPr fontId="26" type="noConversion"/>
  </si>
  <si>
    <t>钻石</t>
    <phoneticPr fontId="26" type="noConversion"/>
  </si>
  <si>
    <t>24|25</t>
  </si>
  <si>
    <t>26|27</t>
  </si>
  <si>
    <t>28|29</t>
  </si>
  <si>
    <t>30|31</t>
  </si>
  <si>
    <t>尚京高级货币，形如猫爪，稀有贵重。</t>
    <phoneticPr fontId="26" type="noConversion"/>
  </si>
  <si>
    <t>尚京通用货币，较为常见。</t>
    <phoneticPr fontId="26" type="noConversion"/>
  </si>
  <si>
    <t>用于成长花笺问缘</t>
    <phoneticPr fontId="26" type="noConversion"/>
  </si>
  <si>
    <t>icon_prop_box1</t>
    <phoneticPr fontId="26" type="noConversion"/>
  </si>
  <si>
    <t>橘浅浅奶猫</t>
    <phoneticPr fontId="26" type="noConversion"/>
  </si>
  <si>
    <t>橘又又奶猫</t>
    <phoneticPr fontId="26" type="noConversion"/>
  </si>
  <si>
    <t>随机橘猫</t>
    <phoneticPr fontId="26" type="noConversion"/>
  </si>
  <si>
    <t>特惠礼包1</t>
    <phoneticPr fontId="26" type="noConversion"/>
  </si>
  <si>
    <t>随机获得【橘又又奶猫】，【橘胖胖奶猫】和【橘浅浅奶猫】中任意一个</t>
    <phoneticPr fontId="26" type="noConversion"/>
  </si>
  <si>
    <t>1-5 食品
6-10 药品
11-20 衣物
21-30 器物</t>
    <phoneticPr fontId="26" type="noConversion"/>
  </si>
  <si>
    <t>32|33|34</t>
    <phoneticPr fontId="26" type="noConversion"/>
  </si>
  <si>
    <t>橘胖胖奶猫</t>
    <phoneticPr fontId="26" type="noConversion"/>
  </si>
  <si>
    <t>22|23</t>
    <phoneticPr fontId="26" type="noConversion"/>
  </si>
  <si>
    <t>升级礼包</t>
    <phoneticPr fontId="26" type="noConversion"/>
  </si>
  <si>
    <t>12级升级礼包</t>
    <phoneticPr fontId="26" type="noConversion"/>
  </si>
  <si>
    <t>12级升级礼包</t>
    <phoneticPr fontId="26" type="noConversion"/>
  </si>
  <si>
    <t>猫爪玉</t>
    <phoneticPr fontId="26" type="noConversion"/>
  </si>
  <si>
    <t>狸嗷嗷猫蛋</t>
    <phoneticPr fontId="26" type="noConversion"/>
  </si>
  <si>
    <t>20级升级礼包</t>
    <phoneticPr fontId="26" type="noConversion"/>
  </si>
  <si>
    <t>20级升级礼包</t>
    <phoneticPr fontId="26" type="noConversion"/>
  </si>
  <si>
    <t>22级升级礼包</t>
    <phoneticPr fontId="26" type="noConversion"/>
  </si>
  <si>
    <t>26级升级礼包</t>
    <phoneticPr fontId="26" type="noConversion"/>
  </si>
  <si>
    <t>32级升级礼包</t>
    <phoneticPr fontId="26" type="noConversion"/>
  </si>
  <si>
    <t>38级升级礼包</t>
    <phoneticPr fontId="26" type="noConversion"/>
  </si>
  <si>
    <t>22级升级礼包</t>
    <phoneticPr fontId="26" type="noConversion"/>
  </si>
  <si>
    <t>26级升级礼包</t>
    <phoneticPr fontId="26" type="noConversion"/>
  </si>
  <si>
    <t>白玉糍</t>
  </si>
  <si>
    <t>SR橘猫蛋</t>
    <phoneticPr fontId="26" type="noConversion"/>
  </si>
  <si>
    <t>SR狸花猫蛋</t>
    <phoneticPr fontId="26" type="noConversion"/>
  </si>
  <si>
    <t>白玉糍</t>
    <phoneticPr fontId="26" type="noConversion"/>
  </si>
  <si>
    <t>使用类型:0 不打开|1 自动打开|2 手动打开</t>
  </si>
  <si>
    <t>子物品类型:101|直接发送礼包|102|独立随机礼包|103|圆桌随机礼包|104|自选礼包</t>
  </si>
  <si>
    <t>格式：
道具id|道具数量</t>
  </si>
  <si>
    <t>14|11</t>
  </si>
  <si>
    <t>16|11</t>
  </si>
  <si>
    <t>暑月覆之，清凉透体|隆冬覆之，暖意融融</t>
  </si>
  <si>
    <t>极品猫礼包</t>
  </si>
  <si>
    <t>极品猫礼包</t>
    <phoneticPr fontId="26" type="noConversion"/>
  </si>
  <si>
    <t>极品花笺礼包</t>
  </si>
  <si>
    <t>极品花笺礼包</t>
    <phoneticPr fontId="26" type="noConversion"/>
  </si>
  <si>
    <t>抽到极品猫时触发的礼包</t>
    <phoneticPr fontId="26" type="noConversion"/>
  </si>
  <si>
    <t>抽到极品花笺时触发的礼包</t>
    <phoneticPr fontId="26" type="noConversion"/>
  </si>
  <si>
    <t>鸡仔饼30级</t>
    <phoneticPr fontId="26" type="noConversion"/>
  </si>
  <si>
    <t>兔仔饼30级</t>
    <phoneticPr fontId="26" type="noConversion"/>
  </si>
  <si>
    <t>狸花奶30级</t>
    <phoneticPr fontId="26" type="noConversion"/>
  </si>
  <si>
    <t>1001|1002</t>
  </si>
  <si>
    <t>1011|1012|1013|1014</t>
  </si>
  <si>
    <t>1021|1022</t>
  </si>
  <si>
    <t>1031|1032</t>
  </si>
  <si>
    <t>1041|1042</t>
  </si>
  <si>
    <t>2001|2002|2003|2004</t>
  </si>
  <si>
    <t>2011|2012|2013</t>
  </si>
  <si>
    <t>抽奖礼包</t>
    <phoneticPr fontId="26" type="noConversion"/>
  </si>
  <si>
    <t>内含10个百玉糍</t>
    <phoneticPr fontId="26" type="noConversion"/>
  </si>
  <si>
    <t>全给</t>
  </si>
  <si>
    <t>抽奖礼包</t>
    <phoneticPr fontId="26" type="noConversion"/>
  </si>
  <si>
    <t>自选极品花笺礼包</t>
    <phoneticPr fontId="26" type="noConversion"/>
  </si>
  <si>
    <t>5位男主极品花笺自选其一</t>
    <phoneticPr fontId="26" type="noConversion"/>
  </si>
  <si>
    <t>3001|3002|3003|3004|3005</t>
    <phoneticPr fontId="26" type="noConversion"/>
  </si>
  <si>
    <t>吻情丝</t>
  </si>
  <si>
    <t>耳畔低语</t>
  </si>
  <si>
    <t>冷酒不苦</t>
  </si>
  <si>
    <t>云梦闲情</t>
  </si>
  <si>
    <t>共此灯烛</t>
  </si>
  <si>
    <t>随机礼物礼包</t>
  </si>
  <si>
    <t>随机礼物礼包</t>
    <phoneticPr fontId="26" type="noConversion"/>
  </si>
  <si>
    <t>随机一个男主礼物</t>
    <phoneticPr fontId="26" type="noConversion"/>
  </si>
  <si>
    <t>三花毛毛猫</t>
  </si>
  <si>
    <t>奶牛毛毛猫</t>
  </si>
  <si>
    <t>心心毛毛猫</t>
  </si>
  <si>
    <t>暹罗毛毛猫</t>
  </si>
  <si>
    <t>锦鲤毛毛鱼</t>
  </si>
  <si>
    <t>清凉毛毛鱼</t>
  </si>
  <si>
    <t>牡丹毛毛鱼</t>
  </si>
  <si>
    <t>滑稽毛毛鱼</t>
  </si>
  <si>
    <t>公主毛毛鱼</t>
  </si>
  <si>
    <t>月白毛毛蝶</t>
  </si>
  <si>
    <t>海棠毛毛蝶</t>
  </si>
  <si>
    <t>黛紫毛毛蝶</t>
  </si>
  <si>
    <t>樱草毛毛蝶</t>
  </si>
  <si>
    <t>萤翠毛毛蝶</t>
  </si>
  <si>
    <t>蕴香毛毛蝶</t>
  </si>
  <si>
    <t>3011|3012|3013|3014|3015|3016|3017|3018|3019|3020|3021|3022|3023|3024|3025|3026|3027|3028|3029|3030|3031|3032|3033|3034|3035|3036|3037|3038|3039|3040</t>
  </si>
  <si>
    <t>6元周礼包</t>
  </si>
  <si>
    <t>30元周礼包</t>
  </si>
  <si>
    <t>30元周礼包</t>
    <phoneticPr fontId="26" type="noConversion"/>
  </si>
  <si>
    <t>68元周礼包</t>
  </si>
  <si>
    <t>68元周礼包</t>
    <phoneticPr fontId="26" type="noConversion"/>
  </si>
  <si>
    <t>随机优品猫碎片</t>
  </si>
  <si>
    <t>随机优品猫碎片</t>
    <phoneticPr fontId="26" type="noConversion"/>
  </si>
  <si>
    <t>优品狸花猫碎片</t>
    <phoneticPr fontId="26" type="noConversion"/>
  </si>
  <si>
    <t>优品橘猫碎片</t>
    <phoneticPr fontId="26" type="noConversion"/>
  </si>
  <si>
    <t>优品布偶猫碎片</t>
    <phoneticPr fontId="26" type="noConversion"/>
  </si>
  <si>
    <t>优品英短猫碎片</t>
    <phoneticPr fontId="26" type="noConversion"/>
  </si>
  <si>
    <t>优品奶牛猫碎片</t>
    <phoneticPr fontId="26" type="noConversion"/>
  </si>
  <si>
    <t>141|142|143|144|145</t>
    <phoneticPr fontId="26" type="noConversion"/>
  </si>
  <si>
    <t>获得随机品种优品猫碎片5个</t>
    <phoneticPr fontId="26" type="noConversion"/>
  </si>
  <si>
    <t>时之砂</t>
    <phoneticPr fontId="26" type="noConversion"/>
  </si>
  <si>
    <t>901|902</t>
    <phoneticPr fontId="26" type="noConversion"/>
  </si>
  <si>
    <t>911|912|913</t>
    <phoneticPr fontId="26" type="noConversion"/>
  </si>
  <si>
    <t>921|922</t>
    <phoneticPr fontId="26" type="noConversion"/>
  </si>
  <si>
    <t>1.农田，农田2号坑1|2_x000D_
2.牧场，牧场3号坑2|3_x000D_
3.矿洞，矿洞1号坑3|1_x000D_
4.工作台，纺织台4|1_x000D_
5.奶猫屋_x000D_
6.小花园(猫爬架)_x000D_
7.凡星阁升级界面_x000D_
8.剧情大地图_x000D_
9.喂食_x000D_
10.逛街_x000D_
11.情报阁_x000D_
12.每日任务_x000D_
13.八卦楼（男主副本）_x000D_
14.商店——路尤_x000D_
15.商店——胡萡_x000D_
16.商店——花婆婆_x000D_
17.猫列表_x000D_
18.花笺列表_x000D_
19.问缘(抽卡)_x000D_
20.精英副本_x000D_
21.茶楼_x000D_
22.猫探险（钓鱼）_x000D_
23.珍宝阁_x000D_
24.猫战队_x000D_
25.商店——卷卷_x000D_
26.商店——白沧</t>
  </si>
  <si>
    <t>16;11;21</t>
    <phoneticPr fontId="26" type="noConversion"/>
  </si>
  <si>
    <t>999|花笺突破礼包获得</t>
    <phoneticPr fontId="26" type="noConversion"/>
  </si>
  <si>
    <t>13|102|103</t>
    <phoneticPr fontId="26" type="noConversion"/>
  </si>
  <si>
    <t>13|101|102</t>
    <phoneticPr fontId="26" type="noConversion"/>
  </si>
  <si>
    <t>13|102|111</t>
    <phoneticPr fontId="26" type="noConversion"/>
  </si>
  <si>
    <t>13|103|105|112</t>
    <phoneticPr fontId="26" type="noConversion"/>
  </si>
  <si>
    <t>内含白玉糍*5，中罐鱼饼*5，灵犀花*5</t>
    <phoneticPr fontId="26" type="noConversion"/>
  </si>
  <si>
    <t>内含猫爪玉*60，随机品种优品奶猫碎片*5</t>
    <phoneticPr fontId="26" type="noConversion"/>
  </si>
  <si>
    <t>内含白玉糍*10个，时之砂*20</t>
    <phoneticPr fontId="26" type="noConversion"/>
  </si>
  <si>
    <t>6元周礼包</t>
    <phoneticPr fontId="26" type="noConversion"/>
  </si>
  <si>
    <t>20|101|102|103|104</t>
    <phoneticPr fontId="26" type="noConversion"/>
  </si>
  <si>
    <t>11|2|3|4|5</t>
    <phoneticPr fontId="26" type="noConversion"/>
  </si>
  <si>
    <t>13|101|102|103;14</t>
    <phoneticPr fontId="26" type="noConversion"/>
  </si>
  <si>
    <t>22|1|2|3</t>
    <phoneticPr fontId="26" type="noConversion"/>
  </si>
  <si>
    <t>GiftType</t>
    <phoneticPr fontId="26" type="noConversion"/>
  </si>
  <si>
    <t>sGiftType</t>
    <phoneticPr fontId="26" type="noConversion"/>
  </si>
  <si>
    <t>类型</t>
    <phoneticPr fontId="26" type="noConversion"/>
  </si>
  <si>
    <t>猫</t>
    <phoneticPr fontId="26" type="noConversion"/>
  </si>
  <si>
    <t>鸟</t>
    <phoneticPr fontId="26" type="noConversion"/>
  </si>
  <si>
    <t>鱼</t>
    <phoneticPr fontId="26" type="noConversion"/>
  </si>
  <si>
    <t>狗</t>
    <phoneticPr fontId="26" type="noConversion"/>
  </si>
  <si>
    <t>蝴蝶</t>
    <phoneticPr fontId="26" type="noConversion"/>
  </si>
  <si>
    <t>土壤</t>
    <phoneticPr fontId="28" type="noConversion"/>
  </si>
  <si>
    <t>STRING</t>
    <phoneticPr fontId="26" type="noConversion"/>
  </si>
  <si>
    <t>PlayAnimation</t>
    <phoneticPr fontId="26" type="noConversion"/>
  </si>
  <si>
    <t>NormalPlayAnimation</t>
  </si>
  <si>
    <t>s</t>
    <phoneticPr fontId="26" type="noConversion"/>
  </si>
  <si>
    <t>s</t>
    <phoneticPr fontId="26" type="noConversion"/>
  </si>
  <si>
    <t>sLikePlayAnimation</t>
    <phoneticPr fontId="26" type="noConversion"/>
  </si>
  <si>
    <t>sNormalPlayAnimation</t>
    <phoneticPr fontId="26" type="noConversion"/>
  </si>
  <si>
    <t>喜欢的播放动画</t>
    <phoneticPr fontId="26" type="noConversion"/>
  </si>
  <si>
    <t>不喜欢的播放动画</t>
    <phoneticPr fontId="26" type="noConversion"/>
  </si>
  <si>
    <t>gentle</t>
    <phoneticPr fontId="26" type="noConversion"/>
  </si>
  <si>
    <t>idle</t>
    <phoneticPr fontId="26" type="noConversion"/>
  </si>
  <si>
    <t>精英副本关卡id</t>
    <phoneticPr fontId="26" type="noConversion"/>
  </si>
  <si>
    <t>八卦楼关卡id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</si>
</sst>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[$¥-804]* #,##0.000_ ;_ [$¥-804]* \-#,##0.000_ ;_ [$¥-804]* &quot;-&quot;??_ ;_ @_ "/>
  </numFmts>
  <fonts count="37" x14ac:knownFonts="1">
    <font>
      <sz val="11"/>
      <color indexed="8"/>
      <name val="宋体"/>
      <charset val="134"/>
    </font>
    <font>
      <sz val="11"/>
      <color indexed="8"/>
      <name val="宋体"/>
      <family val="3"/>
      <charset val="134"/>
    </font>
    <font>
      <sz val="8"/>
      <color indexed="42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indexed="42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17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sz val="9"/>
      <color indexed="52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60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i/>
      <sz val="9"/>
      <color indexed="23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62"/>
      <name val="微软雅黑"/>
      <family val="2"/>
      <charset val="134"/>
    </font>
    <font>
      <sz val="9"/>
      <name val="宋体"/>
      <family val="3"/>
      <charset val="134"/>
    </font>
    <font>
      <b/>
      <sz val="9"/>
      <color theme="0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9"/>
      <color indexed="8"/>
      <name val="微软雅黑"/>
      <family val="2"/>
    </font>
    <font>
      <sz val="9"/>
      <color theme="1"/>
      <name val="微软雅黑"/>
      <family val="2"/>
    </font>
    <font>
      <b/>
      <sz val="9"/>
      <color theme="0"/>
      <name val="微软雅黑"/>
      <family val="2"/>
    </font>
    <font>
      <b/>
      <sz val="8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sz val="8"/>
      <color rgb="FFFF0000"/>
      <name val="微软雅黑"/>
      <family val="2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58">
    <xf numFmtId="176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6" fontId="1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2" fillId="10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7" fillId="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0" fillId="1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0" fontId="25" fillId="6" borderId="7" applyNumberFormat="0" applyAlignment="0" applyProtection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</cellStyleXfs>
  <cellXfs count="129">
    <xf numFmtId="176" fontId="0" fillId="0" borderId="0" xfId="0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8" fillId="6" borderId="1" xfId="291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left" vertical="center" shrinkToFit="1"/>
    </xf>
    <xf numFmtId="0" fontId="6" fillId="6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shrinkToFit="1"/>
    </xf>
    <xf numFmtId="0" fontId="29" fillId="0" borderId="1" xfId="263" applyNumberFormat="1" applyFont="1" applyBorder="1" applyAlignment="1">
      <alignment horizontal="center" vertical="center" shrinkToFit="1"/>
    </xf>
    <xf numFmtId="0" fontId="29" fillId="22" borderId="1" xfId="263" applyNumberFormat="1" applyFont="1" applyFill="1" applyBorder="1" applyAlignment="1">
      <alignment horizontal="center" vertical="center" shrinkToFit="1"/>
    </xf>
    <xf numFmtId="21" fontId="29" fillId="23" borderId="1" xfId="263" applyNumberFormat="1" applyFont="1" applyFill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22" fontId="29" fillId="23" borderId="1" xfId="263" applyNumberFormat="1" applyFont="1" applyFill="1" applyBorder="1" applyAlignment="1">
      <alignment horizontal="center" vertical="center" shrinkToFit="1"/>
    </xf>
    <xf numFmtId="49" fontId="29" fillId="23" borderId="1" xfId="263" applyNumberFormat="1" applyFont="1" applyFill="1" applyBorder="1" applyAlignment="1">
      <alignment horizontal="center" vertical="center" shrinkToFit="1"/>
    </xf>
    <xf numFmtId="0" fontId="4" fillId="24" borderId="1" xfId="0" applyNumberFormat="1" applyFont="1" applyFill="1" applyBorder="1" applyAlignment="1">
      <alignment horizontal="center" vertical="center"/>
    </xf>
    <xf numFmtId="0" fontId="9" fillId="24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wrapText="1" shrinkToFit="1"/>
    </xf>
    <xf numFmtId="0" fontId="2" fillId="2" borderId="1" xfId="0" applyNumberFormat="1" applyFont="1" applyFill="1" applyBorder="1" applyAlignment="1">
      <alignment horizontal="center" vertical="center" wrapText="1"/>
    </xf>
    <xf numFmtId="0" fontId="4" fillId="23" borderId="1" xfId="0" applyNumberFormat="1" applyFont="1" applyFill="1" applyBorder="1" applyAlignment="1">
      <alignment horizontal="center" vertical="center"/>
    </xf>
    <xf numFmtId="0" fontId="29" fillId="25" borderId="1" xfId="263" applyNumberFormat="1" applyFont="1" applyFill="1" applyBorder="1" applyAlignment="1">
      <alignment horizontal="center" vertical="center" shrinkToFit="1"/>
    </xf>
    <xf numFmtId="0" fontId="4" fillId="25" borderId="1" xfId="0" applyNumberFormat="1" applyFont="1" applyFill="1" applyBorder="1" applyAlignment="1">
      <alignment horizontal="center" vertical="center"/>
    </xf>
    <xf numFmtId="0" fontId="9" fillId="25" borderId="1" xfId="0" applyNumberFormat="1" applyFont="1" applyFill="1" applyBorder="1" applyAlignment="1">
      <alignment horizontal="center" vertical="center"/>
    </xf>
    <xf numFmtId="0" fontId="29" fillId="26" borderId="1" xfId="263" applyNumberFormat="1" applyFont="1" applyFill="1" applyBorder="1" applyAlignment="1">
      <alignment horizontal="center" vertical="center" shrinkToFit="1"/>
    </xf>
    <xf numFmtId="0" fontId="4" fillId="26" borderId="1" xfId="0" applyNumberFormat="1" applyFont="1" applyFill="1" applyBorder="1" applyAlignment="1">
      <alignment horizontal="center" vertical="center"/>
    </xf>
    <xf numFmtId="0" fontId="9" fillId="26" borderId="1" xfId="0" applyNumberFormat="1" applyFont="1" applyFill="1" applyBorder="1" applyAlignment="1">
      <alignment horizontal="center" vertical="center"/>
    </xf>
    <xf numFmtId="0" fontId="4" fillId="26" borderId="2" xfId="0" applyNumberFormat="1" applyFont="1" applyFill="1" applyBorder="1" applyAlignment="1">
      <alignment horizontal="center" vertical="center"/>
    </xf>
    <xf numFmtId="0" fontId="29" fillId="27" borderId="1" xfId="263" applyNumberFormat="1" applyFont="1" applyFill="1" applyBorder="1" applyAlignment="1">
      <alignment horizontal="center" vertical="center" shrinkToFit="1"/>
    </xf>
    <xf numFmtId="0" fontId="4" fillId="27" borderId="1" xfId="0" applyNumberFormat="1" applyFont="1" applyFill="1" applyBorder="1" applyAlignment="1">
      <alignment horizontal="center" vertical="center"/>
    </xf>
    <xf numFmtId="0" fontId="9" fillId="27" borderId="1" xfId="0" applyNumberFormat="1" applyFont="1" applyFill="1" applyBorder="1" applyAlignment="1">
      <alignment horizontal="center" vertical="center"/>
    </xf>
    <xf numFmtId="0" fontId="29" fillId="28" borderId="1" xfId="263" applyNumberFormat="1" applyFont="1" applyFill="1" applyBorder="1" applyAlignment="1">
      <alignment horizontal="center" vertical="center" shrinkToFit="1"/>
    </xf>
    <xf numFmtId="0" fontId="4" fillId="28" borderId="1" xfId="0" applyNumberFormat="1" applyFont="1" applyFill="1" applyBorder="1" applyAlignment="1">
      <alignment horizontal="center" vertical="center"/>
    </xf>
    <xf numFmtId="0" fontId="9" fillId="28" borderId="1" xfId="0" applyNumberFormat="1" applyFont="1" applyFill="1" applyBorder="1" applyAlignment="1">
      <alignment horizontal="center" vertical="center"/>
    </xf>
    <xf numFmtId="0" fontId="29" fillId="29" borderId="1" xfId="263" applyNumberFormat="1" applyFont="1" applyFill="1" applyBorder="1" applyAlignment="1">
      <alignment horizontal="center" vertical="center" shrinkToFit="1"/>
    </xf>
    <xf numFmtId="0" fontId="4" fillId="29" borderId="1" xfId="0" applyNumberFormat="1" applyFont="1" applyFill="1" applyBorder="1" applyAlignment="1">
      <alignment horizontal="center" vertical="center"/>
    </xf>
    <xf numFmtId="0" fontId="9" fillId="29" borderId="1" xfId="0" applyNumberFormat="1" applyFont="1" applyFill="1" applyBorder="1" applyAlignment="1">
      <alignment horizontal="center" vertical="center"/>
    </xf>
    <xf numFmtId="0" fontId="9" fillId="23" borderId="1" xfId="0" applyNumberFormat="1" applyFont="1" applyFill="1" applyBorder="1" applyAlignment="1">
      <alignment horizontal="center" vertical="center"/>
    </xf>
    <xf numFmtId="0" fontId="4" fillId="23" borderId="2" xfId="0" applyNumberFormat="1" applyFont="1" applyFill="1" applyBorder="1" applyAlignment="1">
      <alignment horizontal="center" vertical="center"/>
    </xf>
    <xf numFmtId="0" fontId="4" fillId="30" borderId="1" xfId="0" applyNumberFormat="1" applyFont="1" applyFill="1" applyBorder="1" applyAlignment="1">
      <alignment horizontal="center" vertical="center"/>
    </xf>
    <xf numFmtId="0" fontId="29" fillId="31" borderId="1" xfId="263" applyNumberFormat="1" applyFont="1" applyFill="1" applyBorder="1" applyAlignment="1">
      <alignment horizontal="center" vertical="center" shrinkToFit="1"/>
    </xf>
    <xf numFmtId="0" fontId="9" fillId="32" borderId="1" xfId="0" applyNumberFormat="1" applyFont="1" applyFill="1" applyBorder="1" applyAlignment="1">
      <alignment horizontal="center" vertical="center"/>
    </xf>
    <xf numFmtId="0" fontId="30" fillId="3" borderId="1" xfId="0" applyNumberFormat="1" applyFont="1" applyFill="1" applyBorder="1" applyAlignment="1">
      <alignment horizontal="center" vertical="center" shrinkToFit="1"/>
    </xf>
    <xf numFmtId="0" fontId="4" fillId="33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shrinkToFit="1"/>
    </xf>
    <xf numFmtId="0" fontId="27" fillId="21" borderId="1" xfId="263" applyNumberFormat="1" applyFont="1" applyFill="1" applyBorder="1" applyAlignment="1">
      <alignment horizontal="center" vertical="center" shrinkToFit="1"/>
    </xf>
    <xf numFmtId="176" fontId="4" fillId="4" borderId="1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27" fillId="35" borderId="1" xfId="263" applyNumberFormat="1" applyFont="1" applyFill="1" applyBorder="1" applyAlignment="1">
      <alignment horizontal="left" vertical="center" shrinkToFit="1"/>
    </xf>
    <xf numFmtId="0" fontId="27" fillId="35" borderId="1" xfId="263" applyNumberFormat="1" applyFont="1" applyFill="1" applyBorder="1" applyAlignment="1">
      <alignment horizontal="left" vertical="center" wrapText="1" shrinkToFit="1"/>
    </xf>
    <xf numFmtId="0" fontId="2" fillId="35" borderId="1" xfId="0" applyNumberFormat="1" applyFont="1" applyFill="1" applyBorder="1" applyAlignment="1">
      <alignment horizontal="left" vertical="center"/>
    </xf>
    <xf numFmtId="0" fontId="3" fillId="35" borderId="1" xfId="0" applyNumberFormat="1" applyFont="1" applyFill="1" applyBorder="1" applyAlignment="1">
      <alignment horizontal="left" vertical="center"/>
    </xf>
    <xf numFmtId="0" fontId="31" fillId="23" borderId="1" xfId="263" applyNumberFormat="1" applyFont="1" applyFill="1" applyBorder="1" applyAlignment="1">
      <alignment horizontal="center" vertical="center" shrinkToFit="1"/>
    </xf>
    <xf numFmtId="0" fontId="29" fillId="36" borderId="1" xfId="263" applyNumberFormat="1" applyFont="1" applyFill="1" applyBorder="1" applyAlignment="1">
      <alignment horizontal="center" vertical="center" shrinkToFit="1"/>
    </xf>
    <xf numFmtId="0" fontId="4" fillId="36" borderId="1" xfId="0" applyNumberFormat="1" applyFont="1" applyFill="1" applyBorder="1" applyAlignment="1">
      <alignment horizontal="center" vertical="center"/>
    </xf>
    <xf numFmtId="0" fontId="9" fillId="36" borderId="1" xfId="0" applyNumberFormat="1" applyFont="1" applyFill="1" applyBorder="1" applyAlignment="1">
      <alignment horizontal="center" vertical="center"/>
    </xf>
    <xf numFmtId="0" fontId="4" fillId="37" borderId="1" xfId="0" applyNumberFormat="1" applyFont="1" applyFill="1" applyBorder="1" applyAlignment="1">
      <alignment horizontal="center" vertical="center"/>
    </xf>
    <xf numFmtId="0" fontId="4" fillId="37" borderId="0" xfId="0" applyNumberFormat="1" applyFont="1" applyFill="1" applyBorder="1" applyAlignment="1">
      <alignment horizontal="center" vertical="center"/>
    </xf>
    <xf numFmtId="0" fontId="4" fillId="37" borderId="2" xfId="0" applyNumberFormat="1" applyFont="1" applyFill="1" applyBorder="1" applyAlignment="1">
      <alignment horizontal="center" vertical="center"/>
    </xf>
    <xf numFmtId="0" fontId="27" fillId="26" borderId="1" xfId="263" applyNumberFormat="1" applyFont="1" applyFill="1" applyBorder="1" applyAlignment="1">
      <alignment horizontal="center" vertical="center" shrinkToFit="1"/>
    </xf>
    <xf numFmtId="0" fontId="3" fillId="26" borderId="1" xfId="0" applyNumberFormat="1" applyFont="1" applyFill="1" applyBorder="1" applyAlignment="1">
      <alignment horizontal="center" vertical="center"/>
    </xf>
    <xf numFmtId="0" fontId="2" fillId="26" borderId="1" xfId="0" applyNumberFormat="1" applyFont="1" applyFill="1" applyBorder="1" applyAlignment="1">
      <alignment horizontal="center" vertical="center"/>
    </xf>
    <xf numFmtId="0" fontId="27" fillId="26" borderId="1" xfId="263" applyNumberFormat="1" applyFont="1" applyFill="1" applyBorder="1" applyAlignment="1">
      <alignment horizontal="center" vertical="center" wrapText="1" shrinkToFit="1"/>
    </xf>
    <xf numFmtId="0" fontId="4" fillId="34" borderId="1" xfId="0" applyNumberFormat="1" applyFont="1" applyFill="1" applyBorder="1" applyAlignment="1">
      <alignment horizontal="center" vertical="center"/>
    </xf>
    <xf numFmtId="0" fontId="4" fillId="34" borderId="2" xfId="0" applyNumberFormat="1" applyFont="1" applyFill="1" applyBorder="1" applyAlignment="1">
      <alignment horizontal="center" vertical="center"/>
    </xf>
    <xf numFmtId="0" fontId="4" fillId="25" borderId="2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4" fillId="38" borderId="1" xfId="0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4" fillId="38" borderId="2" xfId="0" applyNumberFormat="1" applyFont="1" applyFill="1" applyBorder="1" applyAlignment="1">
      <alignment horizontal="center" vertical="center"/>
    </xf>
    <xf numFmtId="0" fontId="4" fillId="39" borderId="1" xfId="0" applyNumberFormat="1" applyFont="1" applyFill="1" applyBorder="1" applyAlignment="1">
      <alignment horizontal="center" vertical="center"/>
    </xf>
    <xf numFmtId="0" fontId="4" fillId="39" borderId="2" xfId="0" applyNumberFormat="1" applyFont="1" applyFill="1" applyBorder="1" applyAlignment="1">
      <alignment horizontal="center" vertical="center"/>
    </xf>
    <xf numFmtId="0" fontId="4" fillId="40" borderId="1" xfId="0" applyNumberFormat="1" applyFont="1" applyFill="1" applyBorder="1" applyAlignment="1">
      <alignment horizontal="center" vertical="center"/>
    </xf>
    <xf numFmtId="0" fontId="32" fillId="21" borderId="1" xfId="263" applyNumberFormat="1" applyFont="1" applyFill="1" applyBorder="1" applyAlignment="1">
      <alignment horizontal="center" vertical="center" shrinkToFit="1"/>
    </xf>
    <xf numFmtId="0" fontId="9" fillId="3" borderId="1" xfId="0" applyNumberFormat="1" applyFont="1" applyFill="1" applyBorder="1" applyAlignment="1">
      <alignment horizontal="center" vertical="center" shrinkToFit="1"/>
    </xf>
    <xf numFmtId="0" fontId="9" fillId="38" borderId="1" xfId="0" applyNumberFormat="1" applyFont="1" applyFill="1" applyBorder="1" applyAlignment="1">
      <alignment horizontal="center" vertical="center"/>
    </xf>
    <xf numFmtId="0" fontId="4" fillId="41" borderId="1" xfId="0" applyNumberFormat="1" applyFont="1" applyFill="1" applyBorder="1" applyAlignment="1">
      <alignment horizontal="center" vertical="center"/>
    </xf>
    <xf numFmtId="0" fontId="33" fillId="21" borderId="1" xfId="263" applyNumberFormat="1" applyFont="1" applyFill="1" applyBorder="1" applyAlignment="1">
      <alignment horizontal="center" vertical="center" shrinkToFit="1"/>
    </xf>
    <xf numFmtId="21" fontId="34" fillId="23" borderId="1" xfId="263" applyNumberFormat="1" applyFont="1" applyFill="1" applyBorder="1" applyAlignment="1">
      <alignment horizontal="center" vertical="center" shrinkToFit="1"/>
    </xf>
    <xf numFmtId="0" fontId="34" fillId="23" borderId="1" xfId="263" applyNumberFormat="1" applyFont="1" applyFill="1" applyBorder="1" applyAlignment="1">
      <alignment horizontal="center" vertical="center" shrinkToFit="1"/>
    </xf>
    <xf numFmtId="0" fontId="34" fillId="23" borderId="0" xfId="263" applyNumberFormat="1" applyFont="1" applyFill="1" applyBorder="1" applyAlignment="1">
      <alignment horizontal="center" vertical="center" shrinkToFit="1"/>
    </xf>
    <xf numFmtId="0" fontId="4" fillId="24" borderId="0" xfId="0" applyNumberFormat="1" applyFont="1" applyFill="1" applyBorder="1" applyAlignment="1">
      <alignment horizontal="center" vertical="center"/>
    </xf>
    <xf numFmtId="0" fontId="33" fillId="35" borderId="1" xfId="263" applyNumberFormat="1" applyFont="1" applyFill="1" applyBorder="1" applyAlignment="1">
      <alignment horizontal="center" vertical="center" shrinkToFit="1"/>
    </xf>
    <xf numFmtId="176" fontId="4" fillId="37" borderId="0" xfId="0" applyFont="1" applyFill="1" applyAlignment="1">
      <alignment horizontal="center" vertical="center"/>
    </xf>
    <xf numFmtId="176" fontId="4" fillId="34" borderId="0" xfId="0" applyFont="1" applyFill="1" applyAlignment="1">
      <alignment horizontal="center" vertical="center"/>
    </xf>
    <xf numFmtId="176" fontId="4" fillId="39" borderId="0" xfId="0" applyFont="1" applyFill="1" applyAlignment="1">
      <alignment horizontal="center" vertical="center"/>
    </xf>
    <xf numFmtId="176" fontId="4" fillId="25" borderId="0" xfId="0" applyFont="1" applyFill="1" applyAlignment="1">
      <alignment horizontal="center" vertical="center"/>
    </xf>
    <xf numFmtId="176" fontId="4" fillId="0" borderId="0" xfId="0" applyFont="1" applyFill="1" applyAlignment="1">
      <alignment horizontal="center" vertical="center"/>
    </xf>
    <xf numFmtId="176" fontId="4" fillId="0" borderId="0" xfId="0" applyFont="1" applyAlignment="1">
      <alignment horizontal="center" vertical="center"/>
    </xf>
    <xf numFmtId="176" fontId="4" fillId="26" borderId="0" xfId="0" applyFont="1" applyFill="1" applyAlignment="1">
      <alignment horizontal="center" vertical="center"/>
    </xf>
    <xf numFmtId="176" fontId="4" fillId="28" borderId="0" xfId="0" applyFont="1" applyFill="1" applyAlignment="1">
      <alignment horizontal="center" vertical="center"/>
    </xf>
    <xf numFmtId="176" fontId="4" fillId="36" borderId="0" xfId="0" applyFont="1" applyFill="1" applyAlignment="1">
      <alignment horizontal="center" vertical="center"/>
    </xf>
    <xf numFmtId="176" fontId="4" fillId="29" borderId="0" xfId="0" applyFont="1" applyFill="1" applyAlignment="1">
      <alignment horizontal="center" vertical="center"/>
    </xf>
    <xf numFmtId="176" fontId="4" fillId="23" borderId="0" xfId="0" applyFont="1" applyFill="1" applyAlignment="1">
      <alignment horizontal="center" vertical="center"/>
    </xf>
    <xf numFmtId="176" fontId="35" fillId="25" borderId="0" xfId="0" applyFont="1" applyFill="1" applyAlignment="1">
      <alignment horizontal="center" vertical="center"/>
    </xf>
    <xf numFmtId="176" fontId="36" fillId="25" borderId="0" xfId="0" applyFont="1" applyFill="1" applyAlignment="1">
      <alignment horizontal="center" vertical="center"/>
    </xf>
    <xf numFmtId="176" fontId="4" fillId="0" borderId="0" xfId="0" applyFont="1">
      <alignment vertical="center"/>
    </xf>
    <xf numFmtId="176" fontId="4" fillId="0" borderId="0" xfId="0" applyFont="1" applyAlignment="1">
      <alignment horizontal="left" vertical="center"/>
    </xf>
    <xf numFmtId="0" fontId="5" fillId="0" borderId="1" xfId="0" applyNumberFormat="1" applyFont="1" applyFill="1" applyBorder="1" applyAlignment="1">
      <alignment vertical="center"/>
    </xf>
    <xf numFmtId="0" fontId="27" fillId="21" borderId="1" xfId="263" applyNumberFormat="1" applyFont="1" applyFill="1" applyBorder="1" applyAlignment="1">
      <alignment vertical="center" shrinkToFit="1"/>
    </xf>
    <xf numFmtId="0" fontId="27" fillId="35" borderId="1" xfId="263" applyNumberFormat="1" applyFont="1" applyFill="1" applyBorder="1" applyAlignment="1">
      <alignment vertical="center" shrinkToFit="1"/>
    </xf>
    <xf numFmtId="0" fontId="29" fillId="23" borderId="1" xfId="263" applyNumberFormat="1" applyFont="1" applyFill="1" applyBorder="1" applyAlignment="1">
      <alignment vertical="center" shrinkToFit="1"/>
    </xf>
    <xf numFmtId="0" fontId="4" fillId="4" borderId="1" xfId="0" applyNumberFormat="1" applyFont="1" applyFill="1" applyBorder="1" applyAlignment="1">
      <alignment vertical="center"/>
    </xf>
    <xf numFmtId="0" fontId="4" fillId="37" borderId="1" xfId="0" applyNumberFormat="1" applyFont="1" applyFill="1" applyBorder="1" applyAlignment="1">
      <alignment vertical="center"/>
    </xf>
    <xf numFmtId="0" fontId="4" fillId="34" borderId="1" xfId="0" applyNumberFormat="1" applyFont="1" applyFill="1" applyBorder="1" applyAlignment="1">
      <alignment vertical="center"/>
    </xf>
    <xf numFmtId="0" fontId="4" fillId="39" borderId="1" xfId="0" applyNumberFormat="1" applyFont="1" applyFill="1" applyBorder="1" applyAlignment="1">
      <alignment vertical="center"/>
    </xf>
    <xf numFmtId="0" fontId="4" fillId="25" borderId="1" xfId="0" applyNumberFormat="1" applyFont="1" applyFill="1" applyBorder="1" applyAlignment="1">
      <alignment vertical="center"/>
    </xf>
    <xf numFmtId="0" fontId="4" fillId="23" borderId="1" xfId="0" applyNumberFormat="1" applyFont="1" applyFill="1" applyBorder="1" applyAlignment="1">
      <alignment vertical="center"/>
    </xf>
    <xf numFmtId="0" fontId="4" fillId="0" borderId="1" xfId="0" applyNumberFormat="1" applyFont="1" applyFill="1" applyBorder="1" applyAlignment="1">
      <alignment vertical="center"/>
    </xf>
    <xf numFmtId="0" fontId="9" fillId="26" borderId="1" xfId="0" applyNumberFormat="1" applyFont="1" applyFill="1" applyBorder="1" applyAlignment="1">
      <alignment vertical="center"/>
    </xf>
    <xf numFmtId="0" fontId="9" fillId="27" borderId="1" xfId="0" applyNumberFormat="1" applyFont="1" applyFill="1" applyBorder="1" applyAlignment="1">
      <alignment vertical="center"/>
    </xf>
    <xf numFmtId="0" fontId="9" fillId="28" borderId="1" xfId="0" applyNumberFormat="1" applyFont="1" applyFill="1" applyBorder="1" applyAlignment="1">
      <alignment vertical="center"/>
    </xf>
    <xf numFmtId="0" fontId="9" fillId="36" borderId="1" xfId="0" applyNumberFormat="1" applyFont="1" applyFill="1" applyBorder="1" applyAlignment="1">
      <alignment vertical="center"/>
    </xf>
    <xf numFmtId="0" fontId="9" fillId="29" borderId="1" xfId="0" applyNumberFormat="1" applyFont="1" applyFill="1" applyBorder="1" applyAlignment="1">
      <alignment vertical="center"/>
    </xf>
    <xf numFmtId="0" fontId="4" fillId="29" borderId="1" xfId="0" applyNumberFormat="1" applyFont="1" applyFill="1" applyBorder="1" applyAlignment="1">
      <alignment vertical="center"/>
    </xf>
    <xf numFmtId="176" fontId="4" fillId="23" borderId="1" xfId="0" applyNumberFormat="1" applyFont="1" applyFill="1" applyBorder="1" applyAlignment="1">
      <alignment vertical="center"/>
    </xf>
    <xf numFmtId="176" fontId="4" fillId="25" borderId="1" xfId="0" applyNumberFormat="1" applyFont="1" applyFill="1" applyBorder="1" applyAlignment="1">
      <alignment vertical="center"/>
    </xf>
    <xf numFmtId="0" fontId="4" fillId="42" borderId="1" xfId="0" applyNumberFormat="1" applyFont="1" applyFill="1" applyBorder="1" applyAlignment="1">
      <alignment horizontal="center" vertical="center"/>
    </xf>
    <xf numFmtId="0" fontId="4" fillId="42" borderId="0" xfId="0" applyNumberFormat="1" applyFont="1" applyFill="1" applyBorder="1" applyAlignment="1">
      <alignment horizontal="center" vertical="center"/>
    </xf>
    <xf numFmtId="0" fontId="4" fillId="42" borderId="1" xfId="0" applyNumberFormat="1" applyFont="1" applyFill="1" applyBorder="1" applyAlignment="1">
      <alignment vertical="center"/>
    </xf>
    <xf numFmtId="0" fontId="4" fillId="42" borderId="2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</cellXfs>
  <cellStyles count="358">
    <cellStyle name="20% - 强调文字颜色 1" xfId="14"/>
    <cellStyle name="20% - 强调文字颜色 1 2" xfId="18"/>
    <cellStyle name="20% - 强调文字颜色 1 2 2" xfId="21"/>
    <cellStyle name="20% - 强调文字颜色 1 2 2 2" xfId="24"/>
    <cellStyle name="20% - 强调文字颜色 1 2 3" xfId="28"/>
    <cellStyle name="20% - 强调文字颜色 1 3" xfId="33"/>
    <cellStyle name="20% - 强调文字颜色 1 3 2" xfId="36"/>
    <cellStyle name="20% - 强调文字颜色 1 4" xfId="39"/>
    <cellStyle name="20% - 强调文字颜色 1 4 2" xfId="42"/>
    <cellStyle name="20% - 强调文字颜色 1 5" xfId="44"/>
    <cellStyle name="20% - 强调文字颜色 1 5 2" xfId="46"/>
    <cellStyle name="20% - 强调文字颜色 1 6" xfId="48"/>
    <cellStyle name="20% - 强调文字颜色 2" xfId="51"/>
    <cellStyle name="20% - 强调文字颜色 2 2" xfId="53"/>
    <cellStyle name="20% - 强调文字颜色 2 2 2" xfId="2"/>
    <cellStyle name="20% - 强调文字颜色 2 2 2 2" xfId="54"/>
    <cellStyle name="20% - 强调文字颜色 2 2 3" xfId="41"/>
    <cellStyle name="20% - 强调文字颜色 2 3" xfId="56"/>
    <cellStyle name="20% - 强调文字颜色 2 3 2" xfId="57"/>
    <cellStyle name="20% - 强调文字颜色 2 4" xfId="58"/>
    <cellStyle name="20% - 强调文字颜色 2 4 2" xfId="61"/>
    <cellStyle name="20% - 强调文字颜色 2 5" xfId="62"/>
    <cellStyle name="20% - 强调文字颜色 2 5 2" xfId="63"/>
    <cellStyle name="20% - 强调文字颜色 2 6" xfId="55"/>
    <cellStyle name="20% - 强调文字颜色 3" xfId="16"/>
    <cellStyle name="20% - 强调文字颜色 3 2" xfId="20"/>
    <cellStyle name="20% - 强调文字颜色 3 2 2" xfId="22"/>
    <cellStyle name="20% - 强调文字颜色 3 2 2 2" xfId="66"/>
    <cellStyle name="20% - 强调文字颜色 3 2 3" xfId="59"/>
    <cellStyle name="20% - 强调文字颜色 3 3" xfId="26"/>
    <cellStyle name="20% - 强调文字颜色 3 3 2" xfId="69"/>
    <cellStyle name="20% - 强调文字颜色 3 4" xfId="71"/>
    <cellStyle name="20% - 强调文字颜色 3 4 2" xfId="74"/>
    <cellStyle name="20% - 强调文字颜色 3 5" xfId="6"/>
    <cellStyle name="20% - 强调文字颜色 3 5 2" xfId="76"/>
    <cellStyle name="20% - 强调文字颜色 3 6" xfId="79"/>
    <cellStyle name="20% - 强调文字颜色 4" xfId="32"/>
    <cellStyle name="20% - 强调文字颜色 4 2" xfId="35"/>
    <cellStyle name="20% - 强调文字颜色 4 2 2" xfId="4"/>
    <cellStyle name="20% - 强调文字颜色 4 2 2 2" xfId="81"/>
    <cellStyle name="20% - 强调文字颜色 4 2 3" xfId="72"/>
    <cellStyle name="20% - 强调文字颜色 4 3" xfId="83"/>
    <cellStyle name="20% - 强调文字颜色 4 3 2" xfId="85"/>
    <cellStyle name="20% - 强调文字颜色 4 4" xfId="88"/>
    <cellStyle name="20% - 强调文字颜色 4 4 2" xfId="12"/>
    <cellStyle name="20% - 强调文字颜色 4 5" xfId="91"/>
    <cellStyle name="20% - 强调文字颜色 4 5 2" xfId="95"/>
    <cellStyle name="20% - 强调文字颜色 4 6" xfId="99"/>
    <cellStyle name="20% - 强调文字颜色 5" xfId="38"/>
    <cellStyle name="20% - 强调文字颜色 5 2" xfId="40"/>
    <cellStyle name="20% - 强调文字颜色 5 2 2" xfId="77"/>
    <cellStyle name="20% - 强调文字颜色 5 2 2 2" xfId="100"/>
    <cellStyle name="20% - 强调文字颜色 5 2 3" xfId="8"/>
    <cellStyle name="20% - 强调文字颜色 5 3" xfId="101"/>
    <cellStyle name="20% - 强调文字颜色 5 3 2" xfId="96"/>
    <cellStyle name="20% - 强调文字颜色 5 4" xfId="65"/>
    <cellStyle name="20% - 强调文字颜色 5 4 2" xfId="103"/>
    <cellStyle name="20% - 强调文字颜色 5 5" xfId="105"/>
    <cellStyle name="20% - 强调文字颜色 5 5 2" xfId="30"/>
    <cellStyle name="20% - 强调文字颜色 5 6" xfId="107"/>
    <cellStyle name="20% - 强调文字颜色 6" xfId="108"/>
    <cellStyle name="20% - 强调文字颜色 6 2" xfId="109"/>
    <cellStyle name="20% - 强调文字颜色 6 2 2" xfId="111"/>
    <cellStyle name="20% - 强调文字颜色 6 2 2 2" xfId="113"/>
    <cellStyle name="20% - 强调文字颜色 6 2 3" xfId="115"/>
    <cellStyle name="20% - 强调文字颜色 6 3" xfId="116"/>
    <cellStyle name="20% - 强调文字颜色 6 3 2" xfId="118"/>
    <cellStyle name="20% - 强调文字颜色 6 4" xfId="120"/>
    <cellStyle name="20% - 强调文字颜色 6 4 2" xfId="123"/>
    <cellStyle name="20% - 强调文字颜色 6 5" xfId="126"/>
    <cellStyle name="20% - 强调文字颜色 6 5 2" xfId="130"/>
    <cellStyle name="20% - 强调文字颜色 6 6" xfId="133"/>
    <cellStyle name="40% - 强调文字颜色 1" xfId="135"/>
    <cellStyle name="40% - 强调文字颜色 1 2" xfId="136"/>
    <cellStyle name="40% - 强调文字颜色 1 2 2" xfId="137"/>
    <cellStyle name="40% - 强调文字颜色 1 2 2 2" xfId="138"/>
    <cellStyle name="40% - 强调文字颜色 1 2 3" xfId="139"/>
    <cellStyle name="40% - 强调文字颜色 1 3" xfId="141"/>
    <cellStyle name="40% - 强调文字颜色 1 3 2" xfId="142"/>
    <cellStyle name="40% - 强调文字颜色 1 4" xfId="143"/>
    <cellStyle name="40% - 强调文字颜色 1 4 2" xfId="144"/>
    <cellStyle name="40% - 强调文字颜色 1 5" xfId="145"/>
    <cellStyle name="40% - 强调文字颜色 1 5 2" xfId="146"/>
    <cellStyle name="40% - 强调文字颜色 1 6" xfId="147"/>
    <cellStyle name="40% - 强调文字颜色 2" xfId="148"/>
    <cellStyle name="40% - 强调文字颜色 2 2" xfId="27"/>
    <cellStyle name="40% - 强调文字颜色 2 2 2" xfId="149"/>
    <cellStyle name="40% - 强调文字颜色 2 2 2 2" xfId="150"/>
    <cellStyle name="40% - 强调文字颜色 2 2 3" xfId="151"/>
    <cellStyle name="40% - 强调文字颜色 2 3" xfId="152"/>
    <cellStyle name="40% - 强调文字颜色 2 3 2" xfId="153"/>
    <cellStyle name="40% - 强调文字颜色 2 4" xfId="154"/>
    <cellStyle name="40% - 强调文字颜色 2 4 2" xfId="155"/>
    <cellStyle name="40% - 强调文字颜色 2 5" xfId="156"/>
    <cellStyle name="40% - 强调文字颜色 2 5 2" xfId="157"/>
    <cellStyle name="40% - 强调文字颜色 2 6" xfId="158"/>
    <cellStyle name="40% - 强调文字颜色 3" xfId="160"/>
    <cellStyle name="40% - 强调文字颜色 3 2" xfId="162"/>
    <cellStyle name="40% - 强调文字颜色 3 2 2" xfId="163"/>
    <cellStyle name="40% - 强调文字颜色 3 2 2 2" xfId="164"/>
    <cellStyle name="40% - 强调文字颜色 3 2 3" xfId="165"/>
    <cellStyle name="40% - 强调文字颜色 3 3" xfId="166"/>
    <cellStyle name="40% - 强调文字颜色 3 3 2" xfId="167"/>
    <cellStyle name="40% - 强调文字颜色 3 4" xfId="168"/>
    <cellStyle name="40% - 强调文字颜色 3 4 2" xfId="169"/>
    <cellStyle name="40% - 强调文字颜色 3 5" xfId="170"/>
    <cellStyle name="40% - 强调文字颜色 3 5 2" xfId="171"/>
    <cellStyle name="40% - 强调文字颜色 3 6" xfId="172"/>
    <cellStyle name="40% - 强调文字颜色 4" xfId="174"/>
    <cellStyle name="40% - 强调文字颜色 4 2" xfId="177"/>
    <cellStyle name="40% - 强调文字颜色 4 2 2" xfId="180"/>
    <cellStyle name="40% - 强调文字颜色 4 2 2 2" xfId="182"/>
    <cellStyle name="40% - 强调文字颜色 4 2 3" xfId="184"/>
    <cellStyle name="40% - 强调文字颜色 4 3" xfId="185"/>
    <cellStyle name="40% - 强调文字颜色 4 3 2" xfId="134"/>
    <cellStyle name="40% - 强调文字颜色 4 4" xfId="110"/>
    <cellStyle name="40% - 强调文字颜色 4 4 2" xfId="112"/>
    <cellStyle name="40% - 强调文字颜色 4 5" xfId="114"/>
    <cellStyle name="40% - 强调文字颜色 4 5 2" xfId="186"/>
    <cellStyle name="40% - 强调文字颜色 4 6" xfId="187"/>
    <cellStyle name="40% - 强调文字颜色 5" xfId="189"/>
    <cellStyle name="40% - 强调文字颜色 5 2" xfId="190"/>
    <cellStyle name="40% - 强调文字颜色 5 2 2" xfId="125"/>
    <cellStyle name="40% - 强调文字颜色 5 2 2 2" xfId="129"/>
    <cellStyle name="40% - 强调文字颜色 5 2 3" xfId="132"/>
    <cellStyle name="40% - 强调文字颜色 5 3" xfId="191"/>
    <cellStyle name="40% - 强调文字颜色 5 3 2" xfId="193"/>
    <cellStyle name="40% - 强调文字颜色 5 4" xfId="117"/>
    <cellStyle name="40% - 强调文字颜色 5 4 2" xfId="195"/>
    <cellStyle name="40% - 强调文字颜色 5 5" xfId="196"/>
    <cellStyle name="40% - 强调文字颜色 5 5 2" xfId="197"/>
    <cellStyle name="40% - 强调文字颜色 5 6" xfId="199"/>
    <cellStyle name="40% - 强调文字颜色 6" xfId="68"/>
    <cellStyle name="40% - 强调文字颜色 6 2" xfId="201"/>
    <cellStyle name="40% - 强调文字颜色 6 2 2" xfId="202"/>
    <cellStyle name="40% - 强调文字颜色 6 2 2 2" xfId="203"/>
    <cellStyle name="40% - 强调文字颜色 6 2 3" xfId="204"/>
    <cellStyle name="40% - 强调文字颜色 6 3" xfId="206"/>
    <cellStyle name="40% - 强调文字颜色 6 3 2" xfId="208"/>
    <cellStyle name="40% - 强调文字颜色 6 4" xfId="122"/>
    <cellStyle name="40% - 强调文字颜色 6 4 2" xfId="209"/>
    <cellStyle name="40% - 强调文字颜色 6 5" xfId="211"/>
    <cellStyle name="40% - 强调文字颜色 6 5 2" xfId="213"/>
    <cellStyle name="40% - 强调文字颜色 6 6" xfId="215"/>
    <cellStyle name="60% - 强调文字颜色 1" xfId="216"/>
    <cellStyle name="60% - 强调文字颜色 1 2" xfId="70"/>
    <cellStyle name="60% - 强调文字颜色 1 2 2" xfId="73"/>
    <cellStyle name="60% - 强调文字颜色 1 3" xfId="5"/>
    <cellStyle name="60% - 强调文字颜色 1 3 2" xfId="75"/>
    <cellStyle name="60% - 强调文字颜色 1 4" xfId="78"/>
    <cellStyle name="60% - 强调文字颜色 2" xfId="217"/>
    <cellStyle name="60% - 强调文字颜色 2 2" xfId="87"/>
    <cellStyle name="60% - 强调文字颜色 2 2 2" xfId="11"/>
    <cellStyle name="60% - 强调文字颜色 2 3" xfId="90"/>
    <cellStyle name="60% - 强调文字颜色 2 3 2" xfId="94"/>
    <cellStyle name="60% - 强调文字颜色 2 4" xfId="98"/>
    <cellStyle name="60% - 强调文字颜色 3" xfId="218"/>
    <cellStyle name="60% - 强调文字颜色 3 2" xfId="64"/>
    <cellStyle name="60% - 强调文字颜色 3 2 2" xfId="102"/>
    <cellStyle name="60% - 强调文字颜色 3 3" xfId="104"/>
    <cellStyle name="60% - 强调文字颜色 3 3 2" xfId="29"/>
    <cellStyle name="60% - 强调文字颜色 3 4" xfId="106"/>
    <cellStyle name="60% - 强调文字颜色 4" xfId="219"/>
    <cellStyle name="60% - 强调文字颜色 4 2" xfId="119"/>
    <cellStyle name="60% - 强调文字颜色 4 2 2" xfId="121"/>
    <cellStyle name="60% - 强调文字颜色 4 3" xfId="124"/>
    <cellStyle name="60% - 强调文字颜色 4 3 2" xfId="128"/>
    <cellStyle name="60% - 强调文字颜色 4 4" xfId="131"/>
    <cellStyle name="60% - 强调文字颜色 5" xfId="220"/>
    <cellStyle name="60% - 强调文字颜色 5 2" xfId="221"/>
    <cellStyle name="60% - 强调文字颜色 5 2 2" xfId="222"/>
    <cellStyle name="60% - 强调文字颜色 5 3" xfId="192"/>
    <cellStyle name="60% - 强调文字颜色 5 3 2" xfId="223"/>
    <cellStyle name="60% - 强调文字颜色 5 4" xfId="224"/>
    <cellStyle name="60% - 强调文字颜色 6" xfId="225"/>
    <cellStyle name="60% - 强调文字颜色 6 2" xfId="226"/>
    <cellStyle name="60% - 强调文字颜色 6 2 2" xfId="227"/>
    <cellStyle name="60% - 强调文字颜色 6 3" xfId="194"/>
    <cellStyle name="60% - 强调文字颜色 6 3 2" xfId="228"/>
    <cellStyle name="60% - 强调文字颜色 6 4" xfId="229"/>
    <cellStyle name="标题" xfId="10"/>
    <cellStyle name="标题 1" xfId="230"/>
    <cellStyle name="标题 1 2" xfId="231"/>
    <cellStyle name="标题 1 2 2" xfId="232"/>
    <cellStyle name="标题 1 3" xfId="233"/>
    <cellStyle name="标题 1 3 2" xfId="235"/>
    <cellStyle name="标题 1 4" xfId="236"/>
    <cellStyle name="标题 2" xfId="237"/>
    <cellStyle name="标题 2 2" xfId="238"/>
    <cellStyle name="标题 2 2 2" xfId="239"/>
    <cellStyle name="标题 2 3" xfId="240"/>
    <cellStyle name="标题 2 3 2" xfId="242"/>
    <cellStyle name="标题 2 4" xfId="243"/>
    <cellStyle name="标题 3" xfId="244"/>
    <cellStyle name="标题 3 2" xfId="245"/>
    <cellStyle name="标题 3 2 2" xfId="246"/>
    <cellStyle name="标题 3 3" xfId="7"/>
    <cellStyle name="标题 3 3 2" xfId="247"/>
    <cellStyle name="标题 3 4" xfId="248"/>
    <cellStyle name="标题 4" xfId="250"/>
    <cellStyle name="标题 4 2" xfId="251"/>
    <cellStyle name="标题 4 2 2" xfId="252"/>
    <cellStyle name="标题 4 3" xfId="254"/>
    <cellStyle name="标题 4 3 2" xfId="255"/>
    <cellStyle name="标题 4 4" xfId="179"/>
    <cellStyle name="标题 5" xfId="23"/>
    <cellStyle name="差" xfId="256"/>
    <cellStyle name="差 2" xfId="257"/>
    <cellStyle name="差 2 2" xfId="258"/>
    <cellStyle name="差 3" xfId="259"/>
    <cellStyle name="差 3 2" xfId="260"/>
    <cellStyle name="差 4" xfId="261"/>
    <cellStyle name="常规" xfId="0" builtinId="0"/>
    <cellStyle name="常规 10" xfId="263"/>
    <cellStyle name="常规 10 2" xfId="264"/>
    <cellStyle name="常规 11" xfId="241"/>
    <cellStyle name="常规 11 2" xfId="265"/>
    <cellStyle name="常规 12" xfId="267"/>
    <cellStyle name="常规 12 2" xfId="268"/>
    <cellStyle name="常规 13" xfId="270"/>
    <cellStyle name="常规 13 2" xfId="271"/>
    <cellStyle name="常规 14" xfId="273"/>
    <cellStyle name="常规 14 2" xfId="274"/>
    <cellStyle name="常规 15" xfId="127"/>
    <cellStyle name="常规 15 2" xfId="275"/>
    <cellStyle name="常规 16" xfId="276"/>
    <cellStyle name="常规 16 2" xfId="262"/>
    <cellStyle name="常规 17" xfId="277"/>
    <cellStyle name="常规 2" xfId="278"/>
    <cellStyle name="常规 2 2" xfId="279"/>
    <cellStyle name="常规 2 2 2" xfId="280"/>
    <cellStyle name="常规 2 2 2 2" xfId="281"/>
    <cellStyle name="常规 2 2 3" xfId="282"/>
    <cellStyle name="常规 2 3" xfId="284"/>
    <cellStyle name="常规 2 3 2" xfId="285"/>
    <cellStyle name="常规 2 4" xfId="286"/>
    <cellStyle name="常规 3" xfId="34"/>
    <cellStyle name="常规 3 2" xfId="3"/>
    <cellStyle name="常规 4" xfId="82"/>
    <cellStyle name="常规 4 2" xfId="84"/>
    <cellStyle name="常规 5" xfId="86"/>
    <cellStyle name="常规 5 2" xfId="9"/>
    <cellStyle name="常规 6" xfId="89"/>
    <cellStyle name="常规 6 2" xfId="93"/>
    <cellStyle name="常规 7" xfId="97"/>
    <cellStyle name="常规 7 2" xfId="287"/>
    <cellStyle name="常规 8" xfId="289"/>
    <cellStyle name="常规 8 2" xfId="37"/>
    <cellStyle name="常规 9" xfId="290"/>
    <cellStyle name="常规 9 2" xfId="140"/>
    <cellStyle name="超链接" xfId="291" builtinId="8"/>
    <cellStyle name="超链接 2" xfId="292"/>
    <cellStyle name="好 2" xfId="43"/>
    <cellStyle name="好 2 2" xfId="45"/>
    <cellStyle name="好 3" xfId="47"/>
    <cellStyle name="好 3 2" xfId="293"/>
    <cellStyle name="好 4" xfId="294"/>
    <cellStyle name="好 4 2" xfId="266"/>
    <cellStyle name="汇总" xfId="210"/>
    <cellStyle name="汇总 2" xfId="212"/>
    <cellStyle name="汇总 2 2" xfId="253"/>
    <cellStyle name="汇总 3" xfId="234"/>
    <cellStyle name="汇总 3 2" xfId="295"/>
    <cellStyle name="汇总 4" xfId="296"/>
    <cellStyle name="计算" xfId="297"/>
    <cellStyle name="计算 2" xfId="159"/>
    <cellStyle name="计算 2 2" xfId="161"/>
    <cellStyle name="计算 3" xfId="173"/>
    <cellStyle name="计算 3 2" xfId="176"/>
    <cellStyle name="计算 4" xfId="188"/>
    <cellStyle name="检查单元格" xfId="175"/>
    <cellStyle name="检查单元格 2" xfId="178"/>
    <cellStyle name="检查单元格 2 2" xfId="181"/>
    <cellStyle name="检查单元格 3" xfId="183"/>
    <cellStyle name="检查单元格 3 2" xfId="299"/>
    <cellStyle name="检查单元格 4" xfId="300"/>
    <cellStyle name="解释性文本" xfId="301"/>
    <cellStyle name="解释性文本 2" xfId="1"/>
    <cellStyle name="解释性文本 2 2" xfId="249"/>
    <cellStyle name="解释性文本 3" xfId="207"/>
    <cellStyle name="解释性文本 3 2" xfId="302"/>
    <cellStyle name="解释性文本 4" xfId="303"/>
    <cellStyle name="警告文本" xfId="304"/>
    <cellStyle name="警告文本 2" xfId="305"/>
    <cellStyle name="警告文本 2 2" xfId="306"/>
    <cellStyle name="警告文本 3" xfId="307"/>
    <cellStyle name="警告文本 3 2" xfId="288"/>
    <cellStyle name="警告文本 4" xfId="308"/>
    <cellStyle name="链接单元格" xfId="310"/>
    <cellStyle name="链接单元格 2" xfId="312"/>
    <cellStyle name="链接单元格 2 2" xfId="313"/>
    <cellStyle name="链接单元格 3" xfId="13"/>
    <cellStyle name="链接单元格 3 2" xfId="17"/>
    <cellStyle name="链接单元格 4" xfId="50"/>
    <cellStyle name="强调文字颜色 1" xfId="298"/>
    <cellStyle name="强调文字颜色 1 2" xfId="314"/>
    <cellStyle name="强调文字颜色 1 2 2" xfId="315"/>
    <cellStyle name="强调文字颜色 1 3" xfId="316"/>
    <cellStyle name="强调文字颜色 1 3 2" xfId="317"/>
    <cellStyle name="强调文字颜色 1 4" xfId="318"/>
    <cellStyle name="强调文字颜色 2" xfId="319"/>
    <cellStyle name="强调文字颜色 2 2" xfId="320"/>
    <cellStyle name="强调文字颜色 2 2 2" xfId="321"/>
    <cellStyle name="强调文字颜色 2 3" xfId="322"/>
    <cellStyle name="强调文字颜色 2 3 2" xfId="324"/>
    <cellStyle name="强调文字颜色 2 4" xfId="325"/>
    <cellStyle name="强调文字颜色 3" xfId="326"/>
    <cellStyle name="强调文字颜色 3 2" xfId="327"/>
    <cellStyle name="强调文字颜色 3 2 2" xfId="205"/>
    <cellStyle name="强调文字颜色 3 3" xfId="328"/>
    <cellStyle name="强调文字颜色 3 3 2" xfId="272"/>
    <cellStyle name="强调文字颜色 3 4" xfId="329"/>
    <cellStyle name="强调文字颜色 4" xfId="330"/>
    <cellStyle name="强调文字颜色 4 2" xfId="331"/>
    <cellStyle name="强调文字颜色 4 2 2" xfId="332"/>
    <cellStyle name="强调文字颜色 4 3" xfId="333"/>
    <cellStyle name="强调文字颜色 4 3 2" xfId="334"/>
    <cellStyle name="强调文字颜色 4 4" xfId="335"/>
    <cellStyle name="强调文字颜色 5" xfId="336"/>
    <cellStyle name="强调文字颜色 5 2" xfId="337"/>
    <cellStyle name="强调文字颜色 5 2 2" xfId="338"/>
    <cellStyle name="强调文字颜色 5 3" xfId="339"/>
    <cellStyle name="强调文字颜色 5 3 2" xfId="340"/>
    <cellStyle name="强调文字颜色 5 4" xfId="341"/>
    <cellStyle name="强调文字颜色 6" xfId="342"/>
    <cellStyle name="强调文字颜色 6 2" xfId="343"/>
    <cellStyle name="强调文字颜色 6 2 2" xfId="344"/>
    <cellStyle name="强调文字颜色 6 3" xfId="345"/>
    <cellStyle name="强调文字颜色 6 3 2" xfId="346"/>
    <cellStyle name="强调文字颜色 6 4" xfId="347"/>
    <cellStyle name="适中" xfId="25"/>
    <cellStyle name="适中 2" xfId="67"/>
    <cellStyle name="适中 2 2" xfId="200"/>
    <cellStyle name="适中 3" xfId="348"/>
    <cellStyle name="适中 3 2" xfId="269"/>
    <cellStyle name="适中 4" xfId="80"/>
    <cellStyle name="输出" xfId="60"/>
    <cellStyle name="输出 2" xfId="49"/>
    <cellStyle name="输出 2 2" xfId="52"/>
    <cellStyle name="输出 3" xfId="15"/>
    <cellStyle name="输出 3 2" xfId="19"/>
    <cellStyle name="输出 4" xfId="31"/>
    <cellStyle name="输入" xfId="323"/>
    <cellStyle name="输入 2" xfId="349"/>
    <cellStyle name="输入 2 2" xfId="350"/>
    <cellStyle name="输入 3" xfId="351"/>
    <cellStyle name="输入 3 2" xfId="283"/>
    <cellStyle name="输入 4" xfId="352"/>
    <cellStyle name="注释 2" xfId="92"/>
    <cellStyle name="注释 2 2" xfId="198"/>
    <cellStyle name="注释 2 2 2" xfId="353"/>
    <cellStyle name="注释 2 2 2 2" xfId="354"/>
    <cellStyle name="注释 2 2 3" xfId="355"/>
    <cellStyle name="注释 2 3" xfId="309"/>
    <cellStyle name="注释 2 3 2" xfId="311"/>
    <cellStyle name="注释 2 4" xfId="356"/>
    <cellStyle name="注释 3" xfId="357"/>
    <cellStyle name="注释 3 2" xfId="214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9966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1" width="11.375" style="9" customWidth="1"/>
    <col min="2" max="2" width="11.5" style="9" customWidth="1"/>
    <col min="3" max="3" width="24" style="9" customWidth="1"/>
    <col min="4" max="4" width="67.625" style="9" customWidth="1"/>
    <col min="5" max="5" width="29.625" style="9" customWidth="1"/>
    <col min="6" max="6" width="17.5" style="9" customWidth="1"/>
    <col min="7" max="16384" width="9" style="9"/>
  </cols>
  <sheetData>
    <row r="1" spans="1:7" x14ac:dyDescent="0.15">
      <c r="A1" s="128" t="s">
        <v>0</v>
      </c>
      <c r="B1" s="128"/>
      <c r="C1" s="128"/>
      <c r="D1" s="128"/>
      <c r="E1" s="128"/>
      <c r="F1" s="10" t="s">
        <v>1051</v>
      </c>
      <c r="G1" s="9">
        <v>0</v>
      </c>
    </row>
    <row r="2" spans="1:7" x14ac:dyDescent="0.1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9">
        <v>0</v>
      </c>
    </row>
    <row r="3" spans="1:7" x14ac:dyDescent="0.15">
      <c r="A3" s="11" t="s">
        <v>7</v>
      </c>
      <c r="B3" s="12">
        <v>1</v>
      </c>
      <c r="C3" s="13" t="s">
        <v>16</v>
      </c>
      <c r="D3" s="14" t="s">
        <v>33</v>
      </c>
      <c r="E3" s="14"/>
      <c r="F3" s="15" t="s">
        <v>17</v>
      </c>
      <c r="G3" s="9">
        <v>1</v>
      </c>
    </row>
    <row r="4" spans="1:7" x14ac:dyDescent="0.15">
      <c r="A4" s="11" t="s">
        <v>7</v>
      </c>
      <c r="B4" s="12">
        <v>1</v>
      </c>
      <c r="C4" s="13" t="s">
        <v>86</v>
      </c>
      <c r="D4" s="14" t="s">
        <v>33</v>
      </c>
      <c r="E4" s="14"/>
      <c r="F4" s="15" t="s">
        <v>87</v>
      </c>
      <c r="G4" s="9">
        <v>1</v>
      </c>
    </row>
    <row r="5" spans="1:7" x14ac:dyDescent="0.15">
      <c r="A5" s="11" t="s">
        <v>7</v>
      </c>
      <c r="B5" s="12">
        <v>1</v>
      </c>
      <c r="C5" s="13" t="s">
        <v>141</v>
      </c>
      <c r="D5" s="14" t="s">
        <v>33</v>
      </c>
      <c r="E5" s="14"/>
      <c r="F5" s="15" t="s">
        <v>140</v>
      </c>
      <c r="G5" s="9">
        <v>1</v>
      </c>
    </row>
    <row r="6" spans="1:7" x14ac:dyDescent="0.15">
      <c r="A6" s="11" t="s">
        <v>7</v>
      </c>
      <c r="B6" s="12">
        <v>1</v>
      </c>
      <c r="C6" s="13" t="s">
        <v>551</v>
      </c>
      <c r="D6" s="14" t="s">
        <v>33</v>
      </c>
      <c r="E6" s="14"/>
      <c r="F6" s="15" t="s">
        <v>552</v>
      </c>
      <c r="G6" s="9">
        <v>1</v>
      </c>
    </row>
    <row r="7" spans="1:7" x14ac:dyDescent="0.15">
      <c r="A7" s="11" t="s">
        <v>7</v>
      </c>
      <c r="B7" s="12">
        <v>1</v>
      </c>
      <c r="C7" s="13" t="s">
        <v>684</v>
      </c>
      <c r="D7" s="14" t="s">
        <v>33</v>
      </c>
      <c r="E7" s="14"/>
      <c r="F7" s="15" t="s">
        <v>685</v>
      </c>
      <c r="G7" s="9">
        <v>1</v>
      </c>
    </row>
    <row r="8" spans="1:7" x14ac:dyDescent="0.15">
      <c r="A8" s="11" t="s">
        <v>7</v>
      </c>
      <c r="B8" s="12">
        <v>1</v>
      </c>
      <c r="C8" s="13" t="s">
        <v>791</v>
      </c>
      <c r="D8" s="14" t="s">
        <v>33</v>
      </c>
      <c r="E8" s="14"/>
      <c r="F8" s="15" t="s">
        <v>685</v>
      </c>
      <c r="G8" s="9">
        <v>1</v>
      </c>
    </row>
    <row r="9" spans="1:7" x14ac:dyDescent="0.15">
      <c r="A9" s="11" t="s">
        <v>7</v>
      </c>
      <c r="B9" s="12">
        <v>1</v>
      </c>
      <c r="C9" s="9" t="s">
        <v>1316</v>
      </c>
      <c r="D9" s="14" t="s">
        <v>33</v>
      </c>
      <c r="F9" s="9" t="s">
        <v>1317</v>
      </c>
      <c r="G9" s="9">
        <v>1</v>
      </c>
    </row>
    <row r="10" spans="1:7" x14ac:dyDescent="0.15">
      <c r="A10" s="11" t="s">
        <v>7</v>
      </c>
      <c r="B10" s="9">
        <v>1</v>
      </c>
      <c r="C10" s="9" t="s">
        <v>1366</v>
      </c>
      <c r="D10" s="14" t="s">
        <v>33</v>
      </c>
      <c r="F10" s="9" t="s">
        <v>1367</v>
      </c>
      <c r="G10" s="9">
        <v>1</v>
      </c>
    </row>
  </sheetData>
  <autoFilter ref="A2:F5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108"/>
  <sheetViews>
    <sheetView tabSelected="1" topLeftCell="K1" zoomScaleNormal="100" workbookViewId="0">
      <pane ySplit="9" topLeftCell="A220" activePane="bottomLeft" state="frozen"/>
      <selection pane="bottomLeft" activeCell="Y223" sqref="Y223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0.5" style="6" bestFit="1" customWidth="1"/>
    <col min="4" max="4" width="15.375" style="6" customWidth="1"/>
    <col min="5" max="5" width="40.5" style="6" bestFit="1" customWidth="1"/>
    <col min="6" max="6" width="46.75" style="109" customWidth="1"/>
    <col min="7" max="8" width="9.75" style="6" customWidth="1"/>
    <col min="9" max="9" width="15.625" style="6" customWidth="1"/>
    <col min="10" max="11" width="12.25" style="6" customWidth="1"/>
    <col min="12" max="13" width="16.375" style="4" customWidth="1"/>
    <col min="14" max="14" width="12.875" style="4" customWidth="1"/>
    <col min="15" max="15" width="22.75" style="6" customWidth="1"/>
    <col min="16" max="16" width="26.25" style="6" customWidth="1"/>
    <col min="17" max="19" width="9" style="4" customWidth="1"/>
    <col min="20" max="16384" width="9" style="4"/>
  </cols>
  <sheetData>
    <row r="1" spans="1:20" s="1" customFormat="1" x14ac:dyDescent="0.15">
      <c r="A1" s="5" t="s">
        <v>1979</v>
      </c>
      <c r="B1" s="1" t="s">
        <v>13</v>
      </c>
      <c r="C1" s="1" t="s">
        <v>8</v>
      </c>
      <c r="F1" s="105"/>
      <c r="G1" s="1" t="s">
        <v>14</v>
      </c>
      <c r="H1" s="1" t="s">
        <v>8</v>
      </c>
      <c r="I1" s="1" t="s">
        <v>13</v>
      </c>
      <c r="J1" s="1" t="s">
        <v>8</v>
      </c>
      <c r="K1" s="1" t="s">
        <v>8</v>
      </c>
      <c r="L1" s="1" t="s">
        <v>653</v>
      </c>
      <c r="M1" s="1" t="s">
        <v>81</v>
      </c>
      <c r="N1" s="1" t="s">
        <v>81</v>
      </c>
      <c r="Q1" s="1" t="s">
        <v>117</v>
      </c>
    </row>
    <row r="2" spans="1:20" s="1" customFormat="1" x14ac:dyDescent="0.15">
      <c r="A2" s="5" t="s">
        <v>15</v>
      </c>
      <c r="B2" s="1" t="s">
        <v>8</v>
      </c>
      <c r="C2" s="1" t="s">
        <v>8</v>
      </c>
      <c r="D2" s="1" t="s">
        <v>8</v>
      </c>
      <c r="E2" s="1" t="s">
        <v>8</v>
      </c>
      <c r="F2" s="105" t="s">
        <v>8</v>
      </c>
      <c r="G2" s="1" t="s">
        <v>8</v>
      </c>
      <c r="H2" s="1" t="s">
        <v>8</v>
      </c>
      <c r="I2" s="1" t="s">
        <v>8</v>
      </c>
      <c r="J2" s="1" t="s">
        <v>8</v>
      </c>
      <c r="K2" s="1" t="s">
        <v>8</v>
      </c>
      <c r="L2" s="1" t="s">
        <v>8</v>
      </c>
      <c r="M2" s="1" t="s">
        <v>81</v>
      </c>
      <c r="N2" s="1" t="s">
        <v>81</v>
      </c>
      <c r="P2" s="1" t="s">
        <v>8</v>
      </c>
      <c r="Q2" s="1" t="s">
        <v>117</v>
      </c>
      <c r="R2" s="1" t="s">
        <v>8</v>
      </c>
      <c r="S2" s="1" t="s">
        <v>1057</v>
      </c>
      <c r="T2" s="1" t="s">
        <v>13</v>
      </c>
    </row>
    <row r="3" spans="1:20" s="2" customFormat="1" ht="14.25" x14ac:dyDescent="0.15">
      <c r="A3" s="16" t="s">
        <v>8</v>
      </c>
      <c r="B3" s="16" t="s">
        <v>9</v>
      </c>
      <c r="C3" s="16" t="s">
        <v>18</v>
      </c>
      <c r="D3" s="16" t="s">
        <v>10</v>
      </c>
      <c r="E3" s="84" t="s">
        <v>62</v>
      </c>
      <c r="F3" s="106" t="s">
        <v>19</v>
      </c>
      <c r="G3" s="16" t="s">
        <v>20</v>
      </c>
      <c r="H3" s="16" t="s">
        <v>18</v>
      </c>
      <c r="I3" s="16" t="s">
        <v>19</v>
      </c>
      <c r="J3" s="16" t="s">
        <v>18</v>
      </c>
      <c r="K3" s="16" t="s">
        <v>18</v>
      </c>
      <c r="L3" s="16" t="s">
        <v>18</v>
      </c>
      <c r="M3" s="16" t="s">
        <v>82</v>
      </c>
      <c r="N3" s="2" t="s">
        <v>82</v>
      </c>
      <c r="O3" s="16" t="s">
        <v>62</v>
      </c>
      <c r="P3" s="16" t="s">
        <v>62</v>
      </c>
      <c r="Q3" s="2" t="s">
        <v>118</v>
      </c>
      <c r="R3" s="52" t="s">
        <v>631</v>
      </c>
      <c r="S3" s="52" t="s">
        <v>631</v>
      </c>
      <c r="T3" s="52" t="s">
        <v>19</v>
      </c>
    </row>
    <row r="4" spans="1:20" s="2" customFormat="1" ht="14.25" x14ac:dyDescent="0.15">
      <c r="A4" s="16"/>
      <c r="B4" s="16" t="s">
        <v>12</v>
      </c>
      <c r="C4" s="16" t="s">
        <v>21</v>
      </c>
      <c r="D4" s="16" t="s">
        <v>22</v>
      </c>
      <c r="E4" s="84" t="s">
        <v>1697</v>
      </c>
      <c r="F4" s="106" t="s">
        <v>23</v>
      </c>
      <c r="G4" s="16" t="s">
        <v>24</v>
      </c>
      <c r="H4" s="16" t="s">
        <v>34</v>
      </c>
      <c r="I4" s="16" t="s">
        <v>40</v>
      </c>
      <c r="J4" s="16" t="s">
        <v>35</v>
      </c>
      <c r="K4" s="16" t="s">
        <v>37</v>
      </c>
      <c r="L4" s="3" t="s">
        <v>63</v>
      </c>
      <c r="M4" s="3" t="s">
        <v>83</v>
      </c>
      <c r="N4" s="2" t="s">
        <v>85</v>
      </c>
      <c r="O4" s="16" t="s">
        <v>92</v>
      </c>
      <c r="P4" s="2" t="s">
        <v>101</v>
      </c>
      <c r="Q4" s="2" t="s">
        <v>119</v>
      </c>
      <c r="R4" s="52" t="s">
        <v>632</v>
      </c>
      <c r="S4" s="52" t="s">
        <v>1058</v>
      </c>
      <c r="T4" s="52" t="s">
        <v>1582</v>
      </c>
    </row>
    <row r="5" spans="1:20" s="2" customFormat="1" ht="14.25" x14ac:dyDescent="0.15">
      <c r="A5" s="16"/>
      <c r="B5" s="16" t="str">
        <f>IF(B3="","",IF(B3="INT","i",IF(B3="FLOAT","f",IF(B3="STRING","s"))))</f>
        <v>i</v>
      </c>
      <c r="C5" s="16" t="s">
        <v>25</v>
      </c>
      <c r="D5" s="16" t="str">
        <f>IF(D3="","",IF(D3="INT","i",IF(D3="FLOAT","f",IF(D3="STRING","s"))))</f>
        <v>s</v>
      </c>
      <c r="E5" s="84" t="str">
        <f>IF(E3="","",IF(E3="INT","i",IF(E3="FLOAT","f",IF(E3="STRING","s"))))</f>
        <v>s</v>
      </c>
      <c r="F5" s="106" t="s">
        <v>26</v>
      </c>
      <c r="G5" s="16" t="s">
        <v>27</v>
      </c>
      <c r="H5" s="16" t="s">
        <v>25</v>
      </c>
      <c r="I5" s="16" t="s">
        <v>26</v>
      </c>
      <c r="J5" s="16" t="s">
        <v>25</v>
      </c>
      <c r="K5" s="16" t="s">
        <v>25</v>
      </c>
      <c r="L5" s="16" t="s">
        <v>25</v>
      </c>
      <c r="M5" s="16" t="s">
        <v>84</v>
      </c>
      <c r="N5" s="2" t="s">
        <v>84</v>
      </c>
      <c r="O5" s="16" t="str">
        <f>IF(O3="","",IF(O3="INT","i",IF(O3="FLOAT","f",IF(O3="STRING","s"))))</f>
        <v>s</v>
      </c>
      <c r="P5" s="16" t="str">
        <f>IF(P3="","",IF(P3="INT","i",IF(P3="FLOAT","f",IF(P3="STRING","s"))))</f>
        <v>s</v>
      </c>
      <c r="Q5" s="2" t="s">
        <v>120</v>
      </c>
      <c r="R5" s="52" t="s">
        <v>633</v>
      </c>
      <c r="S5" s="52" t="s">
        <v>633</v>
      </c>
      <c r="T5" s="52" t="s">
        <v>26</v>
      </c>
    </row>
    <row r="6" spans="1:20" s="2" customFormat="1" ht="14.25" x14ac:dyDescent="0.15">
      <c r="A6" s="16" t="s">
        <v>8</v>
      </c>
      <c r="B6" s="16" t="str">
        <f t="shared" ref="B6:G6" si="0">B5&amp;B4</f>
        <v>iID</v>
      </c>
      <c r="C6" s="16" t="str">
        <f>C5&amp;C4</f>
        <v>iItemType</v>
      </c>
      <c r="D6" s="16" t="str">
        <f>D5&amp;D4</f>
        <v>sName</v>
      </c>
      <c r="E6" s="84" t="str">
        <f>E5&amp;E4</f>
        <v>sIcon</v>
      </c>
      <c r="F6" s="106" t="str">
        <f t="shared" si="0"/>
        <v>sDec</v>
      </c>
      <c r="G6" s="16" t="str">
        <f t="shared" si="0"/>
        <v>sTime</v>
      </c>
      <c r="H6" s="16" t="str">
        <f>H5&amp;H4</f>
        <v>iPrice</v>
      </c>
      <c r="I6" s="16" t="str">
        <f>I5&amp;I4</f>
        <v>sSellAward</v>
      </c>
      <c r="J6" s="16" t="str">
        <f>J5&amp;J4</f>
        <v>isellable</v>
      </c>
      <c r="K6" s="16" t="str">
        <f>K5&amp;K4</f>
        <v>iPriceFormulatioin</v>
      </c>
      <c r="L6" s="2" t="s">
        <v>64</v>
      </c>
      <c r="M6" s="2" t="str">
        <f t="shared" ref="M6:R6" si="1">M5&amp;M4</f>
        <v>iUseType</v>
      </c>
      <c r="N6" s="2" t="str">
        <f t="shared" si="1"/>
        <v>iSubItemType</v>
      </c>
      <c r="O6" s="16" t="str">
        <f t="shared" si="1"/>
        <v>sBigIcon</v>
      </c>
      <c r="P6" s="16" t="str">
        <f t="shared" si="1"/>
        <v>sItemQuality</v>
      </c>
      <c r="Q6" s="2" t="str">
        <f t="shared" si="1"/>
        <v>iLimitCnt</v>
      </c>
      <c r="R6" s="52" t="str">
        <f t="shared" si="1"/>
        <v>sJumpTo</v>
      </c>
      <c r="S6" s="52" t="str">
        <f>S5&amp;S4</f>
        <v>sSource</v>
      </c>
      <c r="T6" s="52" t="str">
        <f>T5&amp;T4</f>
        <v>sOptionalGift</v>
      </c>
    </row>
    <row r="7" spans="1:20" s="3" customFormat="1" ht="20.25" customHeight="1" x14ac:dyDescent="0.15">
      <c r="A7" s="16"/>
      <c r="B7" s="16" t="s">
        <v>28</v>
      </c>
      <c r="C7" s="51" t="s">
        <v>213</v>
      </c>
      <c r="D7" s="16" t="s">
        <v>29</v>
      </c>
      <c r="E7" s="84" t="s">
        <v>1698</v>
      </c>
      <c r="F7" s="106" t="s">
        <v>30</v>
      </c>
      <c r="G7" s="16" t="s">
        <v>31</v>
      </c>
      <c r="H7" s="16" t="s">
        <v>39</v>
      </c>
      <c r="I7" s="52" t="s">
        <v>214</v>
      </c>
      <c r="J7" s="16" t="s">
        <v>36</v>
      </c>
      <c r="K7" s="16" t="s">
        <v>38</v>
      </c>
      <c r="L7" s="3" t="s">
        <v>65</v>
      </c>
      <c r="M7" s="26" t="s">
        <v>2061</v>
      </c>
      <c r="N7" s="26" t="s">
        <v>2062</v>
      </c>
      <c r="O7" s="16" t="s">
        <v>61</v>
      </c>
      <c r="P7" s="16" t="s">
        <v>102</v>
      </c>
      <c r="Q7" s="3" t="s">
        <v>121</v>
      </c>
      <c r="R7" s="52" t="s">
        <v>1127</v>
      </c>
      <c r="S7" s="3" t="s">
        <v>1059</v>
      </c>
      <c r="T7" s="3" t="s">
        <v>2024</v>
      </c>
    </row>
    <row r="8" spans="1:20" s="3" customFormat="1" ht="14.25" x14ac:dyDescent="0.15">
      <c r="A8" s="16" t="s">
        <v>11</v>
      </c>
      <c r="B8" s="16" t="e">
        <f>MODE(B10:B1521)</f>
        <v>#N/A</v>
      </c>
      <c r="C8" s="16">
        <v>0</v>
      </c>
      <c r="D8" s="16"/>
      <c r="E8" s="84"/>
      <c r="F8" s="106"/>
      <c r="G8" s="16"/>
      <c r="H8" s="16">
        <v>1</v>
      </c>
      <c r="I8" s="16"/>
      <c r="J8" s="16">
        <v>0</v>
      </c>
      <c r="K8" s="16">
        <v>0</v>
      </c>
      <c r="L8" s="3">
        <v>0</v>
      </c>
      <c r="M8" s="3">
        <v>0</v>
      </c>
      <c r="N8" s="3">
        <v>0</v>
      </c>
      <c r="O8" s="16"/>
      <c r="P8" s="2"/>
      <c r="Q8" s="3">
        <v>0</v>
      </c>
      <c r="R8" s="52"/>
    </row>
    <row r="9" spans="1:20" s="57" customFormat="1" ht="18" customHeight="1" x14ac:dyDescent="0.15">
      <c r="A9" s="55"/>
      <c r="B9" s="55"/>
      <c r="C9" s="56" t="s">
        <v>1579</v>
      </c>
      <c r="D9" s="55"/>
      <c r="E9" s="89"/>
      <c r="F9" s="107"/>
      <c r="G9" s="55"/>
      <c r="H9" s="55"/>
      <c r="I9" s="56" t="s">
        <v>2063</v>
      </c>
      <c r="J9" s="56" t="s">
        <v>553</v>
      </c>
      <c r="K9" s="55" t="s">
        <v>634</v>
      </c>
      <c r="N9" s="56" t="s">
        <v>2040</v>
      </c>
      <c r="O9" s="55"/>
      <c r="P9" s="58"/>
      <c r="R9" s="56" t="s">
        <v>2132</v>
      </c>
      <c r="T9" s="57" t="s">
        <v>2025</v>
      </c>
    </row>
    <row r="10" spans="1:20" ht="14.25" x14ac:dyDescent="0.15">
      <c r="A10" s="17" t="s">
        <v>8</v>
      </c>
      <c r="B10" s="18">
        <v>1</v>
      </c>
      <c r="C10" s="18">
        <v>1</v>
      </c>
      <c r="D10" s="19" t="s">
        <v>32</v>
      </c>
      <c r="E10" s="85" t="s">
        <v>1699</v>
      </c>
      <c r="F10" s="108" t="s">
        <v>2032</v>
      </c>
      <c r="G10" s="21"/>
      <c r="H10" s="19"/>
      <c r="I10" s="22"/>
      <c r="J10" s="20">
        <v>0</v>
      </c>
      <c r="K10" s="19"/>
      <c r="L10" s="4">
        <v>5</v>
      </c>
      <c r="N10" s="7"/>
      <c r="O10" s="19"/>
      <c r="P10" s="6" t="s">
        <v>793</v>
      </c>
    </row>
    <row r="11" spans="1:20" ht="14.25" x14ac:dyDescent="0.15">
      <c r="A11" s="17" t="s">
        <v>8</v>
      </c>
      <c r="B11" s="18">
        <v>2</v>
      </c>
      <c r="C11" s="18">
        <v>1</v>
      </c>
      <c r="D11" s="20" t="s">
        <v>711</v>
      </c>
      <c r="E11" s="86" t="s">
        <v>1700</v>
      </c>
      <c r="F11" s="108" t="s">
        <v>2031</v>
      </c>
      <c r="G11" s="21"/>
      <c r="H11" s="20"/>
      <c r="I11" s="22"/>
      <c r="J11" s="20">
        <v>0</v>
      </c>
      <c r="K11" s="20"/>
      <c r="L11" s="4">
        <v>5</v>
      </c>
      <c r="N11" s="7"/>
      <c r="O11" s="20"/>
      <c r="P11" s="6" t="s">
        <v>793</v>
      </c>
    </row>
    <row r="12" spans="1:20" ht="14.25" x14ac:dyDescent="0.15">
      <c r="A12" s="17"/>
      <c r="B12" s="18">
        <v>3</v>
      </c>
      <c r="C12" s="18"/>
      <c r="D12" s="20" t="s">
        <v>680</v>
      </c>
      <c r="E12" s="86"/>
      <c r="F12" s="108"/>
      <c r="G12" s="21"/>
      <c r="H12" s="20"/>
      <c r="I12" s="22"/>
      <c r="J12" s="20"/>
      <c r="K12" s="20"/>
      <c r="N12" s="7"/>
      <c r="O12" s="20"/>
      <c r="P12" s="6" t="s">
        <v>794</v>
      </c>
    </row>
    <row r="13" spans="1:20" ht="14.25" x14ac:dyDescent="0.15">
      <c r="A13" s="17"/>
      <c r="B13" s="18">
        <v>4</v>
      </c>
      <c r="C13" s="18"/>
      <c r="D13" s="20" t="s">
        <v>680</v>
      </c>
      <c r="E13" s="86"/>
      <c r="F13" s="108"/>
      <c r="G13" s="21"/>
      <c r="H13" s="20"/>
      <c r="I13" s="22"/>
      <c r="J13" s="20"/>
      <c r="K13" s="20"/>
      <c r="N13" s="7"/>
      <c r="O13" s="20"/>
      <c r="P13" s="6" t="s">
        <v>794</v>
      </c>
    </row>
    <row r="14" spans="1:20" ht="14.25" x14ac:dyDescent="0.15">
      <c r="A14" s="17" t="s">
        <v>8</v>
      </c>
      <c r="B14" s="18">
        <v>5</v>
      </c>
      <c r="C14" s="18">
        <v>1</v>
      </c>
      <c r="D14" s="20" t="s">
        <v>810</v>
      </c>
      <c r="E14" s="86" t="s">
        <v>1701</v>
      </c>
      <c r="F14" s="108" t="s">
        <v>1053</v>
      </c>
      <c r="G14" s="21"/>
      <c r="H14" s="20"/>
      <c r="I14" s="22"/>
      <c r="J14" s="20">
        <v>0</v>
      </c>
      <c r="K14" s="20"/>
      <c r="L14" s="4">
        <v>5</v>
      </c>
      <c r="N14" s="7"/>
      <c r="O14" s="20"/>
      <c r="P14" s="6" t="s">
        <v>793</v>
      </c>
    </row>
    <row r="15" spans="1:20" ht="14.25" x14ac:dyDescent="0.15">
      <c r="A15" s="17"/>
      <c r="B15" s="18">
        <v>6</v>
      </c>
      <c r="C15" s="18"/>
      <c r="D15" s="20" t="s">
        <v>680</v>
      </c>
      <c r="E15" s="86"/>
      <c r="F15" s="108"/>
      <c r="G15" s="21"/>
      <c r="H15" s="20"/>
      <c r="I15" s="22"/>
      <c r="J15" s="20"/>
      <c r="K15" s="20"/>
      <c r="N15" s="7"/>
      <c r="O15" s="20"/>
      <c r="P15" s="6" t="s">
        <v>794</v>
      </c>
    </row>
    <row r="16" spans="1:20" ht="14.25" x14ac:dyDescent="0.15">
      <c r="A16" s="17"/>
      <c r="B16" s="18">
        <v>7</v>
      </c>
      <c r="C16" s="18"/>
      <c r="D16" s="20" t="s">
        <v>680</v>
      </c>
      <c r="E16" s="86"/>
      <c r="F16" s="108"/>
      <c r="G16" s="21"/>
      <c r="H16" s="20"/>
      <c r="I16" s="22"/>
      <c r="J16" s="20"/>
      <c r="K16" s="20"/>
      <c r="N16" s="7"/>
      <c r="O16" s="20"/>
      <c r="P16" s="6" t="s">
        <v>794</v>
      </c>
    </row>
    <row r="17" spans="1:19" ht="14.25" x14ac:dyDescent="0.15">
      <c r="A17" s="17"/>
      <c r="B17" s="18">
        <v>8</v>
      </c>
      <c r="C17" s="18"/>
      <c r="D17" s="20" t="s">
        <v>680</v>
      </c>
      <c r="E17" s="86"/>
      <c r="F17" s="108"/>
      <c r="G17" s="21"/>
      <c r="H17" s="20"/>
      <c r="I17" s="22"/>
      <c r="J17" s="20"/>
      <c r="K17" s="20"/>
      <c r="N17" s="7"/>
      <c r="O17" s="20"/>
      <c r="P17" s="6" t="s">
        <v>794</v>
      </c>
    </row>
    <row r="18" spans="1:19" ht="14.25" x14ac:dyDescent="0.15">
      <c r="A18" s="17"/>
      <c r="B18" s="18">
        <v>9</v>
      </c>
      <c r="C18" s="18"/>
      <c r="D18" s="20" t="s">
        <v>680</v>
      </c>
      <c r="E18" s="86"/>
      <c r="F18" s="108"/>
      <c r="G18" s="21"/>
      <c r="H18" s="20"/>
      <c r="I18" s="22"/>
      <c r="J18" s="20"/>
      <c r="K18" s="20"/>
      <c r="N18" s="7"/>
      <c r="O18" s="20"/>
      <c r="P18" s="6" t="s">
        <v>794</v>
      </c>
    </row>
    <row r="19" spans="1:19" ht="14.25" x14ac:dyDescent="0.15">
      <c r="A19" s="17" t="s">
        <v>165</v>
      </c>
      <c r="B19" s="18">
        <v>10</v>
      </c>
      <c r="C19" s="18">
        <v>1</v>
      </c>
      <c r="D19" s="20" t="s">
        <v>693</v>
      </c>
      <c r="E19" s="86" t="s">
        <v>240</v>
      </c>
      <c r="F19" s="108" t="s">
        <v>1976</v>
      </c>
      <c r="G19" s="21"/>
      <c r="H19" s="20"/>
      <c r="I19" s="22"/>
      <c r="J19" s="20">
        <v>0</v>
      </c>
      <c r="K19" s="20"/>
      <c r="L19" s="4">
        <v>5</v>
      </c>
      <c r="N19" s="7"/>
      <c r="O19" s="20"/>
      <c r="P19" s="6" t="s">
        <v>793</v>
      </c>
    </row>
    <row r="20" spans="1:19" ht="14.25" x14ac:dyDescent="0.15">
      <c r="A20" s="17" t="s">
        <v>13</v>
      </c>
      <c r="B20" s="18">
        <v>11</v>
      </c>
      <c r="C20" s="18">
        <v>1</v>
      </c>
      <c r="D20" s="20" t="s">
        <v>811</v>
      </c>
      <c r="E20" s="87"/>
      <c r="F20" s="108"/>
      <c r="G20" s="21"/>
      <c r="H20" s="20"/>
      <c r="I20" s="22"/>
      <c r="J20" s="20">
        <v>0</v>
      </c>
      <c r="K20" s="20"/>
      <c r="N20" s="7"/>
      <c r="O20" s="20"/>
      <c r="P20" s="6" t="s">
        <v>794</v>
      </c>
    </row>
    <row r="21" spans="1:19" ht="14.25" x14ac:dyDescent="0.15">
      <c r="A21" s="17" t="s">
        <v>13</v>
      </c>
      <c r="B21" s="18">
        <v>12</v>
      </c>
      <c r="C21" s="18">
        <v>1</v>
      </c>
      <c r="D21" s="20" t="s">
        <v>812</v>
      </c>
      <c r="E21" s="87"/>
      <c r="F21" s="108"/>
      <c r="G21" s="21"/>
      <c r="H21" s="20"/>
      <c r="I21" s="22"/>
      <c r="J21" s="20">
        <v>0</v>
      </c>
      <c r="K21" s="20"/>
      <c r="N21" s="7"/>
      <c r="O21" s="20"/>
      <c r="P21" s="6" t="s">
        <v>794</v>
      </c>
    </row>
    <row r="22" spans="1:19" ht="14.25" x14ac:dyDescent="0.15">
      <c r="A22" s="17" t="s">
        <v>13</v>
      </c>
      <c r="B22" s="18">
        <v>13</v>
      </c>
      <c r="C22" s="18">
        <v>1</v>
      </c>
      <c r="D22" s="20" t="s">
        <v>813</v>
      </c>
      <c r="E22" s="87"/>
      <c r="F22" s="108"/>
      <c r="G22" s="21"/>
      <c r="H22" s="20"/>
      <c r="I22" s="22"/>
      <c r="J22" s="20">
        <v>0</v>
      </c>
      <c r="K22" s="20"/>
      <c r="N22" s="7"/>
      <c r="O22" s="20"/>
      <c r="P22" s="6" t="s">
        <v>794</v>
      </c>
    </row>
    <row r="23" spans="1:19" ht="14.25" x14ac:dyDescent="0.15">
      <c r="A23" s="17" t="s">
        <v>13</v>
      </c>
      <c r="B23" s="18">
        <v>14</v>
      </c>
      <c r="C23" s="18">
        <v>1</v>
      </c>
      <c r="D23" s="20" t="s">
        <v>1586</v>
      </c>
      <c r="E23" s="86" t="s">
        <v>1702</v>
      </c>
      <c r="F23" s="108" t="s">
        <v>1587</v>
      </c>
      <c r="G23" s="21"/>
      <c r="H23" s="20"/>
      <c r="I23" s="22"/>
      <c r="J23" s="20">
        <v>0</v>
      </c>
      <c r="K23" s="20"/>
      <c r="N23" s="7"/>
      <c r="O23" s="20"/>
      <c r="P23" s="6" t="s">
        <v>794</v>
      </c>
    </row>
    <row r="24" spans="1:19" ht="14.25" x14ac:dyDescent="0.15">
      <c r="A24" s="17" t="s">
        <v>13</v>
      </c>
      <c r="B24" s="18">
        <v>15</v>
      </c>
      <c r="C24" s="18">
        <v>1</v>
      </c>
      <c r="D24" s="20" t="s">
        <v>1588</v>
      </c>
      <c r="E24" s="86" t="s">
        <v>1703</v>
      </c>
      <c r="F24" s="108" t="s">
        <v>1590</v>
      </c>
      <c r="G24" s="21"/>
      <c r="H24" s="20"/>
      <c r="I24" s="22"/>
      <c r="J24" s="20">
        <v>0</v>
      </c>
      <c r="K24" s="20"/>
      <c r="N24" s="7"/>
      <c r="O24" s="20"/>
      <c r="P24" s="6" t="s">
        <v>793</v>
      </c>
    </row>
    <row r="25" spans="1:19" ht="14.25" x14ac:dyDescent="0.15">
      <c r="A25" s="17"/>
      <c r="B25" s="18">
        <v>200</v>
      </c>
      <c r="C25" s="18"/>
      <c r="D25" s="20" t="s">
        <v>559</v>
      </c>
      <c r="E25" s="87"/>
      <c r="F25" s="108"/>
      <c r="G25" s="21"/>
      <c r="H25" s="20"/>
      <c r="I25" s="22"/>
      <c r="J25" s="20"/>
      <c r="K25" s="20"/>
      <c r="N25" s="7"/>
      <c r="O25" s="20"/>
      <c r="P25" s="6" t="s">
        <v>794</v>
      </c>
    </row>
    <row r="26" spans="1:19" ht="14.25" x14ac:dyDescent="0.15">
      <c r="A26" s="17" t="s">
        <v>8</v>
      </c>
      <c r="B26" s="6">
        <v>201</v>
      </c>
      <c r="C26" s="23">
        <v>2</v>
      </c>
      <c r="D26" s="83" t="s">
        <v>153</v>
      </c>
      <c r="E26" s="6" t="s">
        <v>1704</v>
      </c>
      <c r="H26" s="23">
        <v>200</v>
      </c>
      <c r="I26" s="23"/>
      <c r="J26" s="23">
        <v>0</v>
      </c>
      <c r="L26" s="4">
        <v>4</v>
      </c>
      <c r="O26" s="24"/>
      <c r="P26" s="6" t="s">
        <v>795</v>
      </c>
    </row>
    <row r="27" spans="1:19" ht="14.25" x14ac:dyDescent="0.15">
      <c r="A27" s="17" t="s">
        <v>8</v>
      </c>
      <c r="B27" s="6">
        <v>202</v>
      </c>
      <c r="C27" s="23">
        <v>2</v>
      </c>
      <c r="D27" s="83" t="s">
        <v>41</v>
      </c>
      <c r="E27" s="6" t="s">
        <v>1704</v>
      </c>
      <c r="H27" s="23">
        <v>300</v>
      </c>
      <c r="I27" s="23"/>
      <c r="J27" s="23">
        <v>0</v>
      </c>
      <c r="L27" s="4">
        <v>2</v>
      </c>
      <c r="O27" s="24"/>
      <c r="P27" s="6" t="s">
        <v>796</v>
      </c>
    </row>
    <row r="28" spans="1:19" ht="14.25" x14ac:dyDescent="0.15">
      <c r="A28" s="17" t="s">
        <v>8</v>
      </c>
      <c r="B28" s="6">
        <v>203</v>
      </c>
      <c r="C28" s="23">
        <v>2</v>
      </c>
      <c r="D28" s="6" t="s">
        <v>1375</v>
      </c>
      <c r="E28" s="6" t="s">
        <v>1705</v>
      </c>
      <c r="H28" s="23">
        <v>400</v>
      </c>
      <c r="I28" s="23"/>
      <c r="J28" s="23">
        <v>0</v>
      </c>
      <c r="L28" s="4">
        <v>2</v>
      </c>
      <c r="O28" s="24"/>
      <c r="P28" s="6" t="s">
        <v>796</v>
      </c>
      <c r="R28" s="4">
        <v>26</v>
      </c>
      <c r="S28" s="4">
        <v>19</v>
      </c>
    </row>
    <row r="29" spans="1:19" ht="14.25" x14ac:dyDescent="0.15">
      <c r="A29" s="17" t="s">
        <v>8</v>
      </c>
      <c r="B29" s="6">
        <v>204</v>
      </c>
      <c r="C29" s="23">
        <v>2</v>
      </c>
      <c r="D29" s="6" t="s">
        <v>2155</v>
      </c>
      <c r="E29" s="6" t="s">
        <v>1704</v>
      </c>
      <c r="H29" s="23">
        <v>500</v>
      </c>
      <c r="I29" s="23"/>
      <c r="J29" s="23">
        <v>0</v>
      </c>
      <c r="L29" s="4">
        <v>2</v>
      </c>
      <c r="O29" s="24"/>
      <c r="P29" s="6" t="s">
        <v>796</v>
      </c>
    </row>
    <row r="30" spans="1:19" ht="14.25" x14ac:dyDescent="0.15">
      <c r="A30" s="17" t="s">
        <v>8</v>
      </c>
      <c r="B30" s="6">
        <v>205</v>
      </c>
      <c r="C30" s="23">
        <v>2</v>
      </c>
      <c r="D30" s="83" t="s">
        <v>93</v>
      </c>
      <c r="E30" s="6" t="s">
        <v>1704</v>
      </c>
      <c r="H30" s="23">
        <v>400</v>
      </c>
      <c r="I30" s="23"/>
      <c r="J30" s="23">
        <v>0</v>
      </c>
      <c r="L30" s="4">
        <v>4</v>
      </c>
      <c r="O30" s="24"/>
      <c r="P30" s="6" t="s">
        <v>795</v>
      </c>
    </row>
    <row r="31" spans="1:19" ht="14.25" x14ac:dyDescent="0.15">
      <c r="A31" s="17" t="s">
        <v>8</v>
      </c>
      <c r="B31" s="6">
        <v>206</v>
      </c>
      <c r="C31" s="23">
        <v>2</v>
      </c>
      <c r="D31" s="83" t="s">
        <v>94</v>
      </c>
      <c r="E31" s="6" t="s">
        <v>1704</v>
      </c>
      <c r="H31" s="23">
        <v>500</v>
      </c>
      <c r="I31" s="23"/>
      <c r="J31" s="23">
        <v>0</v>
      </c>
      <c r="L31" s="4">
        <v>5</v>
      </c>
      <c r="O31" s="24"/>
      <c r="P31" s="6" t="s">
        <v>793</v>
      </c>
    </row>
    <row r="32" spans="1:19" ht="14.25" x14ac:dyDescent="0.15">
      <c r="A32" s="17" t="s">
        <v>8</v>
      </c>
      <c r="B32" s="6">
        <v>207</v>
      </c>
      <c r="C32" s="23">
        <v>2</v>
      </c>
      <c r="D32" s="6" t="s">
        <v>688</v>
      </c>
      <c r="E32" s="6" t="s">
        <v>239</v>
      </c>
      <c r="F32" s="109" t="s">
        <v>1589</v>
      </c>
      <c r="H32" s="23">
        <v>400</v>
      </c>
      <c r="I32" s="23"/>
      <c r="J32" s="23">
        <v>0</v>
      </c>
      <c r="L32" s="4">
        <v>4</v>
      </c>
      <c r="O32"/>
      <c r="P32" s="6" t="s">
        <v>795</v>
      </c>
      <c r="R32" s="4">
        <v>6</v>
      </c>
      <c r="S32" s="4">
        <v>12</v>
      </c>
    </row>
    <row r="33" spans="1:19" ht="14.25" x14ac:dyDescent="0.15">
      <c r="A33" s="17" t="s">
        <v>8</v>
      </c>
      <c r="B33" s="6">
        <v>208</v>
      </c>
      <c r="C33" s="23">
        <v>2</v>
      </c>
      <c r="D33" s="6" t="s">
        <v>95</v>
      </c>
      <c r="E33" s="6" t="s">
        <v>1706</v>
      </c>
      <c r="F33" s="109" t="s">
        <v>1977</v>
      </c>
      <c r="H33" s="23">
        <v>500</v>
      </c>
      <c r="I33" s="23"/>
      <c r="J33" s="23">
        <v>0</v>
      </c>
      <c r="L33" s="4">
        <v>5</v>
      </c>
      <c r="O33"/>
      <c r="P33" s="6" t="s">
        <v>793</v>
      </c>
      <c r="R33" s="4">
        <v>6</v>
      </c>
      <c r="S33" s="4">
        <v>12</v>
      </c>
    </row>
    <row r="34" spans="1:19" x14ac:dyDescent="0.15">
      <c r="A34" s="4" t="s">
        <v>215</v>
      </c>
      <c r="B34" s="50">
        <v>209</v>
      </c>
      <c r="C34" s="6">
        <v>2</v>
      </c>
      <c r="D34" s="83" t="s">
        <v>216</v>
      </c>
      <c r="E34" s="6" t="s">
        <v>1707</v>
      </c>
      <c r="F34" s="109" t="s">
        <v>655</v>
      </c>
      <c r="J34" s="6">
        <v>0</v>
      </c>
      <c r="L34" s="4">
        <v>1</v>
      </c>
      <c r="P34" s="6" t="s">
        <v>792</v>
      </c>
    </row>
    <row r="35" spans="1:19" x14ac:dyDescent="0.15">
      <c r="A35" s="4" t="s">
        <v>215</v>
      </c>
      <c r="B35" s="50">
        <v>210</v>
      </c>
      <c r="C35" s="6">
        <v>2</v>
      </c>
      <c r="D35" s="83" t="s">
        <v>217</v>
      </c>
      <c r="E35" s="6" t="s">
        <v>1708</v>
      </c>
      <c r="F35" s="109" t="s">
        <v>220</v>
      </c>
      <c r="J35" s="6">
        <v>0</v>
      </c>
      <c r="L35" s="4">
        <v>2</v>
      </c>
      <c r="P35" s="6" t="s">
        <v>796</v>
      </c>
    </row>
    <row r="36" spans="1:19" x14ac:dyDescent="0.15">
      <c r="A36" s="4" t="s">
        <v>218</v>
      </c>
      <c r="B36" s="50">
        <v>211</v>
      </c>
      <c r="C36" s="6">
        <v>2</v>
      </c>
      <c r="D36" s="83" t="s">
        <v>219</v>
      </c>
      <c r="E36" s="6" t="s">
        <v>1709</v>
      </c>
      <c r="F36" s="109" t="s">
        <v>221</v>
      </c>
      <c r="J36" s="6">
        <v>0</v>
      </c>
      <c r="L36" s="4">
        <v>3</v>
      </c>
      <c r="P36" s="6" t="s">
        <v>797</v>
      </c>
    </row>
    <row r="37" spans="1:19" x14ac:dyDescent="0.15">
      <c r="A37" s="4" t="s">
        <v>13</v>
      </c>
      <c r="B37" s="50">
        <v>212</v>
      </c>
      <c r="C37" s="23">
        <v>2</v>
      </c>
      <c r="D37" s="83" t="s">
        <v>798</v>
      </c>
      <c r="E37" s="6" t="s">
        <v>1710</v>
      </c>
      <c r="F37" s="109" t="s">
        <v>1052</v>
      </c>
      <c r="H37" s="23">
        <v>400</v>
      </c>
      <c r="I37" s="23"/>
      <c r="J37" s="23">
        <v>0</v>
      </c>
      <c r="L37" s="4">
        <v>4</v>
      </c>
      <c r="O37"/>
      <c r="P37" s="6" t="s">
        <v>795</v>
      </c>
    </row>
    <row r="38" spans="1:19" x14ac:dyDescent="0.15">
      <c r="A38" s="4" t="s">
        <v>809</v>
      </c>
      <c r="B38" s="50">
        <v>301</v>
      </c>
      <c r="C38" s="6">
        <v>2</v>
      </c>
      <c r="D38" s="6" t="s">
        <v>694</v>
      </c>
      <c r="E38" s="54" t="s">
        <v>695</v>
      </c>
      <c r="F38" s="109" t="s">
        <v>808</v>
      </c>
      <c r="J38" s="6">
        <v>0</v>
      </c>
      <c r="L38" s="4">
        <v>3</v>
      </c>
      <c r="N38" s="7"/>
      <c r="P38" s="6" t="s">
        <v>797</v>
      </c>
      <c r="R38" s="4">
        <v>1</v>
      </c>
      <c r="S38" s="4">
        <v>26</v>
      </c>
    </row>
    <row r="39" spans="1:19" x14ac:dyDescent="0.15">
      <c r="A39" s="4" t="s">
        <v>13</v>
      </c>
      <c r="B39" s="50">
        <v>302</v>
      </c>
      <c r="C39" s="6">
        <v>2</v>
      </c>
      <c r="D39" s="83" t="s">
        <v>694</v>
      </c>
      <c r="E39" s="54" t="s">
        <v>695</v>
      </c>
      <c r="F39" s="109" t="s">
        <v>696</v>
      </c>
      <c r="J39" s="6">
        <v>0</v>
      </c>
      <c r="L39" s="4">
        <v>3</v>
      </c>
      <c r="N39" s="7"/>
      <c r="P39" s="6" t="s">
        <v>797</v>
      </c>
      <c r="R39" s="4">
        <v>1</v>
      </c>
      <c r="S39" s="4">
        <v>25</v>
      </c>
    </row>
    <row r="40" spans="1:19" x14ac:dyDescent="0.15">
      <c r="A40" s="4" t="s">
        <v>13</v>
      </c>
      <c r="B40" s="50">
        <v>303</v>
      </c>
      <c r="C40" s="6">
        <v>2</v>
      </c>
      <c r="D40" s="83" t="s">
        <v>694</v>
      </c>
      <c r="E40" s="54" t="s">
        <v>695</v>
      </c>
      <c r="F40" s="109" t="s">
        <v>697</v>
      </c>
      <c r="J40" s="6">
        <v>0</v>
      </c>
      <c r="L40" s="4">
        <v>3</v>
      </c>
      <c r="N40" s="7"/>
      <c r="P40" s="6" t="s">
        <v>797</v>
      </c>
      <c r="R40" s="4">
        <v>1</v>
      </c>
      <c r="S40" s="4">
        <v>25</v>
      </c>
    </row>
    <row r="41" spans="1:19" x14ac:dyDescent="0.15">
      <c r="A41" s="4" t="s">
        <v>13</v>
      </c>
      <c r="B41" s="50">
        <v>304</v>
      </c>
      <c r="C41" s="6">
        <v>2</v>
      </c>
      <c r="D41" s="83" t="s">
        <v>694</v>
      </c>
      <c r="E41" s="54" t="s">
        <v>695</v>
      </c>
      <c r="F41" s="109" t="s">
        <v>698</v>
      </c>
      <c r="J41" s="6">
        <v>0</v>
      </c>
      <c r="L41" s="4">
        <v>3</v>
      </c>
      <c r="N41" s="7"/>
      <c r="P41" s="6" t="s">
        <v>797</v>
      </c>
      <c r="R41" s="4">
        <v>1</v>
      </c>
      <c r="S41" s="4">
        <v>25</v>
      </c>
    </row>
    <row r="42" spans="1:19" x14ac:dyDescent="0.15">
      <c r="A42" s="4" t="s">
        <v>13</v>
      </c>
      <c r="B42" s="50">
        <v>305</v>
      </c>
      <c r="C42" s="6">
        <v>2</v>
      </c>
      <c r="D42" s="83" t="s">
        <v>694</v>
      </c>
      <c r="E42" s="54" t="s">
        <v>695</v>
      </c>
      <c r="F42" s="109" t="s">
        <v>699</v>
      </c>
      <c r="J42" s="6">
        <v>0</v>
      </c>
      <c r="L42" s="4">
        <v>3</v>
      </c>
      <c r="N42" s="7"/>
      <c r="P42" s="6" t="s">
        <v>797</v>
      </c>
      <c r="R42" s="4">
        <v>1</v>
      </c>
      <c r="S42" s="4">
        <v>25</v>
      </c>
    </row>
    <row r="43" spans="1:19" x14ac:dyDescent="0.15">
      <c r="B43" s="79">
        <v>306</v>
      </c>
      <c r="C43" s="79">
        <v>2</v>
      </c>
      <c r="D43" s="83" t="s">
        <v>814</v>
      </c>
      <c r="E43" s="54" t="s">
        <v>1242</v>
      </c>
      <c r="F43" s="109" t="s">
        <v>815</v>
      </c>
      <c r="H43" s="6">
        <v>100</v>
      </c>
      <c r="J43" s="6">
        <v>0</v>
      </c>
      <c r="L43" s="4">
        <v>3</v>
      </c>
      <c r="N43" s="7"/>
      <c r="P43" s="6" t="s">
        <v>797</v>
      </c>
    </row>
    <row r="44" spans="1:19" x14ac:dyDescent="0.15">
      <c r="B44" s="79">
        <v>307</v>
      </c>
      <c r="C44" s="79">
        <v>2</v>
      </c>
      <c r="D44" s="83" t="s">
        <v>816</v>
      </c>
      <c r="E44" s="54" t="s">
        <v>701</v>
      </c>
      <c r="F44" s="109" t="s">
        <v>817</v>
      </c>
      <c r="H44" s="6">
        <v>500</v>
      </c>
      <c r="J44" s="6">
        <v>0</v>
      </c>
      <c r="L44" s="4">
        <v>4</v>
      </c>
      <c r="N44" s="7"/>
      <c r="P44" s="6" t="s">
        <v>795</v>
      </c>
    </row>
    <row r="45" spans="1:19" x14ac:dyDescent="0.15">
      <c r="B45" s="79">
        <v>308</v>
      </c>
      <c r="C45" s="79">
        <v>2</v>
      </c>
      <c r="D45" s="83" t="s">
        <v>818</v>
      </c>
      <c r="E45" s="54" t="s">
        <v>702</v>
      </c>
      <c r="F45" s="109" t="s">
        <v>819</v>
      </c>
      <c r="H45" s="6">
        <v>5000</v>
      </c>
      <c r="J45" s="6">
        <v>0</v>
      </c>
      <c r="L45" s="4">
        <v>5</v>
      </c>
      <c r="N45" s="7"/>
      <c r="P45" s="6" t="s">
        <v>793</v>
      </c>
    </row>
    <row r="46" spans="1:19" x14ac:dyDescent="0.15">
      <c r="A46" s="4" t="s">
        <v>13</v>
      </c>
      <c r="B46" s="50">
        <v>309</v>
      </c>
      <c r="C46" s="6">
        <v>2</v>
      </c>
      <c r="D46" s="83" t="s">
        <v>824</v>
      </c>
      <c r="E46" s="54" t="s">
        <v>1711</v>
      </c>
      <c r="F46" s="109" t="s">
        <v>1054</v>
      </c>
      <c r="H46" s="6">
        <v>100</v>
      </c>
      <c r="J46" s="6">
        <v>0</v>
      </c>
      <c r="L46" s="4">
        <v>3</v>
      </c>
      <c r="N46" s="7"/>
      <c r="P46" s="6" t="s">
        <v>797</v>
      </c>
    </row>
    <row r="47" spans="1:19" x14ac:dyDescent="0.15">
      <c r="A47" s="4" t="s">
        <v>13</v>
      </c>
      <c r="B47" s="50">
        <v>310</v>
      </c>
      <c r="C47" s="6">
        <v>2</v>
      </c>
      <c r="D47" s="83" t="s">
        <v>825</v>
      </c>
      <c r="E47" s="54" t="s">
        <v>1711</v>
      </c>
      <c r="F47" s="109" t="s">
        <v>1056</v>
      </c>
      <c r="H47" s="6">
        <v>500</v>
      </c>
      <c r="J47" s="6">
        <v>0</v>
      </c>
      <c r="L47" s="4">
        <v>4</v>
      </c>
      <c r="N47" s="7"/>
      <c r="P47" s="6" t="s">
        <v>795</v>
      </c>
    </row>
    <row r="48" spans="1:19" x14ac:dyDescent="0.15">
      <c r="A48" s="4" t="s">
        <v>13</v>
      </c>
      <c r="B48" s="50">
        <v>311</v>
      </c>
      <c r="C48" s="6">
        <v>2</v>
      </c>
      <c r="D48" s="83" t="s">
        <v>826</v>
      </c>
      <c r="E48" s="54" t="s">
        <v>1711</v>
      </c>
      <c r="F48" s="109" t="s">
        <v>1055</v>
      </c>
      <c r="H48" s="6">
        <v>5000</v>
      </c>
      <c r="J48" s="6">
        <v>0</v>
      </c>
      <c r="L48" s="4">
        <v>5</v>
      </c>
      <c r="N48" s="7"/>
      <c r="P48" s="6" t="s">
        <v>793</v>
      </c>
    </row>
    <row r="49" spans="1:19" x14ac:dyDescent="0.15">
      <c r="A49" s="4" t="s">
        <v>13</v>
      </c>
      <c r="B49" s="50">
        <v>312</v>
      </c>
      <c r="C49" s="6">
        <v>2</v>
      </c>
      <c r="D49" s="83" t="s">
        <v>703</v>
      </c>
      <c r="E49" s="54" t="s">
        <v>770</v>
      </c>
      <c r="F49" s="109" t="s">
        <v>1049</v>
      </c>
      <c r="H49" s="6">
        <v>1000</v>
      </c>
      <c r="J49" s="6">
        <v>0</v>
      </c>
      <c r="L49" s="4">
        <v>4</v>
      </c>
      <c r="N49" s="7"/>
      <c r="P49" s="6" t="s">
        <v>795</v>
      </c>
    </row>
    <row r="50" spans="1:19" x14ac:dyDescent="0.15">
      <c r="B50" s="79">
        <v>313</v>
      </c>
      <c r="C50" s="79">
        <v>2</v>
      </c>
      <c r="D50" s="83" t="s">
        <v>704</v>
      </c>
      <c r="E50" s="54" t="s">
        <v>705</v>
      </c>
      <c r="F50" s="109" t="s">
        <v>820</v>
      </c>
      <c r="H50" s="6">
        <v>100</v>
      </c>
      <c r="J50" s="6">
        <v>0</v>
      </c>
      <c r="L50" s="4">
        <v>3</v>
      </c>
      <c r="N50" s="7"/>
      <c r="P50" s="6" t="s">
        <v>797</v>
      </c>
    </row>
    <row r="51" spans="1:19" x14ac:dyDescent="0.15">
      <c r="B51" s="79">
        <v>314</v>
      </c>
      <c r="C51" s="79">
        <v>2</v>
      </c>
      <c r="D51" s="83" t="s">
        <v>706</v>
      </c>
      <c r="E51" s="54" t="s">
        <v>707</v>
      </c>
      <c r="F51" s="109" t="s">
        <v>821</v>
      </c>
      <c r="H51" s="6">
        <v>500</v>
      </c>
      <c r="J51" s="6">
        <v>0</v>
      </c>
      <c r="L51" s="4">
        <v>4</v>
      </c>
      <c r="N51" s="7"/>
      <c r="P51" s="6" t="s">
        <v>795</v>
      </c>
    </row>
    <row r="52" spans="1:19" x14ac:dyDescent="0.15">
      <c r="B52" s="79">
        <v>315</v>
      </c>
      <c r="C52" s="79">
        <v>2</v>
      </c>
      <c r="D52" s="83" t="s">
        <v>708</v>
      </c>
      <c r="E52" s="54" t="s">
        <v>709</v>
      </c>
      <c r="F52" s="109" t="s">
        <v>822</v>
      </c>
      <c r="H52" s="6">
        <v>5000</v>
      </c>
      <c r="J52" s="6">
        <v>0</v>
      </c>
      <c r="L52" s="4">
        <v>5</v>
      </c>
      <c r="N52" s="7"/>
      <c r="P52" s="6" t="s">
        <v>793</v>
      </c>
    </row>
    <row r="53" spans="1:19" x14ac:dyDescent="0.15">
      <c r="A53" s="4" t="s">
        <v>13</v>
      </c>
      <c r="B53" s="50">
        <v>316</v>
      </c>
      <c r="C53" s="6">
        <v>2</v>
      </c>
      <c r="D53" s="6" t="s">
        <v>1265</v>
      </c>
      <c r="E53" s="6" t="s">
        <v>1712</v>
      </c>
      <c r="F53" s="109" t="s">
        <v>2033</v>
      </c>
      <c r="H53" s="6">
        <v>10000</v>
      </c>
      <c r="J53" s="6">
        <v>0</v>
      </c>
      <c r="L53" s="4">
        <v>5</v>
      </c>
      <c r="N53" s="7"/>
      <c r="P53" s="6" t="s">
        <v>793</v>
      </c>
      <c r="R53" s="4">
        <v>19</v>
      </c>
      <c r="S53" s="4">
        <v>16</v>
      </c>
    </row>
    <row r="54" spans="1:19" x14ac:dyDescent="0.15">
      <c r="A54" s="4" t="s">
        <v>13</v>
      </c>
      <c r="B54" s="50">
        <v>317</v>
      </c>
      <c r="C54" s="6">
        <v>2</v>
      </c>
      <c r="D54" s="6" t="s">
        <v>1266</v>
      </c>
      <c r="E54" s="6" t="s">
        <v>1713</v>
      </c>
      <c r="F54" s="109" t="s">
        <v>823</v>
      </c>
      <c r="H54" s="6">
        <v>10000</v>
      </c>
      <c r="J54" s="6">
        <v>0</v>
      </c>
      <c r="L54" s="4">
        <v>5</v>
      </c>
      <c r="N54" s="7"/>
      <c r="P54" s="6" t="s">
        <v>793</v>
      </c>
      <c r="R54" s="4">
        <v>19</v>
      </c>
      <c r="S54" s="4">
        <v>16</v>
      </c>
    </row>
    <row r="55" spans="1:19" x14ac:dyDescent="0.15">
      <c r="A55" s="4" t="s">
        <v>13</v>
      </c>
      <c r="B55" s="50">
        <v>318</v>
      </c>
      <c r="C55" s="6">
        <v>2</v>
      </c>
      <c r="D55" s="6" t="s">
        <v>692</v>
      </c>
      <c r="E55" s="86" t="s">
        <v>1714</v>
      </c>
      <c r="F55" s="109" t="s">
        <v>1978</v>
      </c>
      <c r="J55" s="6">
        <v>0</v>
      </c>
      <c r="L55" s="4">
        <v>5</v>
      </c>
      <c r="N55" s="7"/>
      <c r="P55" s="6" t="s">
        <v>793</v>
      </c>
      <c r="R55" s="4">
        <v>18</v>
      </c>
      <c r="S55" s="4" t="s">
        <v>2134</v>
      </c>
    </row>
    <row r="56" spans="1:19" x14ac:dyDescent="0.15">
      <c r="A56" s="4" t="s">
        <v>13</v>
      </c>
      <c r="B56" s="50">
        <v>319</v>
      </c>
      <c r="C56" s="6">
        <v>2</v>
      </c>
      <c r="D56" s="6" t="s">
        <v>1980</v>
      </c>
      <c r="E56" s="86" t="s">
        <v>1715</v>
      </c>
      <c r="F56" s="109" t="s">
        <v>710</v>
      </c>
      <c r="J56" s="6">
        <v>0</v>
      </c>
      <c r="L56" s="4">
        <v>5</v>
      </c>
      <c r="N56" s="7"/>
      <c r="P56" s="6" t="s">
        <v>793</v>
      </c>
      <c r="R56" s="4">
        <v>11</v>
      </c>
      <c r="S56" s="4">
        <v>14</v>
      </c>
    </row>
    <row r="57" spans="1:19" x14ac:dyDescent="0.15">
      <c r="A57" s="4" t="s">
        <v>13</v>
      </c>
      <c r="B57" s="50">
        <v>320</v>
      </c>
      <c r="C57" s="6">
        <v>2</v>
      </c>
      <c r="D57" s="6" t="s">
        <v>799</v>
      </c>
      <c r="E57" s="86" t="s">
        <v>1716</v>
      </c>
      <c r="F57" s="109" t="s">
        <v>800</v>
      </c>
      <c r="J57" s="6">
        <v>0</v>
      </c>
      <c r="L57" s="4">
        <v>5</v>
      </c>
      <c r="N57" s="7"/>
      <c r="P57" s="6" t="s">
        <v>793</v>
      </c>
    </row>
    <row r="58" spans="1:19" x14ac:dyDescent="0.15">
      <c r="A58" s="4" t="s">
        <v>13</v>
      </c>
      <c r="B58" s="50">
        <v>321</v>
      </c>
      <c r="C58" s="6">
        <v>2</v>
      </c>
      <c r="D58" s="6" t="s">
        <v>1313</v>
      </c>
      <c r="E58" s="86" t="s">
        <v>1717</v>
      </c>
      <c r="F58" s="109" t="s">
        <v>1981</v>
      </c>
      <c r="J58" s="6">
        <v>0</v>
      </c>
      <c r="L58" s="4">
        <v>5</v>
      </c>
      <c r="N58" s="7"/>
      <c r="P58" s="6" t="s">
        <v>793</v>
      </c>
      <c r="R58" s="4">
        <v>10</v>
      </c>
      <c r="S58" s="4">
        <v>14</v>
      </c>
    </row>
    <row r="59" spans="1:19" x14ac:dyDescent="0.15">
      <c r="A59" s="4" t="s">
        <v>13</v>
      </c>
      <c r="B59" s="50">
        <v>322</v>
      </c>
      <c r="C59" s="6">
        <v>2</v>
      </c>
      <c r="D59" s="6" t="s">
        <v>1591</v>
      </c>
      <c r="E59" s="86" t="s">
        <v>1718</v>
      </c>
      <c r="F59" s="109" t="s">
        <v>1982</v>
      </c>
      <c r="J59" s="6">
        <v>0</v>
      </c>
      <c r="L59" s="4">
        <v>5</v>
      </c>
      <c r="N59" s="7"/>
      <c r="P59" s="6" t="s">
        <v>793</v>
      </c>
      <c r="R59" s="4">
        <v>9</v>
      </c>
      <c r="S59" s="4">
        <v>14</v>
      </c>
    </row>
    <row r="60" spans="1:19" s="63" customFormat="1" x14ac:dyDescent="0.15">
      <c r="B60" s="63">
        <v>1000</v>
      </c>
      <c r="C60" s="63">
        <v>2</v>
      </c>
      <c r="D60" s="63" t="s">
        <v>656</v>
      </c>
      <c r="E60" s="64"/>
      <c r="F60" s="110"/>
      <c r="N60" s="65"/>
      <c r="P60" s="63" t="s">
        <v>794</v>
      </c>
      <c r="S60" s="4"/>
    </row>
    <row r="61" spans="1:19" s="63" customFormat="1" x14ac:dyDescent="0.15">
      <c r="A61" s="4" t="s">
        <v>13</v>
      </c>
      <c r="B61" s="63">
        <v>1001</v>
      </c>
      <c r="C61" s="63">
        <v>2</v>
      </c>
      <c r="D61" s="63" t="s">
        <v>657</v>
      </c>
      <c r="E61" s="90" t="s">
        <v>1719</v>
      </c>
      <c r="F61" s="110" t="s">
        <v>658</v>
      </c>
      <c r="N61" s="65"/>
      <c r="P61" s="6" t="s">
        <v>794</v>
      </c>
      <c r="S61" s="4"/>
    </row>
    <row r="62" spans="1:19" x14ac:dyDescent="0.15">
      <c r="A62" s="4" t="s">
        <v>13</v>
      </c>
      <c r="B62" s="6">
        <v>10011</v>
      </c>
      <c r="C62" s="23">
        <v>32</v>
      </c>
      <c r="D62" s="6" t="s">
        <v>814</v>
      </c>
      <c r="E62" s="54" t="s">
        <v>700</v>
      </c>
      <c r="F62" s="109" t="s">
        <v>815</v>
      </c>
      <c r="H62" s="6">
        <v>100</v>
      </c>
      <c r="J62" s="6">
        <v>0</v>
      </c>
      <c r="L62" s="4">
        <v>3</v>
      </c>
      <c r="N62" s="7"/>
      <c r="P62" s="6" t="s">
        <v>797</v>
      </c>
      <c r="R62" s="4">
        <v>17</v>
      </c>
      <c r="S62" s="4" t="s">
        <v>2064</v>
      </c>
    </row>
    <row r="63" spans="1:19" x14ac:dyDescent="0.15">
      <c r="A63" s="4" t="s">
        <v>13</v>
      </c>
      <c r="B63" s="6">
        <v>10012</v>
      </c>
      <c r="C63" s="23">
        <v>32</v>
      </c>
      <c r="D63" s="6" t="s">
        <v>816</v>
      </c>
      <c r="E63" s="54" t="s">
        <v>701</v>
      </c>
      <c r="F63" s="109" t="s">
        <v>817</v>
      </c>
      <c r="H63" s="6">
        <v>500</v>
      </c>
      <c r="J63" s="6">
        <v>0</v>
      </c>
      <c r="L63" s="4">
        <v>4</v>
      </c>
      <c r="N63" s="7"/>
      <c r="P63" s="6" t="s">
        <v>795</v>
      </c>
      <c r="R63" s="4">
        <v>17</v>
      </c>
      <c r="S63" s="4" t="s">
        <v>2064</v>
      </c>
    </row>
    <row r="64" spans="1:19" x14ac:dyDescent="0.15">
      <c r="A64" s="4" t="s">
        <v>13</v>
      </c>
      <c r="B64" s="6">
        <v>10013</v>
      </c>
      <c r="C64" s="23">
        <v>32</v>
      </c>
      <c r="D64" s="6" t="s">
        <v>818</v>
      </c>
      <c r="E64" s="54" t="s">
        <v>702</v>
      </c>
      <c r="F64" s="109" t="s">
        <v>819</v>
      </c>
      <c r="H64" s="6">
        <v>5000</v>
      </c>
      <c r="J64" s="6">
        <v>0</v>
      </c>
      <c r="L64" s="4">
        <v>5</v>
      </c>
      <c r="N64" s="7"/>
      <c r="P64" s="6" t="s">
        <v>793</v>
      </c>
      <c r="R64" s="4">
        <v>17</v>
      </c>
      <c r="S64" s="4" t="s">
        <v>2064</v>
      </c>
    </row>
    <row r="65" spans="1:30" x14ac:dyDescent="0.15">
      <c r="A65" s="4" t="s">
        <v>13</v>
      </c>
      <c r="B65" s="6">
        <v>10021</v>
      </c>
      <c r="C65" s="23">
        <v>32</v>
      </c>
      <c r="D65" s="6" t="s">
        <v>704</v>
      </c>
      <c r="E65" s="54" t="s">
        <v>705</v>
      </c>
      <c r="F65" s="109" t="s">
        <v>820</v>
      </c>
      <c r="H65" s="6">
        <v>100</v>
      </c>
      <c r="J65" s="6">
        <v>0</v>
      </c>
      <c r="L65" s="4">
        <v>3</v>
      </c>
      <c r="N65" s="7"/>
      <c r="P65" s="6" t="s">
        <v>797</v>
      </c>
      <c r="R65" s="4">
        <v>18</v>
      </c>
      <c r="S65" s="4" t="s">
        <v>2065</v>
      </c>
    </row>
    <row r="66" spans="1:30" s="124" customFormat="1" x14ac:dyDescent="0.15">
      <c r="A66" s="124" t="s">
        <v>13</v>
      </c>
      <c r="B66" s="124">
        <v>10022</v>
      </c>
      <c r="C66" s="124">
        <v>32</v>
      </c>
      <c r="D66" s="124" t="s">
        <v>706</v>
      </c>
      <c r="E66" s="125" t="s">
        <v>707</v>
      </c>
      <c r="F66" s="126" t="s">
        <v>821</v>
      </c>
      <c r="H66" s="124">
        <v>500</v>
      </c>
      <c r="J66" s="124">
        <v>0</v>
      </c>
      <c r="L66" s="124">
        <v>4</v>
      </c>
      <c r="N66" s="127"/>
      <c r="P66" s="124" t="s">
        <v>795</v>
      </c>
      <c r="R66" s="124">
        <v>18</v>
      </c>
      <c r="S66" s="124" t="s">
        <v>2133</v>
      </c>
    </row>
    <row r="67" spans="1:30" x14ac:dyDescent="0.15">
      <c r="A67" s="4" t="s">
        <v>13</v>
      </c>
      <c r="B67" s="6">
        <v>10023</v>
      </c>
      <c r="C67" s="23">
        <v>32</v>
      </c>
      <c r="D67" s="6" t="s">
        <v>708</v>
      </c>
      <c r="E67" s="54" t="s">
        <v>709</v>
      </c>
      <c r="F67" s="109" t="s">
        <v>822</v>
      </c>
      <c r="H67" s="6">
        <v>5000</v>
      </c>
      <c r="J67" s="6">
        <v>0</v>
      </c>
      <c r="L67" s="4">
        <v>5</v>
      </c>
      <c r="N67" s="7"/>
      <c r="P67" s="6" t="s">
        <v>793</v>
      </c>
      <c r="R67" s="4">
        <v>18</v>
      </c>
      <c r="S67" s="4" t="s">
        <v>2065</v>
      </c>
      <c r="V67" s="4" t="s">
        <v>2167</v>
      </c>
    </row>
    <row r="68" spans="1:30" s="70" customFormat="1" x14ac:dyDescent="0.15">
      <c r="A68" s="70" t="s">
        <v>13</v>
      </c>
      <c r="B68" s="70">
        <v>11001</v>
      </c>
      <c r="C68" s="23">
        <v>32</v>
      </c>
      <c r="D68" s="70" t="s">
        <v>827</v>
      </c>
      <c r="E68" s="91" t="s">
        <v>828</v>
      </c>
      <c r="F68" s="111" t="s">
        <v>829</v>
      </c>
      <c r="L68" s="70">
        <v>1</v>
      </c>
      <c r="N68" s="71"/>
      <c r="P68" s="70" t="s">
        <v>792</v>
      </c>
      <c r="R68" s="70">
        <v>17</v>
      </c>
      <c r="S68" s="70" t="s">
        <v>2143</v>
      </c>
      <c r="V68" s="70">
        <v>101</v>
      </c>
      <c r="W68" s="70">
        <v>104</v>
      </c>
      <c r="X68" s="70">
        <v>107</v>
      </c>
    </row>
    <row r="69" spans="1:30" s="70" customFormat="1" x14ac:dyDescent="0.15">
      <c r="A69" s="70" t="s">
        <v>13</v>
      </c>
      <c r="B69" s="70">
        <v>11002</v>
      </c>
      <c r="C69" s="23">
        <v>32</v>
      </c>
      <c r="D69" s="70" t="s">
        <v>833</v>
      </c>
      <c r="E69" s="91" t="s">
        <v>834</v>
      </c>
      <c r="F69" s="111" t="s">
        <v>835</v>
      </c>
      <c r="L69" s="70">
        <v>1</v>
      </c>
      <c r="N69" s="71"/>
      <c r="P69" s="70" t="s">
        <v>792</v>
      </c>
      <c r="R69" s="70">
        <v>17</v>
      </c>
      <c r="S69" s="70" t="s">
        <v>2144</v>
      </c>
      <c r="V69" s="70">
        <v>202</v>
      </c>
      <c r="W69" s="70">
        <v>205</v>
      </c>
    </row>
    <row r="70" spans="1:30" s="70" customFormat="1" x14ac:dyDescent="0.15">
      <c r="A70" s="70" t="s">
        <v>13</v>
      </c>
      <c r="B70" s="70">
        <v>11003</v>
      </c>
      <c r="C70" s="23">
        <v>32</v>
      </c>
      <c r="D70" s="70" t="s">
        <v>839</v>
      </c>
      <c r="E70" s="91" t="s">
        <v>840</v>
      </c>
      <c r="F70" s="111" t="s">
        <v>841</v>
      </c>
      <c r="L70" s="70">
        <v>1</v>
      </c>
      <c r="N70" s="71"/>
      <c r="P70" s="70" t="s">
        <v>792</v>
      </c>
      <c r="R70" s="70">
        <v>17</v>
      </c>
      <c r="S70" s="70" t="s">
        <v>2145</v>
      </c>
      <c r="V70" s="70">
        <v>208</v>
      </c>
      <c r="W70" s="70">
        <v>211</v>
      </c>
      <c r="X70" s="70">
        <v>214</v>
      </c>
      <c r="Y70" s="70">
        <v>217</v>
      </c>
      <c r="Z70" s="70">
        <v>301</v>
      </c>
    </row>
    <row r="71" spans="1:30" s="70" customFormat="1" x14ac:dyDescent="0.15">
      <c r="A71" s="70" t="s">
        <v>13</v>
      </c>
      <c r="B71" s="70">
        <v>11004</v>
      </c>
      <c r="C71" s="23">
        <v>32</v>
      </c>
      <c r="D71" s="70" t="s">
        <v>845</v>
      </c>
      <c r="E71" s="91" t="s">
        <v>846</v>
      </c>
      <c r="F71" s="111" t="s">
        <v>847</v>
      </c>
      <c r="L71" s="70">
        <v>1</v>
      </c>
      <c r="N71" s="71"/>
      <c r="P71" s="70" t="s">
        <v>792</v>
      </c>
      <c r="R71" s="70">
        <v>17</v>
      </c>
      <c r="S71" s="70" t="s">
        <v>2146</v>
      </c>
      <c r="V71" s="70">
        <v>304</v>
      </c>
      <c r="W71" s="70">
        <v>307</v>
      </c>
      <c r="X71" s="70">
        <v>310</v>
      </c>
      <c r="Y71" s="70">
        <v>313</v>
      </c>
      <c r="Z71" s="70">
        <v>316</v>
      </c>
      <c r="AA71" s="70">
        <v>319</v>
      </c>
      <c r="AB71" s="70">
        <v>322</v>
      </c>
      <c r="AC71" s="70">
        <v>402</v>
      </c>
      <c r="AD71" s="70">
        <v>405</v>
      </c>
    </row>
    <row r="72" spans="1:30" s="70" customFormat="1" x14ac:dyDescent="0.15">
      <c r="A72" s="70" t="s">
        <v>13</v>
      </c>
      <c r="B72" s="70">
        <v>11005</v>
      </c>
      <c r="C72" s="23">
        <v>32</v>
      </c>
      <c r="D72" s="70" t="s">
        <v>851</v>
      </c>
      <c r="E72" s="91" t="s">
        <v>852</v>
      </c>
      <c r="F72" s="111" t="s">
        <v>853</v>
      </c>
      <c r="L72" s="70">
        <v>1</v>
      </c>
      <c r="N72" s="71"/>
      <c r="P72" s="70" t="s">
        <v>792</v>
      </c>
      <c r="R72" s="70">
        <v>17</v>
      </c>
      <c r="S72" s="70">
        <v>20</v>
      </c>
      <c r="V72" s="70">
        <v>408</v>
      </c>
      <c r="W72" s="70">
        <v>411</v>
      </c>
      <c r="X72" s="70">
        <v>414</v>
      </c>
      <c r="Y72" s="70">
        <v>417</v>
      </c>
    </row>
    <row r="73" spans="1:30" s="70" customFormat="1" x14ac:dyDescent="0.15">
      <c r="A73" s="70" t="s">
        <v>13</v>
      </c>
      <c r="B73" s="70">
        <v>11006</v>
      </c>
      <c r="C73" s="23">
        <v>32</v>
      </c>
      <c r="D73" s="70" t="s">
        <v>857</v>
      </c>
      <c r="E73" s="91" t="s">
        <v>858</v>
      </c>
      <c r="F73" s="111" t="s">
        <v>859</v>
      </c>
      <c r="L73" s="70">
        <v>1</v>
      </c>
      <c r="N73" s="71"/>
      <c r="P73" s="70" t="s">
        <v>792</v>
      </c>
      <c r="R73" s="70">
        <v>17</v>
      </c>
      <c r="S73" s="70">
        <v>20</v>
      </c>
    </row>
    <row r="74" spans="1:30" s="70" customFormat="1" x14ac:dyDescent="0.15">
      <c r="A74" s="70" t="s">
        <v>13</v>
      </c>
      <c r="B74" s="70">
        <v>11007</v>
      </c>
      <c r="C74" s="23">
        <v>32</v>
      </c>
      <c r="D74" s="70" t="s">
        <v>863</v>
      </c>
      <c r="E74" s="91" t="s">
        <v>864</v>
      </c>
      <c r="F74" s="111" t="s">
        <v>865</v>
      </c>
      <c r="L74" s="70">
        <v>1</v>
      </c>
      <c r="N74" s="71"/>
      <c r="P74" s="70" t="s">
        <v>792</v>
      </c>
      <c r="R74" s="70">
        <v>17</v>
      </c>
      <c r="S74" s="70">
        <v>20</v>
      </c>
    </row>
    <row r="75" spans="1:30" s="70" customFormat="1" x14ac:dyDescent="0.15">
      <c r="A75" s="70" t="s">
        <v>13</v>
      </c>
      <c r="B75" s="70">
        <v>11008</v>
      </c>
      <c r="C75" s="23">
        <v>32</v>
      </c>
      <c r="D75" s="70" t="s">
        <v>869</v>
      </c>
      <c r="E75" s="91" t="s">
        <v>870</v>
      </c>
      <c r="F75" s="111" t="s">
        <v>871</v>
      </c>
      <c r="L75" s="70">
        <v>1</v>
      </c>
      <c r="N75" s="71"/>
      <c r="P75" s="70" t="s">
        <v>792</v>
      </c>
      <c r="R75" s="70">
        <v>17</v>
      </c>
      <c r="S75" s="70">
        <v>20</v>
      </c>
    </row>
    <row r="76" spans="1:30" s="70" customFormat="1" x14ac:dyDescent="0.15">
      <c r="A76" s="70" t="s">
        <v>13</v>
      </c>
      <c r="B76" s="70">
        <v>11009</v>
      </c>
      <c r="C76" s="23">
        <v>32</v>
      </c>
      <c r="D76" s="70" t="s">
        <v>875</v>
      </c>
      <c r="E76" s="91" t="s">
        <v>876</v>
      </c>
      <c r="F76" s="111" t="s">
        <v>877</v>
      </c>
      <c r="L76" s="70">
        <v>1</v>
      </c>
      <c r="N76" s="71"/>
      <c r="P76" s="70" t="s">
        <v>792</v>
      </c>
      <c r="R76" s="70">
        <v>17</v>
      </c>
      <c r="S76" s="70">
        <v>20</v>
      </c>
    </row>
    <row r="77" spans="1:30" s="70" customFormat="1" x14ac:dyDescent="0.15">
      <c r="A77" s="70" t="s">
        <v>13</v>
      </c>
      <c r="B77" s="70">
        <v>11010</v>
      </c>
      <c r="C77" s="23">
        <v>32</v>
      </c>
      <c r="D77" s="70" t="s">
        <v>881</v>
      </c>
      <c r="E77" s="91" t="s">
        <v>882</v>
      </c>
      <c r="F77" s="111" t="s">
        <v>1983</v>
      </c>
      <c r="L77" s="70">
        <v>1</v>
      </c>
      <c r="N77" s="71"/>
      <c r="P77" s="70" t="s">
        <v>792</v>
      </c>
      <c r="R77" s="70">
        <v>17</v>
      </c>
      <c r="S77" s="70">
        <v>20</v>
      </c>
    </row>
    <row r="78" spans="1:30" s="70" customFormat="1" x14ac:dyDescent="0.15">
      <c r="A78" s="70" t="s">
        <v>13</v>
      </c>
      <c r="B78" s="70">
        <v>11011</v>
      </c>
      <c r="C78" s="23">
        <v>32</v>
      </c>
      <c r="D78" s="70" t="s">
        <v>885</v>
      </c>
      <c r="E78" s="91" t="s">
        <v>886</v>
      </c>
      <c r="F78" s="111" t="s">
        <v>1984</v>
      </c>
      <c r="L78" s="70">
        <v>1</v>
      </c>
      <c r="N78" s="71"/>
      <c r="P78" s="70" t="s">
        <v>792</v>
      </c>
      <c r="R78" s="70">
        <v>17</v>
      </c>
      <c r="S78" s="70">
        <v>20</v>
      </c>
    </row>
    <row r="79" spans="1:30" s="70" customFormat="1" x14ac:dyDescent="0.15">
      <c r="A79" s="70" t="s">
        <v>13</v>
      </c>
      <c r="B79" s="70">
        <v>11012</v>
      </c>
      <c r="C79" s="23">
        <v>32</v>
      </c>
      <c r="D79" s="70" t="s">
        <v>889</v>
      </c>
      <c r="E79" s="91" t="s">
        <v>890</v>
      </c>
      <c r="F79" s="111" t="s">
        <v>1985</v>
      </c>
      <c r="L79" s="70">
        <v>1</v>
      </c>
      <c r="N79" s="71"/>
      <c r="P79" s="70" t="s">
        <v>792</v>
      </c>
      <c r="R79" s="70">
        <v>17</v>
      </c>
      <c r="S79" s="70">
        <v>20</v>
      </c>
    </row>
    <row r="80" spans="1:30" s="77" customFormat="1" x14ac:dyDescent="0.15">
      <c r="A80" s="77" t="s">
        <v>13</v>
      </c>
      <c r="B80" s="77">
        <v>11021</v>
      </c>
      <c r="C80" s="77">
        <v>32</v>
      </c>
      <c r="D80" s="77" t="s">
        <v>830</v>
      </c>
      <c r="E80" s="92" t="s">
        <v>831</v>
      </c>
      <c r="F80" s="112" t="s">
        <v>832</v>
      </c>
      <c r="L80" s="77">
        <v>1</v>
      </c>
      <c r="N80" s="78"/>
      <c r="P80" s="77" t="s">
        <v>1442</v>
      </c>
      <c r="R80" s="70">
        <v>17</v>
      </c>
      <c r="S80" s="77">
        <v>20</v>
      </c>
      <c r="V80" s="77">
        <v>102</v>
      </c>
      <c r="W80" s="77">
        <v>105</v>
      </c>
      <c r="X80" s="77">
        <v>108</v>
      </c>
    </row>
    <row r="81" spans="1:30" s="77" customFormat="1" x14ac:dyDescent="0.15">
      <c r="A81" s="77" t="s">
        <v>13</v>
      </c>
      <c r="B81" s="77">
        <v>11022</v>
      </c>
      <c r="C81" s="77">
        <v>32</v>
      </c>
      <c r="D81" s="77" t="s">
        <v>836</v>
      </c>
      <c r="E81" s="92" t="s">
        <v>837</v>
      </c>
      <c r="F81" s="112" t="s">
        <v>838</v>
      </c>
      <c r="L81" s="77">
        <v>1</v>
      </c>
      <c r="N81" s="78"/>
      <c r="P81" s="77" t="s">
        <v>1442</v>
      </c>
      <c r="R81" s="70">
        <v>17</v>
      </c>
      <c r="S81" s="77">
        <v>20</v>
      </c>
      <c r="V81" s="77">
        <v>203</v>
      </c>
      <c r="W81" s="77">
        <v>206</v>
      </c>
    </row>
    <row r="82" spans="1:30" s="77" customFormat="1" x14ac:dyDescent="0.15">
      <c r="A82" s="77" t="s">
        <v>13</v>
      </c>
      <c r="B82" s="77">
        <v>11023</v>
      </c>
      <c r="C82" s="77">
        <v>32</v>
      </c>
      <c r="D82" s="77" t="s">
        <v>842</v>
      </c>
      <c r="E82" s="92" t="s">
        <v>843</v>
      </c>
      <c r="F82" s="112" t="s">
        <v>844</v>
      </c>
      <c r="L82" s="77">
        <v>1</v>
      </c>
      <c r="N82" s="78"/>
      <c r="P82" s="77" t="s">
        <v>1442</v>
      </c>
      <c r="R82" s="70">
        <v>17</v>
      </c>
      <c r="S82" s="77">
        <v>20</v>
      </c>
      <c r="V82" s="77">
        <v>209</v>
      </c>
      <c r="W82" s="77">
        <v>212</v>
      </c>
      <c r="X82" s="77">
        <v>215</v>
      </c>
      <c r="Y82" s="77">
        <v>218</v>
      </c>
      <c r="Z82" s="77">
        <v>302</v>
      </c>
    </row>
    <row r="83" spans="1:30" s="77" customFormat="1" x14ac:dyDescent="0.15">
      <c r="A83" s="77" t="s">
        <v>13</v>
      </c>
      <c r="B83" s="77">
        <v>11024</v>
      </c>
      <c r="C83" s="77">
        <v>32</v>
      </c>
      <c r="D83" s="77" t="s">
        <v>848</v>
      </c>
      <c r="E83" s="92" t="s">
        <v>849</v>
      </c>
      <c r="F83" s="112" t="s">
        <v>850</v>
      </c>
      <c r="L83" s="77">
        <v>1</v>
      </c>
      <c r="N83" s="78"/>
      <c r="P83" s="77" t="s">
        <v>1442</v>
      </c>
      <c r="R83" s="70">
        <v>17</v>
      </c>
      <c r="S83" s="77">
        <v>20</v>
      </c>
      <c r="V83" s="77">
        <v>305</v>
      </c>
      <c r="W83" s="77">
        <v>308</v>
      </c>
      <c r="X83" s="77">
        <v>311</v>
      </c>
      <c r="Y83" s="77">
        <v>314</v>
      </c>
      <c r="Z83" s="77">
        <v>317</v>
      </c>
      <c r="AA83" s="77">
        <v>320</v>
      </c>
      <c r="AB83" s="77">
        <v>323</v>
      </c>
      <c r="AC83" s="77">
        <v>403</v>
      </c>
      <c r="AD83" s="77">
        <v>406</v>
      </c>
    </row>
    <row r="84" spans="1:30" s="77" customFormat="1" x14ac:dyDescent="0.15">
      <c r="A84" s="77" t="s">
        <v>13</v>
      </c>
      <c r="B84" s="77">
        <v>11025</v>
      </c>
      <c r="C84" s="77">
        <v>32</v>
      </c>
      <c r="D84" s="77" t="s">
        <v>854</v>
      </c>
      <c r="E84" s="92" t="s">
        <v>855</v>
      </c>
      <c r="F84" s="112" t="s">
        <v>856</v>
      </c>
      <c r="L84" s="77">
        <v>1</v>
      </c>
      <c r="N84" s="78"/>
      <c r="P84" s="77" t="s">
        <v>1442</v>
      </c>
      <c r="R84" s="70">
        <v>17</v>
      </c>
      <c r="S84" s="77">
        <v>20</v>
      </c>
      <c r="V84" s="77">
        <v>409</v>
      </c>
      <c r="W84" s="77">
        <v>412</v>
      </c>
      <c r="X84" s="77">
        <v>415</v>
      </c>
    </row>
    <row r="85" spans="1:30" s="77" customFormat="1" x14ac:dyDescent="0.15">
      <c r="A85" s="77" t="s">
        <v>13</v>
      </c>
      <c r="B85" s="77">
        <v>11026</v>
      </c>
      <c r="C85" s="77">
        <v>32</v>
      </c>
      <c r="D85" s="77" t="s">
        <v>860</v>
      </c>
      <c r="E85" s="92" t="s">
        <v>861</v>
      </c>
      <c r="F85" s="112" t="s">
        <v>862</v>
      </c>
      <c r="L85" s="77">
        <v>1</v>
      </c>
      <c r="N85" s="78"/>
      <c r="P85" s="77" t="s">
        <v>1442</v>
      </c>
      <c r="R85" s="70">
        <v>17</v>
      </c>
      <c r="S85" s="77">
        <v>20</v>
      </c>
    </row>
    <row r="86" spans="1:30" s="77" customFormat="1" x14ac:dyDescent="0.15">
      <c r="A86" s="77" t="s">
        <v>13</v>
      </c>
      <c r="B86" s="77">
        <v>11027</v>
      </c>
      <c r="C86" s="77">
        <v>32</v>
      </c>
      <c r="D86" s="77" t="s">
        <v>866</v>
      </c>
      <c r="E86" s="92" t="s">
        <v>867</v>
      </c>
      <c r="F86" s="112" t="s">
        <v>868</v>
      </c>
      <c r="L86" s="77">
        <v>1</v>
      </c>
      <c r="N86" s="78"/>
      <c r="P86" s="77" t="s">
        <v>1442</v>
      </c>
      <c r="R86" s="70">
        <v>17</v>
      </c>
      <c r="S86" s="77">
        <v>20</v>
      </c>
    </row>
    <row r="87" spans="1:30" s="77" customFormat="1" x14ac:dyDescent="0.15">
      <c r="A87" s="77" t="s">
        <v>13</v>
      </c>
      <c r="B87" s="77">
        <v>11028</v>
      </c>
      <c r="C87" s="77">
        <v>32</v>
      </c>
      <c r="D87" s="77" t="s">
        <v>872</v>
      </c>
      <c r="E87" s="92" t="s">
        <v>873</v>
      </c>
      <c r="F87" s="112" t="s">
        <v>874</v>
      </c>
      <c r="L87" s="77">
        <v>1</v>
      </c>
      <c r="N87" s="78"/>
      <c r="P87" s="77" t="s">
        <v>1442</v>
      </c>
      <c r="R87" s="70">
        <v>17</v>
      </c>
      <c r="S87" s="77">
        <v>20</v>
      </c>
    </row>
    <row r="88" spans="1:30" s="77" customFormat="1" x14ac:dyDescent="0.15">
      <c r="A88" s="77" t="s">
        <v>13</v>
      </c>
      <c r="B88" s="77">
        <v>11029</v>
      </c>
      <c r="C88" s="77">
        <v>32</v>
      </c>
      <c r="D88" s="77" t="s">
        <v>878</v>
      </c>
      <c r="E88" s="92" t="s">
        <v>879</v>
      </c>
      <c r="F88" s="112" t="s">
        <v>880</v>
      </c>
      <c r="L88" s="77">
        <v>1</v>
      </c>
      <c r="N88" s="78"/>
      <c r="P88" s="77" t="s">
        <v>1442</v>
      </c>
      <c r="R88" s="70">
        <v>17</v>
      </c>
      <c r="S88" s="77">
        <v>20</v>
      </c>
    </row>
    <row r="89" spans="1:30" s="77" customFormat="1" x14ac:dyDescent="0.15">
      <c r="A89" s="77" t="s">
        <v>13</v>
      </c>
      <c r="B89" s="77">
        <v>11030</v>
      </c>
      <c r="C89" s="77">
        <v>32</v>
      </c>
      <c r="D89" s="77" t="s">
        <v>883</v>
      </c>
      <c r="E89" s="92" t="s">
        <v>884</v>
      </c>
      <c r="F89" s="112" t="s">
        <v>1986</v>
      </c>
      <c r="L89" s="77">
        <v>1</v>
      </c>
      <c r="N89" s="78"/>
      <c r="P89" s="77" t="s">
        <v>1442</v>
      </c>
      <c r="R89" s="70">
        <v>17</v>
      </c>
      <c r="S89" s="77">
        <v>20</v>
      </c>
    </row>
    <row r="90" spans="1:30" s="77" customFormat="1" x14ac:dyDescent="0.15">
      <c r="A90" s="77" t="s">
        <v>13</v>
      </c>
      <c r="B90" s="77">
        <v>11031</v>
      </c>
      <c r="C90" s="77">
        <v>32</v>
      </c>
      <c r="D90" s="77" t="s">
        <v>887</v>
      </c>
      <c r="E90" s="92" t="s">
        <v>888</v>
      </c>
      <c r="F90" s="112" t="s">
        <v>1987</v>
      </c>
      <c r="L90" s="77">
        <v>1</v>
      </c>
      <c r="N90" s="78"/>
      <c r="P90" s="77" t="s">
        <v>1442</v>
      </c>
      <c r="R90" s="70">
        <v>17</v>
      </c>
      <c r="S90" s="77">
        <v>20</v>
      </c>
    </row>
    <row r="91" spans="1:30" s="77" customFormat="1" x14ac:dyDescent="0.15">
      <c r="A91" s="77" t="s">
        <v>13</v>
      </c>
      <c r="B91" s="77">
        <v>11032</v>
      </c>
      <c r="C91" s="77">
        <v>32</v>
      </c>
      <c r="D91" s="77" t="s">
        <v>891</v>
      </c>
      <c r="E91" s="92" t="s">
        <v>892</v>
      </c>
      <c r="F91" s="112" t="s">
        <v>1988</v>
      </c>
      <c r="L91" s="77">
        <v>1</v>
      </c>
      <c r="N91" s="78"/>
      <c r="P91" s="77" t="s">
        <v>1442</v>
      </c>
      <c r="R91" s="70">
        <v>17</v>
      </c>
      <c r="S91" s="77">
        <v>20</v>
      </c>
    </row>
    <row r="92" spans="1:30" s="70" customFormat="1" x14ac:dyDescent="0.15">
      <c r="A92" s="70" t="s">
        <v>13</v>
      </c>
      <c r="B92" s="70">
        <v>11041</v>
      </c>
      <c r="C92" s="23">
        <v>32</v>
      </c>
      <c r="D92" s="70" t="s">
        <v>1902</v>
      </c>
      <c r="E92" s="91" t="s">
        <v>1578</v>
      </c>
      <c r="F92" s="111" t="s">
        <v>1592</v>
      </c>
      <c r="L92" s="70">
        <v>3</v>
      </c>
      <c r="N92" s="71"/>
      <c r="P92" s="70" t="s">
        <v>797</v>
      </c>
      <c r="R92" s="70">
        <v>17</v>
      </c>
      <c r="S92" s="70">
        <v>20</v>
      </c>
      <c r="V92" s="70">
        <v>103</v>
      </c>
      <c r="W92" s="70">
        <v>106</v>
      </c>
      <c r="X92" s="70">
        <v>201</v>
      </c>
    </row>
    <row r="93" spans="1:30" s="70" customFormat="1" x14ac:dyDescent="0.15">
      <c r="A93" s="70" t="s">
        <v>13</v>
      </c>
      <c r="B93" s="70">
        <v>11042</v>
      </c>
      <c r="C93" s="23">
        <v>32</v>
      </c>
      <c r="D93" s="70" t="s">
        <v>1903</v>
      </c>
      <c r="E93" s="91" t="s">
        <v>1507</v>
      </c>
      <c r="F93" s="111" t="s">
        <v>1593</v>
      </c>
      <c r="L93" s="70">
        <v>3</v>
      </c>
      <c r="N93" s="71"/>
      <c r="P93" s="70" t="s">
        <v>797</v>
      </c>
      <c r="R93" s="70">
        <v>17</v>
      </c>
      <c r="S93" s="70">
        <v>20</v>
      </c>
      <c r="V93" s="70">
        <v>204</v>
      </c>
      <c r="W93" s="70">
        <v>207</v>
      </c>
    </row>
    <row r="94" spans="1:30" s="70" customFormat="1" x14ac:dyDescent="0.15">
      <c r="A94" s="70" t="s">
        <v>13</v>
      </c>
      <c r="B94" s="70">
        <v>11043</v>
      </c>
      <c r="C94" s="23">
        <v>32</v>
      </c>
      <c r="D94" s="70" t="s">
        <v>1904</v>
      </c>
      <c r="E94" s="91" t="s">
        <v>1508</v>
      </c>
      <c r="F94" s="111" t="s">
        <v>1594</v>
      </c>
      <c r="L94" s="70">
        <v>3</v>
      </c>
      <c r="N94" s="71"/>
      <c r="P94" s="70" t="s">
        <v>797</v>
      </c>
      <c r="R94" s="70">
        <v>17</v>
      </c>
      <c r="S94" s="70">
        <v>20</v>
      </c>
      <c r="V94" s="70">
        <v>210</v>
      </c>
      <c r="W94" s="70">
        <v>213</v>
      </c>
      <c r="X94" s="70">
        <v>216</v>
      </c>
      <c r="Y94" s="70">
        <v>219</v>
      </c>
      <c r="Z94" s="70">
        <v>303</v>
      </c>
    </row>
    <row r="95" spans="1:30" s="70" customFormat="1" x14ac:dyDescent="0.15">
      <c r="A95" s="70" t="s">
        <v>13</v>
      </c>
      <c r="B95" s="70">
        <v>11044</v>
      </c>
      <c r="C95" s="23">
        <v>32</v>
      </c>
      <c r="D95" s="70" t="s">
        <v>1905</v>
      </c>
      <c r="E95" s="91" t="s">
        <v>1509</v>
      </c>
      <c r="F95" s="111" t="s">
        <v>1595</v>
      </c>
      <c r="L95" s="70">
        <v>3</v>
      </c>
      <c r="N95" s="71"/>
      <c r="P95" s="70" t="s">
        <v>797</v>
      </c>
      <c r="R95" s="70">
        <v>17</v>
      </c>
      <c r="S95" s="70">
        <v>20</v>
      </c>
      <c r="V95" s="70">
        <v>306</v>
      </c>
      <c r="W95" s="70">
        <v>309</v>
      </c>
      <c r="X95" s="70">
        <v>312</v>
      </c>
      <c r="Y95" s="70">
        <v>315</v>
      </c>
      <c r="Z95" s="70">
        <v>318</v>
      </c>
      <c r="AA95" s="70">
        <v>321</v>
      </c>
      <c r="AB95" s="70">
        <v>401</v>
      </c>
      <c r="AC95" s="70">
        <v>404</v>
      </c>
      <c r="AD95" s="70">
        <v>407</v>
      </c>
    </row>
    <row r="96" spans="1:30" s="70" customFormat="1" x14ac:dyDescent="0.15">
      <c r="A96" s="70" t="s">
        <v>13</v>
      </c>
      <c r="B96" s="70">
        <v>11045</v>
      </c>
      <c r="C96" s="23">
        <v>32</v>
      </c>
      <c r="D96" s="70" t="s">
        <v>1906</v>
      </c>
      <c r="E96" s="91" t="s">
        <v>1510</v>
      </c>
      <c r="F96" s="111" t="s">
        <v>1596</v>
      </c>
      <c r="L96" s="70">
        <v>3</v>
      </c>
      <c r="N96" s="71"/>
      <c r="P96" s="70" t="s">
        <v>797</v>
      </c>
      <c r="R96" s="70">
        <v>17</v>
      </c>
      <c r="S96" s="70">
        <v>20</v>
      </c>
      <c r="V96" s="70">
        <v>410</v>
      </c>
      <c r="W96" s="70">
        <v>413</v>
      </c>
      <c r="X96" s="70">
        <v>416</v>
      </c>
    </row>
    <row r="97" spans="1:19" s="70" customFormat="1" x14ac:dyDescent="0.15">
      <c r="A97" s="70" t="s">
        <v>13</v>
      </c>
      <c r="B97" s="70">
        <v>11046</v>
      </c>
      <c r="C97" s="23">
        <v>32</v>
      </c>
      <c r="D97" s="70" t="s">
        <v>1907</v>
      </c>
      <c r="E97" s="91" t="s">
        <v>1511</v>
      </c>
      <c r="F97" s="111" t="s">
        <v>1597</v>
      </c>
      <c r="L97" s="70">
        <v>3</v>
      </c>
      <c r="N97" s="71"/>
      <c r="P97" s="70" t="s">
        <v>797</v>
      </c>
      <c r="R97" s="70">
        <v>17</v>
      </c>
      <c r="S97" s="70">
        <v>20</v>
      </c>
    </row>
    <row r="98" spans="1:19" s="70" customFormat="1" x14ac:dyDescent="0.15">
      <c r="A98" s="70" t="s">
        <v>13</v>
      </c>
      <c r="B98" s="70">
        <v>11047</v>
      </c>
      <c r="C98" s="23">
        <v>32</v>
      </c>
      <c r="D98" s="70" t="s">
        <v>1908</v>
      </c>
      <c r="E98" s="91" t="s">
        <v>1512</v>
      </c>
      <c r="F98" s="111" t="s">
        <v>1598</v>
      </c>
      <c r="L98" s="70">
        <v>3</v>
      </c>
      <c r="N98" s="71"/>
      <c r="P98" s="70" t="s">
        <v>797</v>
      </c>
      <c r="R98" s="70">
        <v>17</v>
      </c>
      <c r="S98" s="70">
        <v>20</v>
      </c>
    </row>
    <row r="99" spans="1:19" s="70" customFormat="1" x14ac:dyDescent="0.15">
      <c r="A99" s="70" t="s">
        <v>13</v>
      </c>
      <c r="B99" s="70">
        <v>11048</v>
      </c>
      <c r="C99" s="23">
        <v>32</v>
      </c>
      <c r="D99" s="70" t="s">
        <v>1909</v>
      </c>
      <c r="E99" s="91" t="s">
        <v>1513</v>
      </c>
      <c r="F99" s="111" t="s">
        <v>1599</v>
      </c>
      <c r="L99" s="70">
        <v>3</v>
      </c>
      <c r="N99" s="71"/>
      <c r="P99" s="70" t="s">
        <v>797</v>
      </c>
      <c r="R99" s="70">
        <v>17</v>
      </c>
      <c r="S99" s="70">
        <v>20</v>
      </c>
    </row>
    <row r="100" spans="1:19" s="70" customFormat="1" x14ac:dyDescent="0.15">
      <c r="A100" s="70" t="s">
        <v>13</v>
      </c>
      <c r="B100" s="70">
        <v>11049</v>
      </c>
      <c r="C100" s="23">
        <v>32</v>
      </c>
      <c r="D100" s="70" t="s">
        <v>1910</v>
      </c>
      <c r="E100" s="91" t="s">
        <v>1514</v>
      </c>
      <c r="F100" s="111" t="s">
        <v>1600</v>
      </c>
      <c r="L100" s="70">
        <v>3</v>
      </c>
      <c r="N100" s="71"/>
      <c r="P100" s="70" t="s">
        <v>797</v>
      </c>
      <c r="R100" s="70">
        <v>17</v>
      </c>
      <c r="S100" s="70">
        <v>20</v>
      </c>
    </row>
    <row r="101" spans="1:19" s="70" customFormat="1" x14ac:dyDescent="0.15">
      <c r="A101" s="70" t="s">
        <v>13</v>
      </c>
      <c r="B101" s="70">
        <v>11050</v>
      </c>
      <c r="C101" s="23">
        <v>32</v>
      </c>
      <c r="D101" s="70" t="s">
        <v>1911</v>
      </c>
      <c r="E101" s="91" t="s">
        <v>1515</v>
      </c>
      <c r="F101" s="111" t="s">
        <v>1601</v>
      </c>
      <c r="L101" s="70">
        <v>3</v>
      </c>
      <c r="N101" s="71"/>
      <c r="P101" s="70" t="s">
        <v>797</v>
      </c>
      <c r="R101" s="70">
        <v>17</v>
      </c>
      <c r="S101" s="70">
        <v>20</v>
      </c>
    </row>
    <row r="102" spans="1:19" s="70" customFormat="1" x14ac:dyDescent="0.15">
      <c r="A102" s="70" t="s">
        <v>13</v>
      </c>
      <c r="B102" s="70">
        <v>11051</v>
      </c>
      <c r="C102" s="23">
        <v>32</v>
      </c>
      <c r="D102" s="70" t="s">
        <v>1912</v>
      </c>
      <c r="E102" s="91" t="s">
        <v>1516</v>
      </c>
      <c r="F102" s="111" t="s">
        <v>1602</v>
      </c>
      <c r="L102" s="70">
        <v>3</v>
      </c>
      <c r="N102" s="71"/>
      <c r="P102" s="70" t="s">
        <v>797</v>
      </c>
      <c r="R102" s="70">
        <v>17</v>
      </c>
      <c r="S102" s="70">
        <v>20</v>
      </c>
    </row>
    <row r="103" spans="1:19" s="70" customFormat="1" x14ac:dyDescent="0.15">
      <c r="A103" s="70" t="s">
        <v>13</v>
      </c>
      <c r="B103" s="70">
        <v>11052</v>
      </c>
      <c r="C103" s="23">
        <v>32</v>
      </c>
      <c r="D103" s="70" t="s">
        <v>1913</v>
      </c>
      <c r="E103" s="91" t="s">
        <v>1517</v>
      </c>
      <c r="F103" s="111" t="s">
        <v>1603</v>
      </c>
      <c r="L103" s="70">
        <v>3</v>
      </c>
      <c r="N103" s="71"/>
      <c r="P103" s="70" t="s">
        <v>797</v>
      </c>
      <c r="R103" s="70">
        <v>17</v>
      </c>
      <c r="S103" s="70">
        <v>20</v>
      </c>
    </row>
    <row r="104" spans="1:19" s="77" customFormat="1" x14ac:dyDescent="0.15">
      <c r="A104" s="77" t="s">
        <v>13</v>
      </c>
      <c r="B104" s="77">
        <v>11061</v>
      </c>
      <c r="C104" s="77">
        <v>32</v>
      </c>
      <c r="D104" s="77" t="s">
        <v>1914</v>
      </c>
      <c r="E104" s="92" t="s">
        <v>1518</v>
      </c>
      <c r="F104" s="112" t="s">
        <v>1604</v>
      </c>
      <c r="L104" s="77">
        <v>3</v>
      </c>
      <c r="N104" s="78"/>
      <c r="P104" s="77" t="s">
        <v>1443</v>
      </c>
      <c r="R104" s="70">
        <v>17</v>
      </c>
      <c r="S104" s="77">
        <v>20</v>
      </c>
    </row>
    <row r="105" spans="1:19" s="77" customFormat="1" x14ac:dyDescent="0.15">
      <c r="A105" s="77" t="s">
        <v>13</v>
      </c>
      <c r="B105" s="77">
        <v>11062</v>
      </c>
      <c r="C105" s="77">
        <v>32</v>
      </c>
      <c r="D105" s="77" t="s">
        <v>1915</v>
      </c>
      <c r="E105" s="92" t="s">
        <v>1519</v>
      </c>
      <c r="F105" s="112" t="s">
        <v>1605</v>
      </c>
      <c r="L105" s="77">
        <v>3</v>
      </c>
      <c r="N105" s="78"/>
      <c r="P105" s="77" t="s">
        <v>1443</v>
      </c>
      <c r="R105" s="70">
        <v>17</v>
      </c>
      <c r="S105" s="77">
        <v>20</v>
      </c>
    </row>
    <row r="106" spans="1:19" s="77" customFormat="1" x14ac:dyDescent="0.15">
      <c r="A106" s="77" t="s">
        <v>13</v>
      </c>
      <c r="B106" s="77">
        <v>11063</v>
      </c>
      <c r="C106" s="77">
        <v>32</v>
      </c>
      <c r="D106" s="77" t="s">
        <v>1916</v>
      </c>
      <c r="E106" s="92" t="s">
        <v>1520</v>
      </c>
      <c r="F106" s="112" t="s">
        <v>1606</v>
      </c>
      <c r="L106" s="77">
        <v>3</v>
      </c>
      <c r="N106" s="78"/>
      <c r="P106" s="77" t="s">
        <v>1443</v>
      </c>
      <c r="R106" s="70">
        <v>17</v>
      </c>
      <c r="S106" s="77">
        <v>20</v>
      </c>
    </row>
    <row r="107" spans="1:19" s="77" customFormat="1" x14ac:dyDescent="0.15">
      <c r="A107" s="77" t="s">
        <v>13</v>
      </c>
      <c r="B107" s="77">
        <v>11064</v>
      </c>
      <c r="C107" s="77">
        <v>32</v>
      </c>
      <c r="D107" s="77" t="s">
        <v>1917</v>
      </c>
      <c r="E107" s="92" t="s">
        <v>1521</v>
      </c>
      <c r="F107" s="112" t="s">
        <v>1607</v>
      </c>
      <c r="L107" s="77">
        <v>3</v>
      </c>
      <c r="N107" s="78"/>
      <c r="P107" s="77" t="s">
        <v>1443</v>
      </c>
      <c r="R107" s="70">
        <v>17</v>
      </c>
      <c r="S107" s="77">
        <v>20</v>
      </c>
    </row>
    <row r="108" spans="1:19" s="77" customFormat="1" x14ac:dyDescent="0.15">
      <c r="A108" s="77" t="s">
        <v>13</v>
      </c>
      <c r="B108" s="77">
        <v>11065</v>
      </c>
      <c r="C108" s="77">
        <v>32</v>
      </c>
      <c r="D108" s="77" t="s">
        <v>1918</v>
      </c>
      <c r="E108" s="92" t="s">
        <v>1522</v>
      </c>
      <c r="F108" s="112" t="s">
        <v>1608</v>
      </c>
      <c r="L108" s="77">
        <v>3</v>
      </c>
      <c r="N108" s="78"/>
      <c r="P108" s="77" t="s">
        <v>1443</v>
      </c>
      <c r="R108" s="70">
        <v>17</v>
      </c>
      <c r="S108" s="77">
        <v>20</v>
      </c>
    </row>
    <row r="109" spans="1:19" s="77" customFormat="1" x14ac:dyDescent="0.15">
      <c r="A109" s="77" t="s">
        <v>13</v>
      </c>
      <c r="B109" s="77">
        <v>11066</v>
      </c>
      <c r="C109" s="77">
        <v>32</v>
      </c>
      <c r="D109" s="77" t="s">
        <v>1919</v>
      </c>
      <c r="E109" s="92" t="s">
        <v>1523</v>
      </c>
      <c r="F109" s="112" t="s">
        <v>1609</v>
      </c>
      <c r="L109" s="77">
        <v>3</v>
      </c>
      <c r="N109" s="78"/>
      <c r="P109" s="77" t="s">
        <v>1443</v>
      </c>
      <c r="R109" s="70">
        <v>17</v>
      </c>
      <c r="S109" s="77">
        <v>20</v>
      </c>
    </row>
    <row r="110" spans="1:19" s="77" customFormat="1" x14ac:dyDescent="0.15">
      <c r="A110" s="77" t="s">
        <v>13</v>
      </c>
      <c r="B110" s="77">
        <v>11067</v>
      </c>
      <c r="C110" s="77">
        <v>32</v>
      </c>
      <c r="D110" s="77" t="s">
        <v>1920</v>
      </c>
      <c r="E110" s="92" t="s">
        <v>1524</v>
      </c>
      <c r="F110" s="112" t="s">
        <v>1610</v>
      </c>
      <c r="L110" s="77">
        <v>3</v>
      </c>
      <c r="N110" s="78"/>
      <c r="P110" s="77" t="s">
        <v>1443</v>
      </c>
      <c r="R110" s="70">
        <v>17</v>
      </c>
      <c r="S110" s="77">
        <v>20</v>
      </c>
    </row>
    <row r="111" spans="1:19" s="77" customFormat="1" x14ac:dyDescent="0.15">
      <c r="A111" s="77" t="s">
        <v>13</v>
      </c>
      <c r="B111" s="77">
        <v>11068</v>
      </c>
      <c r="C111" s="77">
        <v>32</v>
      </c>
      <c r="D111" s="77" t="s">
        <v>1921</v>
      </c>
      <c r="E111" s="92" t="s">
        <v>1525</v>
      </c>
      <c r="F111" s="112" t="s">
        <v>1611</v>
      </c>
      <c r="L111" s="77">
        <v>3</v>
      </c>
      <c r="N111" s="78"/>
      <c r="P111" s="77" t="s">
        <v>1443</v>
      </c>
      <c r="R111" s="70">
        <v>17</v>
      </c>
      <c r="S111" s="77">
        <v>20</v>
      </c>
    </row>
    <row r="112" spans="1:19" s="77" customFormat="1" x14ac:dyDescent="0.15">
      <c r="A112" s="77" t="s">
        <v>13</v>
      </c>
      <c r="B112" s="77">
        <v>11069</v>
      </c>
      <c r="C112" s="77">
        <v>32</v>
      </c>
      <c r="D112" s="77" t="s">
        <v>1922</v>
      </c>
      <c r="E112" s="92" t="s">
        <v>1526</v>
      </c>
      <c r="F112" s="112" t="s">
        <v>1612</v>
      </c>
      <c r="L112" s="77">
        <v>3</v>
      </c>
      <c r="N112" s="78"/>
      <c r="P112" s="77" t="s">
        <v>1443</v>
      </c>
      <c r="R112" s="70">
        <v>17</v>
      </c>
      <c r="S112" s="77">
        <v>20</v>
      </c>
    </row>
    <row r="113" spans="1:19" s="77" customFormat="1" x14ac:dyDescent="0.15">
      <c r="A113" s="77" t="s">
        <v>13</v>
      </c>
      <c r="B113" s="77">
        <v>11070</v>
      </c>
      <c r="C113" s="77">
        <v>32</v>
      </c>
      <c r="D113" s="77" t="s">
        <v>1923</v>
      </c>
      <c r="E113" s="92" t="s">
        <v>1527</v>
      </c>
      <c r="F113" s="112" t="s">
        <v>1613</v>
      </c>
      <c r="L113" s="77">
        <v>3</v>
      </c>
      <c r="N113" s="78"/>
      <c r="P113" s="77" t="s">
        <v>1443</v>
      </c>
      <c r="R113" s="70">
        <v>17</v>
      </c>
      <c r="S113" s="77">
        <v>20</v>
      </c>
    </row>
    <row r="114" spans="1:19" s="77" customFormat="1" x14ac:dyDescent="0.15">
      <c r="A114" s="77" t="s">
        <v>13</v>
      </c>
      <c r="B114" s="77">
        <v>11071</v>
      </c>
      <c r="C114" s="77">
        <v>32</v>
      </c>
      <c r="D114" s="77" t="s">
        <v>1924</v>
      </c>
      <c r="E114" s="92" t="s">
        <v>1528</v>
      </c>
      <c r="F114" s="112" t="s">
        <v>1614</v>
      </c>
      <c r="L114" s="77">
        <v>3</v>
      </c>
      <c r="N114" s="78"/>
      <c r="P114" s="77" t="s">
        <v>1443</v>
      </c>
      <c r="R114" s="70">
        <v>17</v>
      </c>
      <c r="S114" s="77">
        <v>20</v>
      </c>
    </row>
    <row r="115" spans="1:19" s="77" customFormat="1" x14ac:dyDescent="0.15">
      <c r="A115" s="77" t="s">
        <v>13</v>
      </c>
      <c r="B115" s="77">
        <v>11072</v>
      </c>
      <c r="C115" s="77">
        <v>32</v>
      </c>
      <c r="D115" s="77" t="s">
        <v>1925</v>
      </c>
      <c r="E115" s="92" t="s">
        <v>1529</v>
      </c>
      <c r="F115" s="112" t="s">
        <v>1615</v>
      </c>
      <c r="L115" s="77">
        <v>3</v>
      </c>
      <c r="N115" s="78"/>
      <c r="P115" s="77" t="s">
        <v>1443</v>
      </c>
      <c r="R115" s="70">
        <v>17</v>
      </c>
      <c r="S115" s="77">
        <v>20</v>
      </c>
    </row>
    <row r="116" spans="1:19" s="70" customFormat="1" x14ac:dyDescent="0.15">
      <c r="A116" s="70" t="s">
        <v>13</v>
      </c>
      <c r="B116" s="70">
        <v>11081</v>
      </c>
      <c r="C116" s="23">
        <v>32</v>
      </c>
      <c r="D116" s="70" t="s">
        <v>1926</v>
      </c>
      <c r="E116" s="91" t="s">
        <v>1530</v>
      </c>
      <c r="F116" s="111" t="s">
        <v>1616</v>
      </c>
      <c r="L116" s="70">
        <v>3</v>
      </c>
      <c r="N116" s="71"/>
      <c r="P116" s="70" t="s">
        <v>797</v>
      </c>
      <c r="R116" s="70">
        <v>17</v>
      </c>
      <c r="S116" s="70">
        <v>20</v>
      </c>
    </row>
    <row r="117" spans="1:19" s="70" customFormat="1" x14ac:dyDescent="0.15">
      <c r="A117" s="70" t="s">
        <v>13</v>
      </c>
      <c r="B117" s="70">
        <v>11082</v>
      </c>
      <c r="C117" s="23">
        <v>32</v>
      </c>
      <c r="D117" s="70" t="s">
        <v>1927</v>
      </c>
      <c r="E117" s="91" t="s">
        <v>1531</v>
      </c>
      <c r="F117" s="111" t="s">
        <v>1617</v>
      </c>
      <c r="L117" s="70">
        <v>3</v>
      </c>
      <c r="N117" s="71"/>
      <c r="P117" s="70" t="s">
        <v>797</v>
      </c>
      <c r="R117" s="70">
        <v>17</v>
      </c>
      <c r="S117" s="70">
        <v>20</v>
      </c>
    </row>
    <row r="118" spans="1:19" s="70" customFormat="1" x14ac:dyDescent="0.15">
      <c r="A118" s="70" t="s">
        <v>13</v>
      </c>
      <c r="B118" s="70">
        <v>11083</v>
      </c>
      <c r="C118" s="23">
        <v>32</v>
      </c>
      <c r="D118" s="70" t="s">
        <v>1928</v>
      </c>
      <c r="E118" s="91" t="s">
        <v>1532</v>
      </c>
      <c r="F118" s="111" t="s">
        <v>1618</v>
      </c>
      <c r="L118" s="70">
        <v>3</v>
      </c>
      <c r="N118" s="71"/>
      <c r="P118" s="70" t="s">
        <v>797</v>
      </c>
      <c r="R118" s="70">
        <v>17</v>
      </c>
      <c r="S118" s="70">
        <v>20</v>
      </c>
    </row>
    <row r="119" spans="1:19" s="70" customFormat="1" x14ac:dyDescent="0.15">
      <c r="A119" s="70" t="s">
        <v>13</v>
      </c>
      <c r="B119" s="70">
        <v>11084</v>
      </c>
      <c r="C119" s="23">
        <v>32</v>
      </c>
      <c r="D119" s="70" t="s">
        <v>1929</v>
      </c>
      <c r="E119" s="91" t="s">
        <v>1533</v>
      </c>
      <c r="F119" s="111" t="s">
        <v>1619</v>
      </c>
      <c r="L119" s="70">
        <v>3</v>
      </c>
      <c r="N119" s="71"/>
      <c r="P119" s="70" t="s">
        <v>797</v>
      </c>
      <c r="R119" s="70">
        <v>17</v>
      </c>
      <c r="S119" s="70">
        <v>20</v>
      </c>
    </row>
    <row r="120" spans="1:19" s="70" customFormat="1" x14ac:dyDescent="0.15">
      <c r="A120" s="70" t="s">
        <v>13</v>
      </c>
      <c r="B120" s="70">
        <v>11085</v>
      </c>
      <c r="C120" s="23">
        <v>32</v>
      </c>
      <c r="D120" s="70" t="s">
        <v>1930</v>
      </c>
      <c r="E120" s="91" t="s">
        <v>1534</v>
      </c>
      <c r="F120" s="111" t="s">
        <v>1620</v>
      </c>
      <c r="L120" s="70">
        <v>3</v>
      </c>
      <c r="N120" s="71"/>
      <c r="P120" s="70" t="s">
        <v>797</v>
      </c>
      <c r="R120" s="70">
        <v>17</v>
      </c>
      <c r="S120" s="70">
        <v>20</v>
      </c>
    </row>
    <row r="121" spans="1:19" s="70" customFormat="1" x14ac:dyDescent="0.15">
      <c r="A121" s="70" t="s">
        <v>13</v>
      </c>
      <c r="B121" s="70">
        <v>11086</v>
      </c>
      <c r="C121" s="23">
        <v>32</v>
      </c>
      <c r="D121" s="70" t="s">
        <v>1931</v>
      </c>
      <c r="E121" s="91" t="s">
        <v>1535</v>
      </c>
      <c r="F121" s="111" t="s">
        <v>1621</v>
      </c>
      <c r="L121" s="70">
        <v>3</v>
      </c>
      <c r="N121" s="71"/>
      <c r="P121" s="70" t="s">
        <v>797</v>
      </c>
      <c r="R121" s="70">
        <v>17</v>
      </c>
      <c r="S121" s="70">
        <v>20</v>
      </c>
    </row>
    <row r="122" spans="1:19" s="70" customFormat="1" x14ac:dyDescent="0.15">
      <c r="A122" s="70" t="s">
        <v>13</v>
      </c>
      <c r="B122" s="70">
        <v>11087</v>
      </c>
      <c r="C122" s="23">
        <v>32</v>
      </c>
      <c r="D122" s="70" t="s">
        <v>1932</v>
      </c>
      <c r="E122" s="91" t="s">
        <v>1536</v>
      </c>
      <c r="F122" s="111" t="s">
        <v>1622</v>
      </c>
      <c r="L122" s="70">
        <v>3</v>
      </c>
      <c r="N122" s="71"/>
      <c r="P122" s="70" t="s">
        <v>797</v>
      </c>
      <c r="R122" s="70">
        <v>17</v>
      </c>
      <c r="S122" s="70">
        <v>20</v>
      </c>
    </row>
    <row r="123" spans="1:19" s="70" customFormat="1" x14ac:dyDescent="0.15">
      <c r="A123" s="70" t="s">
        <v>13</v>
      </c>
      <c r="B123" s="70">
        <v>11088</v>
      </c>
      <c r="C123" s="23">
        <v>32</v>
      </c>
      <c r="D123" s="70" t="s">
        <v>1933</v>
      </c>
      <c r="E123" s="91" t="s">
        <v>1537</v>
      </c>
      <c r="F123" s="111" t="s">
        <v>1623</v>
      </c>
      <c r="L123" s="70">
        <v>3</v>
      </c>
      <c r="N123" s="71"/>
      <c r="P123" s="70" t="s">
        <v>797</v>
      </c>
      <c r="R123" s="70">
        <v>17</v>
      </c>
      <c r="S123" s="70">
        <v>20</v>
      </c>
    </row>
    <row r="124" spans="1:19" s="70" customFormat="1" x14ac:dyDescent="0.15">
      <c r="A124" s="70" t="s">
        <v>13</v>
      </c>
      <c r="B124" s="70">
        <v>11089</v>
      </c>
      <c r="C124" s="23">
        <v>32</v>
      </c>
      <c r="D124" s="70" t="s">
        <v>1934</v>
      </c>
      <c r="E124" s="91" t="s">
        <v>1538</v>
      </c>
      <c r="F124" s="111" t="s">
        <v>1624</v>
      </c>
      <c r="L124" s="70">
        <v>3</v>
      </c>
      <c r="N124" s="71"/>
      <c r="P124" s="70" t="s">
        <v>797</v>
      </c>
      <c r="R124" s="70">
        <v>17</v>
      </c>
      <c r="S124" s="70">
        <v>20</v>
      </c>
    </row>
    <row r="125" spans="1:19" s="70" customFormat="1" x14ac:dyDescent="0.15">
      <c r="A125" s="70" t="s">
        <v>13</v>
      </c>
      <c r="B125" s="70">
        <v>11090</v>
      </c>
      <c r="C125" s="23">
        <v>32</v>
      </c>
      <c r="D125" s="70" t="s">
        <v>1935</v>
      </c>
      <c r="E125" s="91" t="s">
        <v>1539</v>
      </c>
      <c r="F125" s="111" t="s">
        <v>1625</v>
      </c>
      <c r="L125" s="70">
        <v>3</v>
      </c>
      <c r="N125" s="71"/>
      <c r="P125" s="70" t="s">
        <v>797</v>
      </c>
      <c r="R125" s="70">
        <v>17</v>
      </c>
      <c r="S125" s="70">
        <v>20</v>
      </c>
    </row>
    <row r="126" spans="1:19" s="70" customFormat="1" x14ac:dyDescent="0.15">
      <c r="A126" s="70" t="s">
        <v>13</v>
      </c>
      <c r="B126" s="70">
        <v>11091</v>
      </c>
      <c r="C126" s="23">
        <v>32</v>
      </c>
      <c r="D126" s="70" t="s">
        <v>1936</v>
      </c>
      <c r="E126" s="91" t="s">
        <v>1540</v>
      </c>
      <c r="F126" s="111" t="s">
        <v>1626</v>
      </c>
      <c r="L126" s="70">
        <v>3</v>
      </c>
      <c r="N126" s="71"/>
      <c r="P126" s="70" t="s">
        <v>797</v>
      </c>
      <c r="R126" s="70">
        <v>17</v>
      </c>
      <c r="S126" s="70">
        <v>20</v>
      </c>
    </row>
    <row r="127" spans="1:19" s="70" customFormat="1" x14ac:dyDescent="0.15">
      <c r="A127" s="70" t="s">
        <v>13</v>
      </c>
      <c r="B127" s="70">
        <v>11092</v>
      </c>
      <c r="C127" s="23">
        <v>32</v>
      </c>
      <c r="D127" s="70" t="s">
        <v>1937</v>
      </c>
      <c r="E127" s="91" t="s">
        <v>1541</v>
      </c>
      <c r="F127" s="111" t="s">
        <v>1627</v>
      </c>
      <c r="L127" s="70">
        <v>3</v>
      </c>
      <c r="N127" s="71"/>
      <c r="P127" s="70" t="s">
        <v>797</v>
      </c>
      <c r="R127" s="70">
        <v>17</v>
      </c>
      <c r="S127" s="70">
        <v>20</v>
      </c>
    </row>
    <row r="128" spans="1:19" s="77" customFormat="1" x14ac:dyDescent="0.15">
      <c r="A128" s="77" t="s">
        <v>13</v>
      </c>
      <c r="B128" s="77">
        <v>11101</v>
      </c>
      <c r="C128" s="77">
        <v>32</v>
      </c>
      <c r="D128" s="77" t="s">
        <v>1938</v>
      </c>
      <c r="E128" s="92" t="s">
        <v>1542</v>
      </c>
      <c r="F128" s="112" t="s">
        <v>1628</v>
      </c>
      <c r="L128" s="77">
        <v>3</v>
      </c>
      <c r="N128" s="78"/>
      <c r="P128" s="77" t="s">
        <v>1443</v>
      </c>
      <c r="R128" s="70">
        <v>17</v>
      </c>
      <c r="S128" s="77">
        <v>20</v>
      </c>
    </row>
    <row r="129" spans="1:19" s="77" customFormat="1" x14ac:dyDescent="0.15">
      <c r="A129" s="77" t="s">
        <v>13</v>
      </c>
      <c r="B129" s="77">
        <v>11102</v>
      </c>
      <c r="C129" s="77">
        <v>32</v>
      </c>
      <c r="D129" s="77" t="s">
        <v>1939</v>
      </c>
      <c r="E129" s="92" t="s">
        <v>1543</v>
      </c>
      <c r="F129" s="112" t="s">
        <v>1629</v>
      </c>
      <c r="L129" s="77">
        <v>3</v>
      </c>
      <c r="N129" s="78"/>
      <c r="P129" s="77" t="s">
        <v>1443</v>
      </c>
      <c r="R129" s="70">
        <v>17</v>
      </c>
      <c r="S129" s="77">
        <v>20</v>
      </c>
    </row>
    <row r="130" spans="1:19" s="77" customFormat="1" x14ac:dyDescent="0.15">
      <c r="A130" s="77" t="s">
        <v>13</v>
      </c>
      <c r="B130" s="77">
        <v>11103</v>
      </c>
      <c r="C130" s="77">
        <v>32</v>
      </c>
      <c r="D130" s="77" t="s">
        <v>1940</v>
      </c>
      <c r="E130" s="92" t="s">
        <v>1544</v>
      </c>
      <c r="F130" s="112" t="s">
        <v>1630</v>
      </c>
      <c r="L130" s="77">
        <v>3</v>
      </c>
      <c r="N130" s="78"/>
      <c r="P130" s="77" t="s">
        <v>1443</v>
      </c>
      <c r="R130" s="70">
        <v>17</v>
      </c>
      <c r="S130" s="77">
        <v>20</v>
      </c>
    </row>
    <row r="131" spans="1:19" s="77" customFormat="1" x14ac:dyDescent="0.15">
      <c r="A131" s="77" t="s">
        <v>13</v>
      </c>
      <c r="B131" s="77">
        <v>11104</v>
      </c>
      <c r="C131" s="77">
        <v>32</v>
      </c>
      <c r="D131" s="77" t="s">
        <v>1941</v>
      </c>
      <c r="E131" s="92" t="s">
        <v>1545</v>
      </c>
      <c r="F131" s="112" t="s">
        <v>1631</v>
      </c>
      <c r="L131" s="77">
        <v>3</v>
      </c>
      <c r="N131" s="78"/>
      <c r="P131" s="77" t="s">
        <v>1443</v>
      </c>
      <c r="R131" s="70">
        <v>17</v>
      </c>
      <c r="S131" s="77">
        <v>20</v>
      </c>
    </row>
    <row r="132" spans="1:19" s="77" customFormat="1" x14ac:dyDescent="0.15">
      <c r="A132" s="77" t="s">
        <v>13</v>
      </c>
      <c r="B132" s="77">
        <v>11105</v>
      </c>
      <c r="C132" s="77">
        <v>32</v>
      </c>
      <c r="D132" s="77" t="s">
        <v>1942</v>
      </c>
      <c r="E132" s="92" t="s">
        <v>1546</v>
      </c>
      <c r="F132" s="112" t="s">
        <v>1632</v>
      </c>
      <c r="L132" s="77">
        <v>3</v>
      </c>
      <c r="N132" s="78"/>
      <c r="P132" s="77" t="s">
        <v>1443</v>
      </c>
      <c r="R132" s="70">
        <v>17</v>
      </c>
      <c r="S132" s="77">
        <v>20</v>
      </c>
    </row>
    <row r="133" spans="1:19" s="77" customFormat="1" x14ac:dyDescent="0.15">
      <c r="A133" s="77" t="s">
        <v>13</v>
      </c>
      <c r="B133" s="77">
        <v>11106</v>
      </c>
      <c r="C133" s="77">
        <v>32</v>
      </c>
      <c r="D133" s="77" t="s">
        <v>1943</v>
      </c>
      <c r="E133" s="92" t="s">
        <v>1547</v>
      </c>
      <c r="F133" s="112" t="s">
        <v>1633</v>
      </c>
      <c r="L133" s="77">
        <v>3</v>
      </c>
      <c r="N133" s="78"/>
      <c r="P133" s="77" t="s">
        <v>1443</v>
      </c>
      <c r="R133" s="70">
        <v>17</v>
      </c>
      <c r="S133" s="77">
        <v>20</v>
      </c>
    </row>
    <row r="134" spans="1:19" s="77" customFormat="1" x14ac:dyDescent="0.15">
      <c r="A134" s="77" t="s">
        <v>13</v>
      </c>
      <c r="B134" s="77">
        <v>11107</v>
      </c>
      <c r="C134" s="77">
        <v>32</v>
      </c>
      <c r="D134" s="77" t="s">
        <v>1944</v>
      </c>
      <c r="E134" s="92" t="s">
        <v>1548</v>
      </c>
      <c r="F134" s="112" t="s">
        <v>1634</v>
      </c>
      <c r="L134" s="77">
        <v>3</v>
      </c>
      <c r="N134" s="78"/>
      <c r="P134" s="77" t="s">
        <v>1443</v>
      </c>
      <c r="R134" s="70">
        <v>17</v>
      </c>
      <c r="S134" s="77">
        <v>20</v>
      </c>
    </row>
    <row r="135" spans="1:19" s="77" customFormat="1" x14ac:dyDescent="0.15">
      <c r="A135" s="77" t="s">
        <v>13</v>
      </c>
      <c r="B135" s="77">
        <v>11108</v>
      </c>
      <c r="C135" s="77">
        <v>32</v>
      </c>
      <c r="D135" s="77" t="s">
        <v>1945</v>
      </c>
      <c r="E135" s="92" t="s">
        <v>1549</v>
      </c>
      <c r="F135" s="112" t="s">
        <v>1635</v>
      </c>
      <c r="L135" s="77">
        <v>3</v>
      </c>
      <c r="N135" s="78"/>
      <c r="P135" s="77" t="s">
        <v>1443</v>
      </c>
      <c r="R135" s="70">
        <v>17</v>
      </c>
      <c r="S135" s="77">
        <v>20</v>
      </c>
    </row>
    <row r="136" spans="1:19" s="77" customFormat="1" x14ac:dyDescent="0.15">
      <c r="A136" s="77" t="s">
        <v>13</v>
      </c>
      <c r="B136" s="77">
        <v>11109</v>
      </c>
      <c r="C136" s="77">
        <v>32</v>
      </c>
      <c r="D136" s="77" t="s">
        <v>1946</v>
      </c>
      <c r="E136" s="92" t="s">
        <v>1550</v>
      </c>
      <c r="F136" s="112" t="s">
        <v>1636</v>
      </c>
      <c r="L136" s="77">
        <v>3</v>
      </c>
      <c r="N136" s="78"/>
      <c r="P136" s="77" t="s">
        <v>1443</v>
      </c>
      <c r="R136" s="70">
        <v>17</v>
      </c>
      <c r="S136" s="77">
        <v>20</v>
      </c>
    </row>
    <row r="137" spans="1:19" s="77" customFormat="1" x14ac:dyDescent="0.15">
      <c r="A137" s="77" t="s">
        <v>13</v>
      </c>
      <c r="B137" s="77">
        <v>11110</v>
      </c>
      <c r="C137" s="77">
        <v>32</v>
      </c>
      <c r="D137" s="77" t="s">
        <v>1947</v>
      </c>
      <c r="E137" s="92" t="s">
        <v>1551</v>
      </c>
      <c r="F137" s="112" t="s">
        <v>1637</v>
      </c>
      <c r="L137" s="77">
        <v>3</v>
      </c>
      <c r="N137" s="78"/>
      <c r="P137" s="77" t="s">
        <v>1443</v>
      </c>
      <c r="R137" s="70">
        <v>17</v>
      </c>
      <c r="S137" s="77">
        <v>20</v>
      </c>
    </row>
    <row r="138" spans="1:19" s="77" customFormat="1" x14ac:dyDescent="0.15">
      <c r="A138" s="77" t="s">
        <v>13</v>
      </c>
      <c r="B138" s="77">
        <v>11111</v>
      </c>
      <c r="C138" s="77">
        <v>32</v>
      </c>
      <c r="D138" s="77" t="s">
        <v>1948</v>
      </c>
      <c r="E138" s="92" t="s">
        <v>1552</v>
      </c>
      <c r="F138" s="112" t="s">
        <v>1638</v>
      </c>
      <c r="L138" s="77">
        <v>3</v>
      </c>
      <c r="N138" s="78"/>
      <c r="P138" s="77" t="s">
        <v>1443</v>
      </c>
      <c r="R138" s="70">
        <v>17</v>
      </c>
      <c r="S138" s="77">
        <v>20</v>
      </c>
    </row>
    <row r="139" spans="1:19" s="77" customFormat="1" x14ac:dyDescent="0.15">
      <c r="A139" s="77" t="s">
        <v>13</v>
      </c>
      <c r="B139" s="77">
        <v>11112</v>
      </c>
      <c r="C139" s="77">
        <v>32</v>
      </c>
      <c r="D139" s="77" t="s">
        <v>1949</v>
      </c>
      <c r="E139" s="92" t="s">
        <v>1553</v>
      </c>
      <c r="F139" s="112" t="s">
        <v>1639</v>
      </c>
      <c r="L139" s="77">
        <v>3</v>
      </c>
      <c r="N139" s="78"/>
      <c r="P139" s="77" t="s">
        <v>1443</v>
      </c>
      <c r="R139" s="70">
        <v>17</v>
      </c>
      <c r="S139" s="77">
        <v>20</v>
      </c>
    </row>
    <row r="140" spans="1:19" s="70" customFormat="1" x14ac:dyDescent="0.15">
      <c r="A140" s="70" t="s">
        <v>13</v>
      </c>
      <c r="B140" s="70">
        <v>11121</v>
      </c>
      <c r="C140" s="23">
        <v>32</v>
      </c>
      <c r="D140" s="70" t="s">
        <v>1950</v>
      </c>
      <c r="E140" s="91" t="s">
        <v>1554</v>
      </c>
      <c r="F140" s="111" t="s">
        <v>1640</v>
      </c>
      <c r="L140" s="70">
        <v>3</v>
      </c>
      <c r="N140" s="71"/>
      <c r="P140" s="70" t="s">
        <v>797</v>
      </c>
      <c r="R140" s="70">
        <v>17</v>
      </c>
      <c r="S140" s="70">
        <v>20</v>
      </c>
    </row>
    <row r="141" spans="1:19" s="70" customFormat="1" x14ac:dyDescent="0.15">
      <c r="A141" s="70" t="s">
        <v>13</v>
      </c>
      <c r="B141" s="70">
        <v>11122</v>
      </c>
      <c r="C141" s="23">
        <v>32</v>
      </c>
      <c r="D141" s="70" t="s">
        <v>1951</v>
      </c>
      <c r="E141" s="91" t="s">
        <v>1555</v>
      </c>
      <c r="F141" s="111" t="s">
        <v>1641</v>
      </c>
      <c r="L141" s="70">
        <v>3</v>
      </c>
      <c r="N141" s="71"/>
      <c r="P141" s="70" t="s">
        <v>797</v>
      </c>
      <c r="R141" s="70">
        <v>17</v>
      </c>
      <c r="S141" s="70">
        <v>20</v>
      </c>
    </row>
    <row r="142" spans="1:19" s="70" customFormat="1" x14ac:dyDescent="0.15">
      <c r="A142" s="70" t="s">
        <v>13</v>
      </c>
      <c r="B142" s="70">
        <v>11123</v>
      </c>
      <c r="C142" s="23">
        <v>32</v>
      </c>
      <c r="D142" s="70" t="s">
        <v>1952</v>
      </c>
      <c r="E142" s="91" t="s">
        <v>1556</v>
      </c>
      <c r="F142" s="111" t="s">
        <v>1642</v>
      </c>
      <c r="L142" s="70">
        <v>3</v>
      </c>
      <c r="N142" s="71"/>
      <c r="P142" s="70" t="s">
        <v>797</v>
      </c>
      <c r="R142" s="70">
        <v>17</v>
      </c>
      <c r="S142" s="70">
        <v>20</v>
      </c>
    </row>
    <row r="143" spans="1:19" s="70" customFormat="1" x14ac:dyDescent="0.15">
      <c r="A143" s="70" t="s">
        <v>13</v>
      </c>
      <c r="B143" s="70">
        <v>11124</v>
      </c>
      <c r="C143" s="23">
        <v>32</v>
      </c>
      <c r="D143" s="70" t="s">
        <v>1953</v>
      </c>
      <c r="E143" s="91" t="s">
        <v>1557</v>
      </c>
      <c r="F143" s="111" t="s">
        <v>1643</v>
      </c>
      <c r="L143" s="70">
        <v>3</v>
      </c>
      <c r="N143" s="71"/>
      <c r="P143" s="70" t="s">
        <v>797</v>
      </c>
      <c r="R143" s="70">
        <v>17</v>
      </c>
      <c r="S143" s="70">
        <v>20</v>
      </c>
    </row>
    <row r="144" spans="1:19" s="70" customFormat="1" x14ac:dyDescent="0.15">
      <c r="A144" s="70" t="s">
        <v>13</v>
      </c>
      <c r="B144" s="70">
        <v>11125</v>
      </c>
      <c r="C144" s="23">
        <v>32</v>
      </c>
      <c r="D144" s="70" t="s">
        <v>1954</v>
      </c>
      <c r="E144" s="91" t="s">
        <v>1558</v>
      </c>
      <c r="F144" s="111" t="s">
        <v>1644</v>
      </c>
      <c r="L144" s="70">
        <v>3</v>
      </c>
      <c r="N144" s="71"/>
      <c r="P144" s="70" t="s">
        <v>797</v>
      </c>
      <c r="R144" s="70">
        <v>17</v>
      </c>
      <c r="S144" s="70">
        <v>20</v>
      </c>
    </row>
    <row r="145" spans="1:19" s="70" customFormat="1" x14ac:dyDescent="0.15">
      <c r="A145" s="70" t="s">
        <v>13</v>
      </c>
      <c r="B145" s="70">
        <v>11126</v>
      </c>
      <c r="C145" s="23">
        <v>32</v>
      </c>
      <c r="D145" s="70" t="s">
        <v>1955</v>
      </c>
      <c r="E145" s="91" t="s">
        <v>1559</v>
      </c>
      <c r="F145" s="111" t="s">
        <v>1645</v>
      </c>
      <c r="L145" s="70">
        <v>3</v>
      </c>
      <c r="N145" s="71"/>
      <c r="P145" s="70" t="s">
        <v>797</v>
      </c>
      <c r="R145" s="70">
        <v>17</v>
      </c>
      <c r="S145" s="70">
        <v>20</v>
      </c>
    </row>
    <row r="146" spans="1:19" s="70" customFormat="1" x14ac:dyDescent="0.15">
      <c r="A146" s="70" t="s">
        <v>13</v>
      </c>
      <c r="B146" s="70">
        <v>11127</v>
      </c>
      <c r="C146" s="23">
        <v>32</v>
      </c>
      <c r="D146" s="70" t="s">
        <v>1956</v>
      </c>
      <c r="E146" s="91" t="s">
        <v>1560</v>
      </c>
      <c r="F146" s="111" t="s">
        <v>1646</v>
      </c>
      <c r="L146" s="70">
        <v>3</v>
      </c>
      <c r="N146" s="71"/>
      <c r="P146" s="70" t="s">
        <v>797</v>
      </c>
      <c r="R146" s="70">
        <v>17</v>
      </c>
      <c r="S146" s="70">
        <v>20</v>
      </c>
    </row>
    <row r="147" spans="1:19" s="70" customFormat="1" x14ac:dyDescent="0.15">
      <c r="A147" s="70" t="s">
        <v>13</v>
      </c>
      <c r="B147" s="70">
        <v>11128</v>
      </c>
      <c r="C147" s="23">
        <v>32</v>
      </c>
      <c r="D147" s="70" t="s">
        <v>1957</v>
      </c>
      <c r="E147" s="91" t="s">
        <v>1561</v>
      </c>
      <c r="F147" s="111" t="s">
        <v>1647</v>
      </c>
      <c r="L147" s="70">
        <v>3</v>
      </c>
      <c r="N147" s="71"/>
      <c r="P147" s="70" t="s">
        <v>797</v>
      </c>
      <c r="R147" s="70">
        <v>17</v>
      </c>
      <c r="S147" s="70">
        <v>20</v>
      </c>
    </row>
    <row r="148" spans="1:19" s="70" customFormat="1" x14ac:dyDescent="0.15">
      <c r="A148" s="70" t="s">
        <v>13</v>
      </c>
      <c r="B148" s="70">
        <v>11129</v>
      </c>
      <c r="C148" s="23">
        <v>32</v>
      </c>
      <c r="D148" s="70" t="s">
        <v>1958</v>
      </c>
      <c r="E148" s="91" t="s">
        <v>1562</v>
      </c>
      <c r="F148" s="111" t="s">
        <v>1648</v>
      </c>
      <c r="L148" s="70">
        <v>3</v>
      </c>
      <c r="N148" s="71"/>
      <c r="P148" s="70" t="s">
        <v>797</v>
      </c>
      <c r="R148" s="70">
        <v>17</v>
      </c>
      <c r="S148" s="70">
        <v>20</v>
      </c>
    </row>
    <row r="149" spans="1:19" s="70" customFormat="1" x14ac:dyDescent="0.15">
      <c r="A149" s="70" t="s">
        <v>13</v>
      </c>
      <c r="B149" s="70">
        <v>11130</v>
      </c>
      <c r="C149" s="23">
        <v>32</v>
      </c>
      <c r="D149" s="70" t="s">
        <v>1959</v>
      </c>
      <c r="E149" s="91" t="s">
        <v>1563</v>
      </c>
      <c r="F149" s="111" t="s">
        <v>1649</v>
      </c>
      <c r="L149" s="70">
        <v>3</v>
      </c>
      <c r="N149" s="71"/>
      <c r="P149" s="70" t="s">
        <v>797</v>
      </c>
      <c r="R149" s="70">
        <v>17</v>
      </c>
      <c r="S149" s="70">
        <v>20</v>
      </c>
    </row>
    <row r="150" spans="1:19" s="70" customFormat="1" x14ac:dyDescent="0.15">
      <c r="A150" s="70" t="s">
        <v>13</v>
      </c>
      <c r="B150" s="70">
        <v>11131</v>
      </c>
      <c r="C150" s="23">
        <v>32</v>
      </c>
      <c r="D150" s="70" t="s">
        <v>1960</v>
      </c>
      <c r="E150" s="91" t="s">
        <v>1564</v>
      </c>
      <c r="F150" s="111" t="s">
        <v>1650</v>
      </c>
      <c r="L150" s="70">
        <v>3</v>
      </c>
      <c r="N150" s="71"/>
      <c r="P150" s="70" t="s">
        <v>797</v>
      </c>
      <c r="R150" s="70">
        <v>17</v>
      </c>
      <c r="S150" s="70">
        <v>20</v>
      </c>
    </row>
    <row r="151" spans="1:19" s="70" customFormat="1" x14ac:dyDescent="0.15">
      <c r="A151" s="70" t="s">
        <v>13</v>
      </c>
      <c r="B151" s="70">
        <v>11132</v>
      </c>
      <c r="C151" s="23">
        <v>32</v>
      </c>
      <c r="D151" s="70" t="s">
        <v>1961</v>
      </c>
      <c r="E151" s="91" t="s">
        <v>1565</v>
      </c>
      <c r="F151" s="111" t="s">
        <v>1651</v>
      </c>
      <c r="L151" s="70">
        <v>3</v>
      </c>
      <c r="N151" s="71"/>
      <c r="P151" s="70" t="s">
        <v>797</v>
      </c>
      <c r="R151" s="70">
        <v>17</v>
      </c>
      <c r="S151" s="70">
        <v>20</v>
      </c>
    </row>
    <row r="152" spans="1:19" s="77" customFormat="1" x14ac:dyDescent="0.15">
      <c r="A152" s="77" t="s">
        <v>13</v>
      </c>
      <c r="B152" s="77">
        <v>11141</v>
      </c>
      <c r="C152" s="77">
        <v>32</v>
      </c>
      <c r="D152" s="77" t="s">
        <v>1962</v>
      </c>
      <c r="E152" s="92" t="s">
        <v>1566</v>
      </c>
      <c r="F152" s="112" t="s">
        <v>1652</v>
      </c>
      <c r="L152" s="77">
        <v>3</v>
      </c>
      <c r="N152" s="78"/>
      <c r="P152" s="77" t="s">
        <v>1443</v>
      </c>
      <c r="R152" s="70">
        <v>17</v>
      </c>
      <c r="S152" s="77">
        <v>20</v>
      </c>
    </row>
    <row r="153" spans="1:19" s="77" customFormat="1" x14ac:dyDescent="0.15">
      <c r="A153" s="77" t="s">
        <v>13</v>
      </c>
      <c r="B153" s="77">
        <v>11142</v>
      </c>
      <c r="C153" s="77">
        <v>32</v>
      </c>
      <c r="D153" s="77" t="s">
        <v>1963</v>
      </c>
      <c r="E153" s="92" t="s">
        <v>1567</v>
      </c>
      <c r="F153" s="112" t="s">
        <v>1653</v>
      </c>
      <c r="L153" s="77">
        <v>3</v>
      </c>
      <c r="N153" s="78"/>
      <c r="P153" s="77" t="s">
        <v>1443</v>
      </c>
      <c r="R153" s="70">
        <v>17</v>
      </c>
      <c r="S153" s="77">
        <v>20</v>
      </c>
    </row>
    <row r="154" spans="1:19" s="77" customFormat="1" x14ac:dyDescent="0.15">
      <c r="A154" s="77" t="s">
        <v>13</v>
      </c>
      <c r="B154" s="77">
        <v>11143</v>
      </c>
      <c r="C154" s="77">
        <v>32</v>
      </c>
      <c r="D154" s="77" t="s">
        <v>1964</v>
      </c>
      <c r="E154" s="92" t="s">
        <v>1568</v>
      </c>
      <c r="F154" s="112" t="s">
        <v>1654</v>
      </c>
      <c r="L154" s="77">
        <v>3</v>
      </c>
      <c r="N154" s="78"/>
      <c r="P154" s="77" t="s">
        <v>1443</v>
      </c>
      <c r="R154" s="70">
        <v>17</v>
      </c>
      <c r="S154" s="77">
        <v>20</v>
      </c>
    </row>
    <row r="155" spans="1:19" s="77" customFormat="1" x14ac:dyDescent="0.15">
      <c r="A155" s="77" t="s">
        <v>13</v>
      </c>
      <c r="B155" s="77">
        <v>11144</v>
      </c>
      <c r="C155" s="77">
        <v>32</v>
      </c>
      <c r="D155" s="77" t="s">
        <v>1965</v>
      </c>
      <c r="E155" s="92" t="s">
        <v>1569</v>
      </c>
      <c r="F155" s="112" t="s">
        <v>1655</v>
      </c>
      <c r="L155" s="77">
        <v>3</v>
      </c>
      <c r="N155" s="78"/>
      <c r="P155" s="77" t="s">
        <v>1443</v>
      </c>
      <c r="R155" s="70">
        <v>17</v>
      </c>
      <c r="S155" s="77">
        <v>20</v>
      </c>
    </row>
    <row r="156" spans="1:19" s="77" customFormat="1" x14ac:dyDescent="0.15">
      <c r="A156" s="77" t="s">
        <v>13</v>
      </c>
      <c r="B156" s="77">
        <v>11145</v>
      </c>
      <c r="C156" s="77">
        <v>32</v>
      </c>
      <c r="D156" s="77" t="s">
        <v>1966</v>
      </c>
      <c r="E156" s="92" t="s">
        <v>1570</v>
      </c>
      <c r="F156" s="112" t="s">
        <v>1656</v>
      </c>
      <c r="L156" s="77">
        <v>3</v>
      </c>
      <c r="N156" s="78"/>
      <c r="P156" s="77" t="s">
        <v>1443</v>
      </c>
      <c r="R156" s="70">
        <v>17</v>
      </c>
      <c r="S156" s="77">
        <v>20</v>
      </c>
    </row>
    <row r="157" spans="1:19" s="77" customFormat="1" x14ac:dyDescent="0.15">
      <c r="A157" s="77" t="s">
        <v>13</v>
      </c>
      <c r="B157" s="77">
        <v>11146</v>
      </c>
      <c r="C157" s="77">
        <v>32</v>
      </c>
      <c r="D157" s="77" t="s">
        <v>1967</v>
      </c>
      <c r="E157" s="92" t="s">
        <v>1571</v>
      </c>
      <c r="F157" s="112" t="s">
        <v>1657</v>
      </c>
      <c r="L157" s="77">
        <v>3</v>
      </c>
      <c r="N157" s="78"/>
      <c r="P157" s="77" t="s">
        <v>1443</v>
      </c>
      <c r="R157" s="70">
        <v>17</v>
      </c>
      <c r="S157" s="77">
        <v>20</v>
      </c>
    </row>
    <row r="158" spans="1:19" s="77" customFormat="1" x14ac:dyDescent="0.15">
      <c r="A158" s="77" t="s">
        <v>13</v>
      </c>
      <c r="B158" s="77">
        <v>11147</v>
      </c>
      <c r="C158" s="77">
        <v>32</v>
      </c>
      <c r="D158" s="77" t="s">
        <v>1968</v>
      </c>
      <c r="E158" s="92" t="s">
        <v>1572</v>
      </c>
      <c r="F158" s="112" t="s">
        <v>1658</v>
      </c>
      <c r="L158" s="77">
        <v>3</v>
      </c>
      <c r="N158" s="78"/>
      <c r="P158" s="77" t="s">
        <v>1443</v>
      </c>
      <c r="R158" s="70">
        <v>17</v>
      </c>
      <c r="S158" s="77">
        <v>20</v>
      </c>
    </row>
    <row r="159" spans="1:19" s="77" customFormat="1" x14ac:dyDescent="0.15">
      <c r="A159" s="77" t="s">
        <v>13</v>
      </c>
      <c r="B159" s="77">
        <v>11148</v>
      </c>
      <c r="C159" s="77">
        <v>32</v>
      </c>
      <c r="D159" s="77" t="s">
        <v>1969</v>
      </c>
      <c r="E159" s="92" t="s">
        <v>1573</v>
      </c>
      <c r="F159" s="112" t="s">
        <v>1659</v>
      </c>
      <c r="L159" s="77">
        <v>3</v>
      </c>
      <c r="N159" s="78"/>
      <c r="P159" s="77" t="s">
        <v>1443</v>
      </c>
      <c r="R159" s="70">
        <v>17</v>
      </c>
      <c r="S159" s="77">
        <v>20</v>
      </c>
    </row>
    <row r="160" spans="1:19" s="77" customFormat="1" x14ac:dyDescent="0.15">
      <c r="A160" s="77" t="s">
        <v>13</v>
      </c>
      <c r="B160" s="77">
        <v>11149</v>
      </c>
      <c r="C160" s="77">
        <v>32</v>
      </c>
      <c r="D160" s="77" t="s">
        <v>1970</v>
      </c>
      <c r="E160" s="92" t="s">
        <v>1574</v>
      </c>
      <c r="F160" s="112" t="s">
        <v>1660</v>
      </c>
      <c r="L160" s="77">
        <v>3</v>
      </c>
      <c r="N160" s="78"/>
      <c r="P160" s="77" t="s">
        <v>1443</v>
      </c>
      <c r="R160" s="70">
        <v>17</v>
      </c>
      <c r="S160" s="77">
        <v>20</v>
      </c>
    </row>
    <row r="161" spans="1:22" s="77" customFormat="1" x14ac:dyDescent="0.15">
      <c r="A161" s="77" t="s">
        <v>13</v>
      </c>
      <c r="B161" s="77">
        <v>11150</v>
      </c>
      <c r="C161" s="77">
        <v>32</v>
      </c>
      <c r="D161" s="77" t="s">
        <v>1971</v>
      </c>
      <c r="E161" s="92" t="s">
        <v>1575</v>
      </c>
      <c r="F161" s="112" t="s">
        <v>1661</v>
      </c>
      <c r="L161" s="77">
        <v>3</v>
      </c>
      <c r="N161" s="78"/>
      <c r="P161" s="77" t="s">
        <v>1443</v>
      </c>
      <c r="R161" s="70">
        <v>17</v>
      </c>
      <c r="S161" s="77">
        <v>20</v>
      </c>
    </row>
    <row r="162" spans="1:22" s="77" customFormat="1" x14ac:dyDescent="0.15">
      <c r="A162" s="77" t="s">
        <v>13</v>
      </c>
      <c r="B162" s="77">
        <v>11151</v>
      </c>
      <c r="C162" s="77">
        <v>32</v>
      </c>
      <c r="D162" s="77" t="s">
        <v>1972</v>
      </c>
      <c r="E162" s="92" t="s">
        <v>1576</v>
      </c>
      <c r="F162" s="112" t="s">
        <v>1662</v>
      </c>
      <c r="L162" s="77">
        <v>3</v>
      </c>
      <c r="N162" s="78"/>
      <c r="P162" s="77" t="s">
        <v>1443</v>
      </c>
      <c r="R162" s="70">
        <v>17</v>
      </c>
      <c r="S162" s="77">
        <v>20</v>
      </c>
    </row>
    <row r="163" spans="1:22" s="77" customFormat="1" x14ac:dyDescent="0.15">
      <c r="A163" s="77" t="s">
        <v>13</v>
      </c>
      <c r="B163" s="77">
        <v>11152</v>
      </c>
      <c r="C163" s="77">
        <v>32</v>
      </c>
      <c r="D163" s="77" t="s">
        <v>1973</v>
      </c>
      <c r="E163" s="92" t="s">
        <v>1577</v>
      </c>
      <c r="F163" s="112" t="s">
        <v>1663</v>
      </c>
      <c r="L163" s="77">
        <v>3</v>
      </c>
      <c r="N163" s="78"/>
      <c r="P163" s="77" t="s">
        <v>1443</v>
      </c>
      <c r="R163" s="70">
        <v>17</v>
      </c>
      <c r="S163" s="77">
        <v>20</v>
      </c>
      <c r="V163" s="77" t="s">
        <v>2168</v>
      </c>
    </row>
    <row r="164" spans="1:22" s="29" customFormat="1" x14ac:dyDescent="0.15">
      <c r="A164" s="29" t="s">
        <v>13</v>
      </c>
      <c r="B164" s="29">
        <v>11501</v>
      </c>
      <c r="C164" s="23">
        <v>32</v>
      </c>
      <c r="D164" s="29" t="s">
        <v>1046</v>
      </c>
      <c r="E164" s="93" t="s">
        <v>1720</v>
      </c>
      <c r="F164" s="113" t="s">
        <v>893</v>
      </c>
      <c r="L164" s="29">
        <v>3</v>
      </c>
      <c r="N164" s="72"/>
      <c r="P164" s="29" t="s">
        <v>1443</v>
      </c>
      <c r="R164" s="29">
        <v>18</v>
      </c>
      <c r="S164" s="70" t="s">
        <v>2135</v>
      </c>
      <c r="V164" s="29">
        <v>101</v>
      </c>
    </row>
    <row r="165" spans="1:22" s="29" customFormat="1" x14ac:dyDescent="0.15">
      <c r="A165" s="29" t="s">
        <v>13</v>
      </c>
      <c r="B165" s="29">
        <v>11502</v>
      </c>
      <c r="C165" s="23">
        <v>32</v>
      </c>
      <c r="D165" s="29" t="s">
        <v>900</v>
      </c>
      <c r="E165" s="93" t="s">
        <v>1248</v>
      </c>
      <c r="F165" s="113" t="s">
        <v>901</v>
      </c>
      <c r="L165" s="29">
        <v>3</v>
      </c>
      <c r="N165" s="72"/>
      <c r="P165" s="29" t="s">
        <v>1443</v>
      </c>
      <c r="R165" s="29">
        <v>18</v>
      </c>
      <c r="S165" s="70" t="s">
        <v>2136</v>
      </c>
      <c r="V165" s="29">
        <v>102</v>
      </c>
    </row>
    <row r="166" spans="1:22" s="29" customFormat="1" x14ac:dyDescent="0.15">
      <c r="A166" s="29" t="s">
        <v>13</v>
      </c>
      <c r="B166" s="29">
        <v>11503</v>
      </c>
      <c r="C166" s="23">
        <v>32</v>
      </c>
      <c r="D166" s="29" t="s">
        <v>910</v>
      </c>
      <c r="E166" s="93" t="s">
        <v>1243</v>
      </c>
      <c r="F166" s="113" t="s">
        <v>911</v>
      </c>
      <c r="L166" s="29">
        <v>3</v>
      </c>
      <c r="N166" s="72"/>
      <c r="P166" s="29" t="s">
        <v>1443</v>
      </c>
      <c r="R166" s="29">
        <v>18</v>
      </c>
      <c r="S166" s="70" t="s">
        <v>2137</v>
      </c>
      <c r="V166" s="29">
        <v>103</v>
      </c>
    </row>
    <row r="167" spans="1:22" s="29" customFormat="1" x14ac:dyDescent="0.15">
      <c r="A167" s="29" t="s">
        <v>13</v>
      </c>
      <c r="B167" s="29">
        <v>11504</v>
      </c>
      <c r="C167" s="23">
        <v>32</v>
      </c>
      <c r="D167" s="29" t="s">
        <v>920</v>
      </c>
      <c r="E167" s="93" t="s">
        <v>1244</v>
      </c>
      <c r="F167" s="113" t="s">
        <v>921</v>
      </c>
      <c r="L167" s="29">
        <v>3</v>
      </c>
      <c r="N167" s="72"/>
      <c r="P167" s="29" t="s">
        <v>1443</v>
      </c>
      <c r="R167" s="29">
        <v>18</v>
      </c>
      <c r="S167" s="70" t="s">
        <v>2138</v>
      </c>
      <c r="V167" s="29">
        <v>104</v>
      </c>
    </row>
    <row r="168" spans="1:22" s="29" customFormat="1" x14ac:dyDescent="0.15">
      <c r="A168" s="29" t="s">
        <v>13</v>
      </c>
      <c r="B168" s="29">
        <v>11505</v>
      </c>
      <c r="C168" s="23">
        <v>32</v>
      </c>
      <c r="D168" s="29" t="s">
        <v>930</v>
      </c>
      <c r="E168" s="93" t="s">
        <v>1249</v>
      </c>
      <c r="F168" s="113" t="s">
        <v>931</v>
      </c>
      <c r="L168" s="29">
        <v>3</v>
      </c>
      <c r="N168" s="72"/>
      <c r="P168" s="29" t="s">
        <v>1443</v>
      </c>
      <c r="R168" s="29">
        <v>18</v>
      </c>
      <c r="S168" s="70">
        <v>13</v>
      </c>
      <c r="V168" s="29">
        <v>105</v>
      </c>
    </row>
    <row r="169" spans="1:22" s="29" customFormat="1" x14ac:dyDescent="0.15">
      <c r="A169" s="29" t="s">
        <v>13</v>
      </c>
      <c r="B169" s="29">
        <v>11506</v>
      </c>
      <c r="C169" s="23">
        <v>32</v>
      </c>
      <c r="D169" s="29" t="s">
        <v>940</v>
      </c>
      <c r="E169" s="93" t="s">
        <v>1250</v>
      </c>
      <c r="F169" s="113" t="s">
        <v>941</v>
      </c>
      <c r="L169" s="29">
        <v>3</v>
      </c>
      <c r="N169" s="72"/>
      <c r="P169" s="29" t="s">
        <v>1443</v>
      </c>
      <c r="R169" s="29">
        <v>18</v>
      </c>
      <c r="S169" s="70">
        <v>13</v>
      </c>
      <c r="V169" s="29">
        <v>106</v>
      </c>
    </row>
    <row r="170" spans="1:22" s="29" customFormat="1" x14ac:dyDescent="0.15">
      <c r="A170" s="29" t="s">
        <v>13</v>
      </c>
      <c r="B170" s="29">
        <v>11507</v>
      </c>
      <c r="C170" s="23">
        <v>32</v>
      </c>
      <c r="D170" s="29" t="s">
        <v>950</v>
      </c>
      <c r="E170" s="93" t="s">
        <v>1251</v>
      </c>
      <c r="F170" s="113" t="s">
        <v>951</v>
      </c>
      <c r="L170" s="29">
        <v>3</v>
      </c>
      <c r="N170" s="72"/>
      <c r="P170" s="29" t="s">
        <v>1443</v>
      </c>
      <c r="R170" s="29">
        <v>18</v>
      </c>
      <c r="S170" s="70">
        <v>13</v>
      </c>
      <c r="V170" s="29">
        <v>107</v>
      </c>
    </row>
    <row r="171" spans="1:22" s="29" customFormat="1" x14ac:dyDescent="0.15">
      <c r="A171" s="29" t="s">
        <v>13</v>
      </c>
      <c r="B171" s="29">
        <v>11508</v>
      </c>
      <c r="C171" s="23">
        <v>32</v>
      </c>
      <c r="D171" s="29" t="s">
        <v>960</v>
      </c>
      <c r="E171" s="93" t="s">
        <v>1245</v>
      </c>
      <c r="F171" s="113" t="s">
        <v>961</v>
      </c>
      <c r="L171" s="29">
        <v>3</v>
      </c>
      <c r="N171" s="72"/>
      <c r="P171" s="29" t="s">
        <v>1443</v>
      </c>
      <c r="R171" s="29">
        <v>18</v>
      </c>
      <c r="S171" s="70">
        <v>13</v>
      </c>
      <c r="V171" s="29">
        <v>108</v>
      </c>
    </row>
    <row r="172" spans="1:22" s="29" customFormat="1" x14ac:dyDescent="0.15">
      <c r="A172" s="29" t="s">
        <v>13</v>
      </c>
      <c r="B172" s="29">
        <v>11509</v>
      </c>
      <c r="C172" s="23">
        <v>32</v>
      </c>
      <c r="D172" s="29" t="s">
        <v>970</v>
      </c>
      <c r="E172" s="93" t="s">
        <v>1252</v>
      </c>
      <c r="F172" s="113" t="s">
        <v>971</v>
      </c>
      <c r="L172" s="29">
        <v>3</v>
      </c>
      <c r="N172" s="72"/>
      <c r="P172" s="29" t="s">
        <v>1443</v>
      </c>
      <c r="R172" s="29">
        <v>18</v>
      </c>
      <c r="S172" s="70">
        <v>13</v>
      </c>
      <c r="V172" s="29">
        <v>109</v>
      </c>
    </row>
    <row r="173" spans="1:22" s="29" customFormat="1" x14ac:dyDescent="0.15">
      <c r="A173" s="29" t="s">
        <v>13</v>
      </c>
      <c r="B173" s="29">
        <v>11510</v>
      </c>
      <c r="C173" s="23">
        <v>32</v>
      </c>
      <c r="D173" s="29" t="s">
        <v>980</v>
      </c>
      <c r="E173" s="93" t="s">
        <v>1253</v>
      </c>
      <c r="F173" s="113" t="s">
        <v>981</v>
      </c>
      <c r="L173" s="29">
        <v>3</v>
      </c>
      <c r="N173" s="72"/>
      <c r="P173" s="29" t="s">
        <v>1443</v>
      </c>
      <c r="R173" s="29">
        <v>18</v>
      </c>
      <c r="S173" s="70">
        <v>13</v>
      </c>
      <c r="V173" s="29">
        <v>110</v>
      </c>
    </row>
    <row r="174" spans="1:22" s="29" customFormat="1" x14ac:dyDescent="0.15">
      <c r="A174" s="29" t="s">
        <v>13</v>
      </c>
      <c r="B174" s="29">
        <v>11511</v>
      </c>
      <c r="C174" s="23">
        <v>32</v>
      </c>
      <c r="D174" s="29" t="s">
        <v>990</v>
      </c>
      <c r="E174" s="93" t="s">
        <v>1246</v>
      </c>
      <c r="F174" s="113" t="s">
        <v>991</v>
      </c>
      <c r="L174" s="29">
        <v>3</v>
      </c>
      <c r="N174" s="72"/>
      <c r="P174" s="29" t="s">
        <v>1443</v>
      </c>
      <c r="R174" s="29">
        <v>18</v>
      </c>
      <c r="S174" s="70">
        <v>13</v>
      </c>
      <c r="V174" s="29">
        <v>111</v>
      </c>
    </row>
    <row r="175" spans="1:22" s="29" customFormat="1" x14ac:dyDescent="0.15">
      <c r="A175" s="29" t="s">
        <v>13</v>
      </c>
      <c r="B175" s="29">
        <v>11512</v>
      </c>
      <c r="C175" s="23">
        <v>32</v>
      </c>
      <c r="D175" s="29" t="s">
        <v>1000</v>
      </c>
      <c r="E175" s="93" t="s">
        <v>1247</v>
      </c>
      <c r="F175" s="113" t="s">
        <v>1001</v>
      </c>
      <c r="L175" s="29">
        <v>3</v>
      </c>
      <c r="N175" s="72"/>
      <c r="P175" s="29" t="s">
        <v>1443</v>
      </c>
      <c r="R175" s="29">
        <v>18</v>
      </c>
      <c r="S175" s="70">
        <v>13</v>
      </c>
      <c r="V175" s="29">
        <v>112</v>
      </c>
    </row>
    <row r="176" spans="1:22" s="77" customFormat="1" x14ac:dyDescent="0.15">
      <c r="A176" s="77" t="s">
        <v>13</v>
      </c>
      <c r="B176" s="77">
        <v>11521</v>
      </c>
      <c r="C176" s="77">
        <v>32</v>
      </c>
      <c r="D176" s="77" t="s">
        <v>1047</v>
      </c>
      <c r="E176" s="92" t="s">
        <v>1721</v>
      </c>
      <c r="F176" s="112" t="s">
        <v>894</v>
      </c>
      <c r="L176" s="77">
        <v>3</v>
      </c>
      <c r="N176" s="78"/>
      <c r="P176" s="77" t="s">
        <v>797</v>
      </c>
      <c r="R176" s="29">
        <v>18</v>
      </c>
      <c r="S176" s="77">
        <v>13</v>
      </c>
      <c r="V176" s="77">
        <v>201</v>
      </c>
    </row>
    <row r="177" spans="1:22" s="77" customFormat="1" x14ac:dyDescent="0.15">
      <c r="A177" s="77" t="s">
        <v>13</v>
      </c>
      <c r="B177" s="77">
        <v>11522</v>
      </c>
      <c r="C177" s="77">
        <v>32</v>
      </c>
      <c r="D177" s="77" t="s">
        <v>902</v>
      </c>
      <c r="E177" s="92" t="s">
        <v>1267</v>
      </c>
      <c r="F177" s="112" t="s">
        <v>903</v>
      </c>
      <c r="L177" s="77">
        <v>3</v>
      </c>
      <c r="N177" s="78"/>
      <c r="P177" s="77" t="s">
        <v>797</v>
      </c>
      <c r="R177" s="29">
        <v>18</v>
      </c>
      <c r="S177" s="77">
        <v>13</v>
      </c>
      <c r="V177" s="77">
        <v>202</v>
      </c>
    </row>
    <row r="178" spans="1:22" s="77" customFormat="1" x14ac:dyDescent="0.15">
      <c r="A178" s="77" t="s">
        <v>13</v>
      </c>
      <c r="B178" s="77">
        <v>11523</v>
      </c>
      <c r="C178" s="77">
        <v>32</v>
      </c>
      <c r="D178" s="77" t="s">
        <v>912</v>
      </c>
      <c r="E178" s="92" t="s">
        <v>1268</v>
      </c>
      <c r="F178" s="112" t="s">
        <v>913</v>
      </c>
      <c r="L178" s="77">
        <v>3</v>
      </c>
      <c r="N178" s="78"/>
      <c r="P178" s="77" t="s">
        <v>797</v>
      </c>
      <c r="R178" s="29">
        <v>18</v>
      </c>
      <c r="S178" s="77">
        <v>13</v>
      </c>
      <c r="V178" s="77">
        <v>203</v>
      </c>
    </row>
    <row r="179" spans="1:22" s="77" customFormat="1" x14ac:dyDescent="0.15">
      <c r="A179" s="77" t="s">
        <v>13</v>
      </c>
      <c r="B179" s="77">
        <v>11524</v>
      </c>
      <c r="C179" s="77">
        <v>32</v>
      </c>
      <c r="D179" s="77" t="s">
        <v>922</v>
      </c>
      <c r="E179" s="92" t="s">
        <v>1269</v>
      </c>
      <c r="F179" s="112" t="s">
        <v>923</v>
      </c>
      <c r="L179" s="77">
        <v>3</v>
      </c>
      <c r="N179" s="78"/>
      <c r="P179" s="77" t="s">
        <v>797</v>
      </c>
      <c r="R179" s="29">
        <v>18</v>
      </c>
      <c r="S179" s="77">
        <v>13</v>
      </c>
      <c r="V179" s="77">
        <v>204</v>
      </c>
    </row>
    <row r="180" spans="1:22" s="77" customFormat="1" x14ac:dyDescent="0.15">
      <c r="A180" s="77" t="s">
        <v>13</v>
      </c>
      <c r="B180" s="77">
        <v>11525</v>
      </c>
      <c r="C180" s="77">
        <v>32</v>
      </c>
      <c r="D180" s="77" t="s">
        <v>932</v>
      </c>
      <c r="E180" s="92" t="s">
        <v>1270</v>
      </c>
      <c r="F180" s="112" t="s">
        <v>933</v>
      </c>
      <c r="L180" s="77">
        <v>3</v>
      </c>
      <c r="N180" s="78"/>
      <c r="P180" s="77" t="s">
        <v>797</v>
      </c>
      <c r="R180" s="29">
        <v>18</v>
      </c>
      <c r="S180" s="77">
        <v>13</v>
      </c>
      <c r="V180" s="77">
        <v>205</v>
      </c>
    </row>
    <row r="181" spans="1:22" s="77" customFormat="1" x14ac:dyDescent="0.15">
      <c r="A181" s="77" t="s">
        <v>13</v>
      </c>
      <c r="B181" s="77">
        <v>11526</v>
      </c>
      <c r="C181" s="77">
        <v>32</v>
      </c>
      <c r="D181" s="77" t="s">
        <v>942</v>
      </c>
      <c r="E181" s="92" t="s">
        <v>1271</v>
      </c>
      <c r="F181" s="112" t="s">
        <v>943</v>
      </c>
      <c r="L181" s="77">
        <v>3</v>
      </c>
      <c r="N181" s="78"/>
      <c r="P181" s="77" t="s">
        <v>797</v>
      </c>
      <c r="R181" s="29">
        <v>18</v>
      </c>
      <c r="S181" s="77">
        <v>13</v>
      </c>
      <c r="V181" s="77">
        <v>206</v>
      </c>
    </row>
    <row r="182" spans="1:22" s="77" customFormat="1" x14ac:dyDescent="0.15">
      <c r="A182" s="77" t="s">
        <v>13</v>
      </c>
      <c r="B182" s="77">
        <v>11527</v>
      </c>
      <c r="C182" s="77">
        <v>32</v>
      </c>
      <c r="D182" s="77" t="s">
        <v>952</v>
      </c>
      <c r="E182" s="92" t="s">
        <v>1272</v>
      </c>
      <c r="F182" s="112" t="s">
        <v>953</v>
      </c>
      <c r="L182" s="77">
        <v>3</v>
      </c>
      <c r="N182" s="78"/>
      <c r="P182" s="77" t="s">
        <v>797</v>
      </c>
      <c r="R182" s="29">
        <v>18</v>
      </c>
      <c r="S182" s="77">
        <v>13</v>
      </c>
      <c r="V182" s="77">
        <v>207</v>
      </c>
    </row>
    <row r="183" spans="1:22" s="77" customFormat="1" x14ac:dyDescent="0.15">
      <c r="A183" s="77" t="s">
        <v>13</v>
      </c>
      <c r="B183" s="77">
        <v>11528</v>
      </c>
      <c r="C183" s="77">
        <v>32</v>
      </c>
      <c r="D183" s="77" t="s">
        <v>962</v>
      </c>
      <c r="E183" s="92" t="s">
        <v>1277</v>
      </c>
      <c r="F183" s="112" t="s">
        <v>963</v>
      </c>
      <c r="L183" s="77">
        <v>3</v>
      </c>
      <c r="N183" s="78"/>
      <c r="P183" s="77" t="s">
        <v>797</v>
      </c>
      <c r="R183" s="29">
        <v>18</v>
      </c>
      <c r="S183" s="77">
        <v>13</v>
      </c>
      <c r="V183" s="77">
        <v>208</v>
      </c>
    </row>
    <row r="184" spans="1:22" s="77" customFormat="1" x14ac:dyDescent="0.15">
      <c r="A184" s="77" t="s">
        <v>13</v>
      </c>
      <c r="B184" s="77">
        <v>11529</v>
      </c>
      <c r="C184" s="77">
        <v>32</v>
      </c>
      <c r="D184" s="77" t="s">
        <v>972</v>
      </c>
      <c r="E184" s="92" t="s">
        <v>1273</v>
      </c>
      <c r="F184" s="112" t="s">
        <v>973</v>
      </c>
      <c r="L184" s="77">
        <v>3</v>
      </c>
      <c r="N184" s="78"/>
      <c r="P184" s="77" t="s">
        <v>797</v>
      </c>
      <c r="R184" s="29">
        <v>18</v>
      </c>
      <c r="S184" s="77">
        <v>13</v>
      </c>
      <c r="V184" s="77">
        <v>209</v>
      </c>
    </row>
    <row r="185" spans="1:22" s="77" customFormat="1" x14ac:dyDescent="0.15">
      <c r="A185" s="77" t="s">
        <v>13</v>
      </c>
      <c r="B185" s="77">
        <v>11530</v>
      </c>
      <c r="C185" s="77">
        <v>32</v>
      </c>
      <c r="D185" s="77" t="s">
        <v>982</v>
      </c>
      <c r="E185" s="92" t="s">
        <v>1274</v>
      </c>
      <c r="F185" s="112" t="s">
        <v>983</v>
      </c>
      <c r="L185" s="77">
        <v>3</v>
      </c>
      <c r="N185" s="78"/>
      <c r="P185" s="77" t="s">
        <v>797</v>
      </c>
      <c r="R185" s="29">
        <v>18</v>
      </c>
      <c r="S185" s="77">
        <v>13</v>
      </c>
      <c r="V185" s="77">
        <v>210</v>
      </c>
    </row>
    <row r="186" spans="1:22" s="77" customFormat="1" x14ac:dyDescent="0.15">
      <c r="A186" s="77" t="s">
        <v>13</v>
      </c>
      <c r="B186" s="77">
        <v>11531</v>
      </c>
      <c r="C186" s="77">
        <v>32</v>
      </c>
      <c r="D186" s="77" t="s">
        <v>992</v>
      </c>
      <c r="E186" s="92" t="s">
        <v>1275</v>
      </c>
      <c r="F186" s="112" t="s">
        <v>993</v>
      </c>
      <c r="L186" s="77">
        <v>3</v>
      </c>
      <c r="N186" s="78"/>
      <c r="P186" s="77" t="s">
        <v>797</v>
      </c>
      <c r="R186" s="29">
        <v>18</v>
      </c>
      <c r="S186" s="77">
        <v>13</v>
      </c>
      <c r="V186" s="77">
        <v>211</v>
      </c>
    </row>
    <row r="187" spans="1:22" s="77" customFormat="1" x14ac:dyDescent="0.15">
      <c r="A187" s="77" t="s">
        <v>13</v>
      </c>
      <c r="B187" s="77">
        <v>11532</v>
      </c>
      <c r="C187" s="77">
        <v>32</v>
      </c>
      <c r="D187" s="77" t="s">
        <v>1002</v>
      </c>
      <c r="E187" s="92" t="s">
        <v>1276</v>
      </c>
      <c r="F187" s="112" t="s">
        <v>1003</v>
      </c>
      <c r="L187" s="77">
        <v>3</v>
      </c>
      <c r="N187" s="78"/>
      <c r="P187" s="77" t="s">
        <v>797</v>
      </c>
      <c r="R187" s="29">
        <v>18</v>
      </c>
      <c r="S187" s="77">
        <v>13</v>
      </c>
      <c r="V187" s="77">
        <v>212</v>
      </c>
    </row>
    <row r="188" spans="1:22" s="29" customFormat="1" x14ac:dyDescent="0.15">
      <c r="A188" s="29" t="s">
        <v>13</v>
      </c>
      <c r="B188" s="29">
        <v>11541</v>
      </c>
      <c r="C188" s="23">
        <v>32</v>
      </c>
      <c r="D188" s="29" t="s">
        <v>1048</v>
      </c>
      <c r="E188" s="93" t="s">
        <v>1722</v>
      </c>
      <c r="F188" s="113" t="s">
        <v>895</v>
      </c>
      <c r="L188" s="29">
        <v>3</v>
      </c>
      <c r="N188" s="72"/>
      <c r="P188" s="29" t="s">
        <v>797</v>
      </c>
      <c r="R188" s="29">
        <v>18</v>
      </c>
      <c r="S188" s="70">
        <v>13</v>
      </c>
      <c r="V188" s="29">
        <v>301</v>
      </c>
    </row>
    <row r="189" spans="1:22" s="29" customFormat="1" x14ac:dyDescent="0.15">
      <c r="A189" s="29" t="s">
        <v>13</v>
      </c>
      <c r="B189" s="29">
        <v>11542</v>
      </c>
      <c r="C189" s="23">
        <v>32</v>
      </c>
      <c r="D189" s="29" t="s">
        <v>904</v>
      </c>
      <c r="E189" s="93" t="s">
        <v>1254</v>
      </c>
      <c r="F189" s="113" t="s">
        <v>905</v>
      </c>
      <c r="L189" s="29">
        <v>3</v>
      </c>
      <c r="N189" s="72"/>
      <c r="P189" s="29" t="s">
        <v>797</v>
      </c>
      <c r="R189" s="29">
        <v>18</v>
      </c>
      <c r="S189" s="70">
        <v>13</v>
      </c>
      <c r="V189" s="29">
        <v>302</v>
      </c>
    </row>
    <row r="190" spans="1:22" s="29" customFormat="1" x14ac:dyDescent="0.15">
      <c r="A190" s="29" t="s">
        <v>13</v>
      </c>
      <c r="B190" s="29">
        <v>11543</v>
      </c>
      <c r="C190" s="23">
        <v>32</v>
      </c>
      <c r="D190" s="29" t="s">
        <v>914</v>
      </c>
      <c r="E190" s="93" t="s">
        <v>1255</v>
      </c>
      <c r="F190" s="113" t="s">
        <v>915</v>
      </c>
      <c r="L190" s="29">
        <v>3</v>
      </c>
      <c r="N190" s="72"/>
      <c r="P190" s="29" t="s">
        <v>797</v>
      </c>
      <c r="R190" s="29">
        <v>18</v>
      </c>
      <c r="S190" s="70">
        <v>13</v>
      </c>
      <c r="V190" s="29">
        <v>303</v>
      </c>
    </row>
    <row r="191" spans="1:22" s="29" customFormat="1" x14ac:dyDescent="0.15">
      <c r="A191" s="29" t="s">
        <v>13</v>
      </c>
      <c r="B191" s="29">
        <v>11544</v>
      </c>
      <c r="C191" s="23">
        <v>32</v>
      </c>
      <c r="D191" s="29" t="s">
        <v>924</v>
      </c>
      <c r="E191" s="93" t="s">
        <v>1256</v>
      </c>
      <c r="F191" s="113" t="s">
        <v>925</v>
      </c>
      <c r="L191" s="29">
        <v>3</v>
      </c>
      <c r="N191" s="72"/>
      <c r="P191" s="29" t="s">
        <v>797</v>
      </c>
      <c r="R191" s="29">
        <v>18</v>
      </c>
      <c r="S191" s="70">
        <v>13</v>
      </c>
      <c r="V191" s="29">
        <v>304</v>
      </c>
    </row>
    <row r="192" spans="1:22" s="29" customFormat="1" x14ac:dyDescent="0.15">
      <c r="A192" s="29" t="s">
        <v>13</v>
      </c>
      <c r="B192" s="29">
        <v>11545</v>
      </c>
      <c r="C192" s="23">
        <v>32</v>
      </c>
      <c r="D192" s="29" t="s">
        <v>934</v>
      </c>
      <c r="E192" s="93" t="s">
        <v>1257</v>
      </c>
      <c r="F192" s="113" t="s">
        <v>935</v>
      </c>
      <c r="L192" s="29">
        <v>3</v>
      </c>
      <c r="N192" s="72"/>
      <c r="P192" s="29" t="s">
        <v>797</v>
      </c>
      <c r="R192" s="29">
        <v>18</v>
      </c>
      <c r="S192" s="70">
        <v>13</v>
      </c>
      <c r="V192" s="29">
        <v>305</v>
      </c>
    </row>
    <row r="193" spans="1:22" s="29" customFormat="1" x14ac:dyDescent="0.15">
      <c r="A193" s="29" t="s">
        <v>13</v>
      </c>
      <c r="B193" s="29">
        <v>11546</v>
      </c>
      <c r="C193" s="23">
        <v>32</v>
      </c>
      <c r="D193" s="29" t="s">
        <v>944</v>
      </c>
      <c r="E193" s="93" t="s">
        <v>1258</v>
      </c>
      <c r="F193" s="113" t="s">
        <v>945</v>
      </c>
      <c r="L193" s="29">
        <v>3</v>
      </c>
      <c r="N193" s="72"/>
      <c r="P193" s="29" t="s">
        <v>797</v>
      </c>
      <c r="R193" s="29">
        <v>18</v>
      </c>
      <c r="S193" s="70">
        <v>13</v>
      </c>
      <c r="V193" s="29">
        <v>306</v>
      </c>
    </row>
    <row r="194" spans="1:22" s="29" customFormat="1" x14ac:dyDescent="0.15">
      <c r="A194" s="29" t="s">
        <v>13</v>
      </c>
      <c r="B194" s="29">
        <v>11547</v>
      </c>
      <c r="C194" s="23">
        <v>32</v>
      </c>
      <c r="D194" s="29" t="s">
        <v>954</v>
      </c>
      <c r="E194" s="93" t="s">
        <v>1259</v>
      </c>
      <c r="F194" s="113" t="s">
        <v>955</v>
      </c>
      <c r="L194" s="29">
        <v>3</v>
      </c>
      <c r="N194" s="72"/>
      <c r="P194" s="29" t="s">
        <v>797</v>
      </c>
      <c r="R194" s="29">
        <v>18</v>
      </c>
      <c r="S194" s="70">
        <v>13</v>
      </c>
      <c r="V194" s="29">
        <v>307</v>
      </c>
    </row>
    <row r="195" spans="1:22" s="29" customFormat="1" x14ac:dyDescent="0.15">
      <c r="A195" s="29" t="s">
        <v>13</v>
      </c>
      <c r="B195" s="29">
        <v>11548</v>
      </c>
      <c r="C195" s="23">
        <v>32</v>
      </c>
      <c r="D195" s="29" t="s">
        <v>964</v>
      </c>
      <c r="E195" s="93" t="s">
        <v>1260</v>
      </c>
      <c r="F195" s="113" t="s">
        <v>965</v>
      </c>
      <c r="L195" s="29">
        <v>3</v>
      </c>
      <c r="N195" s="72"/>
      <c r="P195" s="29" t="s">
        <v>797</v>
      </c>
      <c r="R195" s="29">
        <v>18</v>
      </c>
      <c r="S195" s="70">
        <v>13</v>
      </c>
      <c r="V195" s="29">
        <v>308</v>
      </c>
    </row>
    <row r="196" spans="1:22" s="29" customFormat="1" x14ac:dyDescent="0.15">
      <c r="A196" s="29" t="s">
        <v>13</v>
      </c>
      <c r="B196" s="29">
        <v>11549</v>
      </c>
      <c r="C196" s="23">
        <v>32</v>
      </c>
      <c r="D196" s="29" t="s">
        <v>974</v>
      </c>
      <c r="E196" s="93" t="s">
        <v>1261</v>
      </c>
      <c r="F196" s="113" t="s">
        <v>975</v>
      </c>
      <c r="L196" s="29">
        <v>3</v>
      </c>
      <c r="N196" s="72"/>
      <c r="P196" s="29" t="s">
        <v>797</v>
      </c>
      <c r="R196" s="29">
        <v>18</v>
      </c>
      <c r="S196" s="70">
        <v>13</v>
      </c>
      <c r="V196" s="29">
        <v>309</v>
      </c>
    </row>
    <row r="197" spans="1:22" s="29" customFormat="1" x14ac:dyDescent="0.15">
      <c r="A197" s="29" t="s">
        <v>13</v>
      </c>
      <c r="B197" s="29">
        <v>11550</v>
      </c>
      <c r="C197" s="23">
        <v>32</v>
      </c>
      <c r="D197" s="29" t="s">
        <v>984</v>
      </c>
      <c r="E197" s="93" t="s">
        <v>1262</v>
      </c>
      <c r="F197" s="113" t="s">
        <v>985</v>
      </c>
      <c r="L197" s="29">
        <v>3</v>
      </c>
      <c r="N197" s="72"/>
      <c r="P197" s="29" t="s">
        <v>797</v>
      </c>
      <c r="R197" s="29">
        <v>18</v>
      </c>
      <c r="S197" s="70">
        <v>13</v>
      </c>
      <c r="V197" s="29">
        <v>310</v>
      </c>
    </row>
    <row r="198" spans="1:22" s="29" customFormat="1" x14ac:dyDescent="0.15">
      <c r="A198" s="29" t="s">
        <v>13</v>
      </c>
      <c r="B198" s="29">
        <v>11551</v>
      </c>
      <c r="C198" s="23">
        <v>32</v>
      </c>
      <c r="D198" s="29" t="s">
        <v>994</v>
      </c>
      <c r="E198" s="93" t="s">
        <v>1263</v>
      </c>
      <c r="F198" s="113" t="s">
        <v>995</v>
      </c>
      <c r="L198" s="29">
        <v>3</v>
      </c>
      <c r="N198" s="72"/>
      <c r="P198" s="29" t="s">
        <v>797</v>
      </c>
      <c r="R198" s="29">
        <v>18</v>
      </c>
      <c r="S198" s="70">
        <v>13</v>
      </c>
      <c r="V198" s="29">
        <v>311</v>
      </c>
    </row>
    <row r="199" spans="1:22" s="29" customFormat="1" x14ac:dyDescent="0.15">
      <c r="A199" s="29" t="s">
        <v>13</v>
      </c>
      <c r="B199" s="29">
        <v>11552</v>
      </c>
      <c r="C199" s="23">
        <v>32</v>
      </c>
      <c r="D199" s="29" t="s">
        <v>1004</v>
      </c>
      <c r="E199" s="93" t="s">
        <v>1264</v>
      </c>
      <c r="F199" s="113" t="s">
        <v>1005</v>
      </c>
      <c r="L199" s="29">
        <v>3</v>
      </c>
      <c r="N199" s="72"/>
      <c r="P199" s="29" t="s">
        <v>797</v>
      </c>
      <c r="R199" s="29">
        <v>18</v>
      </c>
      <c r="S199" s="70">
        <v>13</v>
      </c>
      <c r="V199" s="29">
        <v>312</v>
      </c>
    </row>
    <row r="200" spans="1:22" s="77" customFormat="1" x14ac:dyDescent="0.15">
      <c r="A200" s="77" t="s">
        <v>13</v>
      </c>
      <c r="B200" s="77">
        <v>11561</v>
      </c>
      <c r="C200" s="77">
        <v>32</v>
      </c>
      <c r="D200" s="77" t="s">
        <v>896</v>
      </c>
      <c r="E200" s="92" t="s">
        <v>1278</v>
      </c>
      <c r="F200" s="112" t="s">
        <v>897</v>
      </c>
      <c r="L200" s="77">
        <v>3</v>
      </c>
      <c r="N200" s="78"/>
      <c r="P200" s="77" t="s">
        <v>797</v>
      </c>
      <c r="R200" s="29">
        <v>18</v>
      </c>
      <c r="S200" s="77">
        <v>13</v>
      </c>
      <c r="V200" s="77">
        <v>401</v>
      </c>
    </row>
    <row r="201" spans="1:22" s="77" customFormat="1" x14ac:dyDescent="0.15">
      <c r="A201" s="77" t="s">
        <v>13</v>
      </c>
      <c r="B201" s="77">
        <v>11562</v>
      </c>
      <c r="C201" s="77">
        <v>32</v>
      </c>
      <c r="D201" s="77" t="s">
        <v>906</v>
      </c>
      <c r="E201" s="92" t="s">
        <v>1279</v>
      </c>
      <c r="F201" s="112" t="s">
        <v>907</v>
      </c>
      <c r="L201" s="77">
        <v>3</v>
      </c>
      <c r="N201" s="78"/>
      <c r="P201" s="77" t="s">
        <v>797</v>
      </c>
      <c r="R201" s="29">
        <v>18</v>
      </c>
      <c r="S201" s="77">
        <v>13</v>
      </c>
      <c r="V201" s="77">
        <v>402</v>
      </c>
    </row>
    <row r="202" spans="1:22" s="77" customFormat="1" x14ac:dyDescent="0.15">
      <c r="A202" s="77" t="s">
        <v>13</v>
      </c>
      <c r="B202" s="77">
        <v>11563</v>
      </c>
      <c r="C202" s="77">
        <v>32</v>
      </c>
      <c r="D202" s="77" t="s">
        <v>916</v>
      </c>
      <c r="E202" s="92" t="s">
        <v>1280</v>
      </c>
      <c r="F202" s="112" t="s">
        <v>917</v>
      </c>
      <c r="L202" s="77">
        <v>3</v>
      </c>
      <c r="N202" s="78"/>
      <c r="P202" s="77" t="s">
        <v>797</v>
      </c>
      <c r="R202" s="29">
        <v>18</v>
      </c>
      <c r="S202" s="77">
        <v>13</v>
      </c>
      <c r="V202" s="77">
        <v>403</v>
      </c>
    </row>
    <row r="203" spans="1:22" s="77" customFormat="1" x14ac:dyDescent="0.15">
      <c r="A203" s="77" t="s">
        <v>13</v>
      </c>
      <c r="B203" s="77">
        <v>11564</v>
      </c>
      <c r="C203" s="77">
        <v>32</v>
      </c>
      <c r="D203" s="77" t="s">
        <v>926</v>
      </c>
      <c r="E203" s="92" t="s">
        <v>1281</v>
      </c>
      <c r="F203" s="112" t="s">
        <v>927</v>
      </c>
      <c r="L203" s="77">
        <v>3</v>
      </c>
      <c r="N203" s="78"/>
      <c r="P203" s="77" t="s">
        <v>797</v>
      </c>
      <c r="R203" s="29">
        <v>18</v>
      </c>
      <c r="S203" s="77">
        <v>13</v>
      </c>
      <c r="V203" s="77">
        <v>404</v>
      </c>
    </row>
    <row r="204" spans="1:22" s="77" customFormat="1" x14ac:dyDescent="0.15">
      <c r="A204" s="77" t="s">
        <v>13</v>
      </c>
      <c r="B204" s="77">
        <v>11565</v>
      </c>
      <c r="C204" s="77">
        <v>32</v>
      </c>
      <c r="D204" s="77" t="s">
        <v>936</v>
      </c>
      <c r="E204" s="92" t="s">
        <v>1282</v>
      </c>
      <c r="F204" s="112" t="s">
        <v>937</v>
      </c>
      <c r="L204" s="77">
        <v>3</v>
      </c>
      <c r="N204" s="78"/>
      <c r="P204" s="77" t="s">
        <v>797</v>
      </c>
      <c r="R204" s="29">
        <v>18</v>
      </c>
      <c r="S204" s="77">
        <v>13</v>
      </c>
      <c r="V204" s="77">
        <v>405</v>
      </c>
    </row>
    <row r="205" spans="1:22" s="77" customFormat="1" x14ac:dyDescent="0.15">
      <c r="A205" s="77" t="s">
        <v>13</v>
      </c>
      <c r="B205" s="77">
        <v>11566</v>
      </c>
      <c r="C205" s="77">
        <v>32</v>
      </c>
      <c r="D205" s="77" t="s">
        <v>946</v>
      </c>
      <c r="E205" s="92" t="s">
        <v>1283</v>
      </c>
      <c r="F205" s="112" t="s">
        <v>947</v>
      </c>
      <c r="L205" s="77">
        <v>3</v>
      </c>
      <c r="N205" s="78"/>
      <c r="P205" s="77" t="s">
        <v>797</v>
      </c>
      <c r="R205" s="29">
        <v>18</v>
      </c>
      <c r="S205" s="77">
        <v>13</v>
      </c>
      <c r="V205" s="77">
        <v>406</v>
      </c>
    </row>
    <row r="206" spans="1:22" s="77" customFormat="1" x14ac:dyDescent="0.15">
      <c r="A206" s="77" t="s">
        <v>13</v>
      </c>
      <c r="B206" s="77">
        <v>11567</v>
      </c>
      <c r="C206" s="77">
        <v>32</v>
      </c>
      <c r="D206" s="77" t="s">
        <v>956</v>
      </c>
      <c r="E206" s="92" t="s">
        <v>1284</v>
      </c>
      <c r="F206" s="112" t="s">
        <v>957</v>
      </c>
      <c r="L206" s="77">
        <v>3</v>
      </c>
      <c r="N206" s="78"/>
      <c r="P206" s="77" t="s">
        <v>797</v>
      </c>
      <c r="R206" s="29">
        <v>18</v>
      </c>
      <c r="S206" s="77">
        <v>13</v>
      </c>
      <c r="V206" s="77">
        <v>407</v>
      </c>
    </row>
    <row r="207" spans="1:22" s="77" customFormat="1" x14ac:dyDescent="0.15">
      <c r="A207" s="77" t="s">
        <v>13</v>
      </c>
      <c r="B207" s="77">
        <v>11568</v>
      </c>
      <c r="C207" s="77">
        <v>32</v>
      </c>
      <c r="D207" s="77" t="s">
        <v>966</v>
      </c>
      <c r="E207" s="92" t="s">
        <v>1285</v>
      </c>
      <c r="F207" s="112" t="s">
        <v>967</v>
      </c>
      <c r="L207" s="77">
        <v>3</v>
      </c>
      <c r="N207" s="78"/>
      <c r="P207" s="77" t="s">
        <v>797</v>
      </c>
      <c r="R207" s="29">
        <v>18</v>
      </c>
      <c r="S207" s="77">
        <v>13</v>
      </c>
      <c r="V207" s="77">
        <v>408</v>
      </c>
    </row>
    <row r="208" spans="1:22" s="77" customFormat="1" x14ac:dyDescent="0.15">
      <c r="A208" s="77" t="s">
        <v>13</v>
      </c>
      <c r="B208" s="77">
        <v>11569</v>
      </c>
      <c r="C208" s="77">
        <v>32</v>
      </c>
      <c r="D208" s="77" t="s">
        <v>976</v>
      </c>
      <c r="E208" s="92" t="s">
        <v>1286</v>
      </c>
      <c r="F208" s="112" t="s">
        <v>977</v>
      </c>
      <c r="L208" s="77">
        <v>3</v>
      </c>
      <c r="N208" s="78"/>
      <c r="P208" s="77" t="s">
        <v>797</v>
      </c>
      <c r="R208" s="29">
        <v>18</v>
      </c>
      <c r="S208" s="77">
        <v>13</v>
      </c>
      <c r="V208" s="77">
        <v>409</v>
      </c>
    </row>
    <row r="209" spans="1:26" s="77" customFormat="1" x14ac:dyDescent="0.15">
      <c r="A209" s="77" t="s">
        <v>13</v>
      </c>
      <c r="B209" s="77">
        <v>11570</v>
      </c>
      <c r="C209" s="77">
        <v>32</v>
      </c>
      <c r="D209" s="77" t="s">
        <v>986</v>
      </c>
      <c r="E209" s="92" t="s">
        <v>1287</v>
      </c>
      <c r="F209" s="112" t="s">
        <v>987</v>
      </c>
      <c r="L209" s="77">
        <v>3</v>
      </c>
      <c r="N209" s="78"/>
      <c r="P209" s="77" t="s">
        <v>797</v>
      </c>
      <c r="R209" s="29">
        <v>18</v>
      </c>
      <c r="S209" s="77">
        <v>13</v>
      </c>
      <c r="V209" s="77">
        <v>410</v>
      </c>
    </row>
    <row r="210" spans="1:26" s="77" customFormat="1" x14ac:dyDescent="0.15">
      <c r="A210" s="77" t="s">
        <v>13</v>
      </c>
      <c r="B210" s="77">
        <v>11571</v>
      </c>
      <c r="C210" s="77">
        <v>32</v>
      </c>
      <c r="D210" s="77" t="s">
        <v>996</v>
      </c>
      <c r="E210" s="92" t="s">
        <v>1288</v>
      </c>
      <c r="F210" s="112" t="s">
        <v>997</v>
      </c>
      <c r="L210" s="77">
        <v>3</v>
      </c>
      <c r="N210" s="78"/>
      <c r="P210" s="77" t="s">
        <v>797</v>
      </c>
      <c r="R210" s="29">
        <v>18</v>
      </c>
      <c r="S210" s="77">
        <v>13</v>
      </c>
      <c r="V210" s="77">
        <v>411</v>
      </c>
    </row>
    <row r="211" spans="1:26" s="77" customFormat="1" x14ac:dyDescent="0.15">
      <c r="A211" s="77" t="s">
        <v>13</v>
      </c>
      <c r="B211" s="77">
        <v>11572</v>
      </c>
      <c r="C211" s="77">
        <v>32</v>
      </c>
      <c r="D211" s="77" t="s">
        <v>1006</v>
      </c>
      <c r="E211" s="92" t="s">
        <v>1289</v>
      </c>
      <c r="F211" s="112" t="s">
        <v>1007</v>
      </c>
      <c r="L211" s="77">
        <v>3</v>
      </c>
      <c r="N211" s="78"/>
      <c r="P211" s="77" t="s">
        <v>797</v>
      </c>
      <c r="R211" s="29">
        <v>18</v>
      </c>
      <c r="S211" s="77">
        <v>13</v>
      </c>
      <c r="V211" s="77">
        <v>412</v>
      </c>
    </row>
    <row r="212" spans="1:26" s="29" customFormat="1" x14ac:dyDescent="0.15">
      <c r="A212" s="29" t="s">
        <v>13</v>
      </c>
      <c r="B212" s="29">
        <v>11581</v>
      </c>
      <c r="C212" s="23">
        <v>32</v>
      </c>
      <c r="D212" s="29" t="s">
        <v>898</v>
      </c>
      <c r="E212" s="93" t="s">
        <v>1290</v>
      </c>
      <c r="F212" s="113" t="s">
        <v>899</v>
      </c>
      <c r="L212" s="29">
        <v>3</v>
      </c>
      <c r="N212" s="72"/>
      <c r="P212" s="29" t="s">
        <v>797</v>
      </c>
      <c r="R212" s="29">
        <v>18</v>
      </c>
      <c r="S212" s="70">
        <v>13</v>
      </c>
      <c r="V212" s="29">
        <v>501</v>
      </c>
    </row>
    <row r="213" spans="1:26" s="29" customFormat="1" x14ac:dyDescent="0.15">
      <c r="A213" s="29" t="s">
        <v>13</v>
      </c>
      <c r="B213" s="29">
        <v>11582</v>
      </c>
      <c r="C213" s="23">
        <v>32</v>
      </c>
      <c r="D213" s="29" t="s">
        <v>908</v>
      </c>
      <c r="E213" s="93" t="s">
        <v>1291</v>
      </c>
      <c r="F213" s="113" t="s">
        <v>909</v>
      </c>
      <c r="L213" s="29">
        <v>3</v>
      </c>
      <c r="N213" s="72"/>
      <c r="P213" s="29" t="s">
        <v>797</v>
      </c>
      <c r="R213" s="29">
        <v>18</v>
      </c>
      <c r="S213" s="70">
        <v>13</v>
      </c>
      <c r="V213" s="29">
        <v>502</v>
      </c>
    </row>
    <row r="214" spans="1:26" s="29" customFormat="1" x14ac:dyDescent="0.15">
      <c r="A214" s="29" t="s">
        <v>13</v>
      </c>
      <c r="B214" s="29">
        <v>11583</v>
      </c>
      <c r="C214" s="23">
        <v>32</v>
      </c>
      <c r="D214" s="29" t="s">
        <v>918</v>
      </c>
      <c r="E214" s="93" t="s">
        <v>1292</v>
      </c>
      <c r="F214" s="113" t="s">
        <v>919</v>
      </c>
      <c r="L214" s="29">
        <v>3</v>
      </c>
      <c r="N214" s="72"/>
      <c r="P214" s="29" t="s">
        <v>797</v>
      </c>
      <c r="R214" s="29">
        <v>18</v>
      </c>
      <c r="S214" s="70">
        <v>13</v>
      </c>
      <c r="V214" s="29">
        <v>503</v>
      </c>
    </row>
    <row r="215" spans="1:26" s="29" customFormat="1" x14ac:dyDescent="0.15">
      <c r="A215" s="29" t="s">
        <v>13</v>
      </c>
      <c r="B215" s="29">
        <v>11584</v>
      </c>
      <c r="C215" s="23">
        <v>32</v>
      </c>
      <c r="D215" s="29" t="s">
        <v>928</v>
      </c>
      <c r="E215" s="93" t="s">
        <v>1293</v>
      </c>
      <c r="F215" s="113" t="s">
        <v>929</v>
      </c>
      <c r="L215" s="29">
        <v>3</v>
      </c>
      <c r="N215" s="72"/>
      <c r="P215" s="29" t="s">
        <v>797</v>
      </c>
      <c r="R215" s="29">
        <v>18</v>
      </c>
      <c r="S215" s="70">
        <v>13</v>
      </c>
      <c r="V215" s="29">
        <v>504</v>
      </c>
    </row>
    <row r="216" spans="1:26" s="29" customFormat="1" x14ac:dyDescent="0.15">
      <c r="A216" s="29" t="s">
        <v>13</v>
      </c>
      <c r="B216" s="29">
        <v>11585</v>
      </c>
      <c r="C216" s="23">
        <v>32</v>
      </c>
      <c r="D216" s="29" t="s">
        <v>938</v>
      </c>
      <c r="E216" s="93" t="s">
        <v>1294</v>
      </c>
      <c r="F216" s="113" t="s">
        <v>939</v>
      </c>
      <c r="L216" s="29">
        <v>3</v>
      </c>
      <c r="N216" s="72"/>
      <c r="P216" s="29" t="s">
        <v>797</v>
      </c>
      <c r="R216" s="29">
        <v>18</v>
      </c>
      <c r="S216" s="70">
        <v>13</v>
      </c>
      <c r="V216" s="29">
        <v>505</v>
      </c>
    </row>
    <row r="217" spans="1:26" s="29" customFormat="1" x14ac:dyDescent="0.15">
      <c r="A217" s="29" t="s">
        <v>13</v>
      </c>
      <c r="B217" s="29">
        <v>11586</v>
      </c>
      <c r="C217" s="23">
        <v>32</v>
      </c>
      <c r="D217" s="29" t="s">
        <v>948</v>
      </c>
      <c r="E217" s="93" t="s">
        <v>1295</v>
      </c>
      <c r="F217" s="113" t="s">
        <v>949</v>
      </c>
      <c r="L217" s="29">
        <v>3</v>
      </c>
      <c r="N217" s="72"/>
      <c r="P217" s="29" t="s">
        <v>797</v>
      </c>
      <c r="R217" s="29">
        <v>18</v>
      </c>
      <c r="S217" s="70">
        <v>13</v>
      </c>
      <c r="V217" s="29">
        <v>506</v>
      </c>
    </row>
    <row r="218" spans="1:26" s="29" customFormat="1" x14ac:dyDescent="0.15">
      <c r="A218" s="29" t="s">
        <v>13</v>
      </c>
      <c r="B218" s="29">
        <v>11587</v>
      </c>
      <c r="C218" s="23">
        <v>32</v>
      </c>
      <c r="D218" s="29" t="s">
        <v>958</v>
      </c>
      <c r="E218" s="93" t="s">
        <v>1296</v>
      </c>
      <c r="F218" s="113" t="s">
        <v>959</v>
      </c>
      <c r="L218" s="29">
        <v>3</v>
      </c>
      <c r="N218" s="72"/>
      <c r="P218" s="29" t="s">
        <v>797</v>
      </c>
      <c r="R218" s="29">
        <v>18</v>
      </c>
      <c r="S218" s="70">
        <v>13</v>
      </c>
      <c r="V218" s="29">
        <v>507</v>
      </c>
    </row>
    <row r="219" spans="1:26" s="29" customFormat="1" x14ac:dyDescent="0.15">
      <c r="A219" s="29" t="s">
        <v>13</v>
      </c>
      <c r="B219" s="29">
        <v>11588</v>
      </c>
      <c r="C219" s="23">
        <v>32</v>
      </c>
      <c r="D219" s="29" t="s">
        <v>968</v>
      </c>
      <c r="E219" s="93" t="s">
        <v>1297</v>
      </c>
      <c r="F219" s="113" t="s">
        <v>969</v>
      </c>
      <c r="L219" s="29">
        <v>3</v>
      </c>
      <c r="N219" s="72"/>
      <c r="P219" s="29" t="s">
        <v>797</v>
      </c>
      <c r="R219" s="29">
        <v>18</v>
      </c>
      <c r="S219" s="70">
        <v>13</v>
      </c>
      <c r="V219" s="29">
        <v>508</v>
      </c>
    </row>
    <row r="220" spans="1:26" s="29" customFormat="1" x14ac:dyDescent="0.15">
      <c r="A220" s="29" t="s">
        <v>13</v>
      </c>
      <c r="B220" s="29">
        <v>11589</v>
      </c>
      <c r="C220" s="23">
        <v>32</v>
      </c>
      <c r="D220" s="29" t="s">
        <v>978</v>
      </c>
      <c r="E220" s="93" t="s">
        <v>1298</v>
      </c>
      <c r="F220" s="113" t="s">
        <v>979</v>
      </c>
      <c r="L220" s="29">
        <v>3</v>
      </c>
      <c r="N220" s="72"/>
      <c r="P220" s="29" t="s">
        <v>797</v>
      </c>
      <c r="R220" s="29">
        <v>18</v>
      </c>
      <c r="S220" s="70">
        <v>13</v>
      </c>
      <c r="V220" s="29">
        <v>509</v>
      </c>
    </row>
    <row r="221" spans="1:26" s="29" customFormat="1" x14ac:dyDescent="0.15">
      <c r="A221" s="29" t="s">
        <v>13</v>
      </c>
      <c r="B221" s="29">
        <v>11590</v>
      </c>
      <c r="C221" s="23">
        <v>32</v>
      </c>
      <c r="D221" s="29" t="s">
        <v>988</v>
      </c>
      <c r="E221" s="93" t="s">
        <v>1299</v>
      </c>
      <c r="F221" s="113" t="s">
        <v>989</v>
      </c>
      <c r="L221" s="29">
        <v>3</v>
      </c>
      <c r="N221" s="72"/>
      <c r="P221" s="29" t="s">
        <v>797</v>
      </c>
      <c r="R221" s="29">
        <v>18</v>
      </c>
      <c r="S221" s="70">
        <v>13</v>
      </c>
      <c r="V221" s="29">
        <v>510</v>
      </c>
    </row>
    <row r="222" spans="1:26" s="29" customFormat="1" x14ac:dyDescent="0.15">
      <c r="A222" s="29" t="s">
        <v>13</v>
      </c>
      <c r="B222" s="29">
        <v>11591</v>
      </c>
      <c r="C222" s="23">
        <v>32</v>
      </c>
      <c r="D222" s="29" t="s">
        <v>998</v>
      </c>
      <c r="E222" s="93" t="s">
        <v>1300</v>
      </c>
      <c r="F222" s="113" t="s">
        <v>999</v>
      </c>
      <c r="L222" s="29">
        <v>3</v>
      </c>
      <c r="N222" s="72"/>
      <c r="P222" s="29" t="s">
        <v>797</v>
      </c>
      <c r="R222" s="29">
        <v>18</v>
      </c>
      <c r="S222" s="70">
        <v>13</v>
      </c>
      <c r="V222" s="29">
        <v>511</v>
      </c>
    </row>
    <row r="223" spans="1:26" s="29" customFormat="1" x14ac:dyDescent="0.15">
      <c r="A223" s="29" t="s">
        <v>13</v>
      </c>
      <c r="B223" s="29">
        <v>11592</v>
      </c>
      <c r="C223" s="23">
        <v>32</v>
      </c>
      <c r="D223" s="29" t="s">
        <v>1008</v>
      </c>
      <c r="E223" s="93" t="s">
        <v>1301</v>
      </c>
      <c r="F223" s="113" t="s">
        <v>1009</v>
      </c>
      <c r="L223" s="29">
        <v>3</v>
      </c>
      <c r="N223" s="72"/>
      <c r="P223" s="29" t="s">
        <v>797</v>
      </c>
      <c r="R223" s="29">
        <v>18</v>
      </c>
      <c r="S223" s="70">
        <v>13</v>
      </c>
      <c r="V223" s="29">
        <v>512</v>
      </c>
    </row>
    <row r="224" spans="1:26" s="77" customFormat="1" x14ac:dyDescent="0.15">
      <c r="A224" s="77" t="s">
        <v>13</v>
      </c>
      <c r="B224" s="77">
        <v>11601</v>
      </c>
      <c r="C224" s="77">
        <v>32</v>
      </c>
      <c r="D224" s="77" t="s">
        <v>1444</v>
      </c>
      <c r="E224" s="92" t="s">
        <v>1483</v>
      </c>
      <c r="F224" s="112" t="s">
        <v>1989</v>
      </c>
      <c r="L224" s="77">
        <v>1</v>
      </c>
      <c r="N224" s="78"/>
      <c r="P224" s="77" t="s">
        <v>792</v>
      </c>
      <c r="R224" s="29">
        <v>18</v>
      </c>
      <c r="S224" s="77">
        <v>13</v>
      </c>
      <c r="V224" s="77">
        <v>101</v>
      </c>
      <c r="W224" s="77">
        <v>201</v>
      </c>
      <c r="X224" s="77">
        <v>301</v>
      </c>
      <c r="Y224" s="77">
        <v>401</v>
      </c>
      <c r="Z224" s="77">
        <v>501</v>
      </c>
    </row>
    <row r="225" spans="1:26" s="77" customFormat="1" x14ac:dyDescent="0.15">
      <c r="A225" s="77" t="s">
        <v>13</v>
      </c>
      <c r="B225" s="77">
        <v>11602</v>
      </c>
      <c r="C225" s="77">
        <v>32</v>
      </c>
      <c r="D225" s="77" t="s">
        <v>1445</v>
      </c>
      <c r="E225" s="92" t="s">
        <v>1485</v>
      </c>
      <c r="F225" s="112" t="s">
        <v>2002</v>
      </c>
      <c r="L225" s="77">
        <v>1</v>
      </c>
      <c r="N225" s="78"/>
      <c r="P225" s="77" t="s">
        <v>792</v>
      </c>
      <c r="R225" s="29">
        <v>18</v>
      </c>
      <c r="S225" s="77">
        <v>13</v>
      </c>
      <c r="V225" s="77">
        <v>102</v>
      </c>
      <c r="W225" s="77">
        <v>202</v>
      </c>
      <c r="X225" s="77">
        <v>302</v>
      </c>
      <c r="Y225" s="77">
        <v>402</v>
      </c>
      <c r="Z225" s="77">
        <v>502</v>
      </c>
    </row>
    <row r="226" spans="1:26" s="77" customFormat="1" x14ac:dyDescent="0.15">
      <c r="A226" s="77" t="s">
        <v>13</v>
      </c>
      <c r="B226" s="77">
        <v>11603</v>
      </c>
      <c r="C226" s="77">
        <v>32</v>
      </c>
      <c r="D226" s="77" t="s">
        <v>1446</v>
      </c>
      <c r="E226" s="92" t="s">
        <v>1486</v>
      </c>
      <c r="F226" s="112" t="s">
        <v>2003</v>
      </c>
      <c r="L226" s="77">
        <v>1</v>
      </c>
      <c r="N226" s="78"/>
      <c r="P226" s="77" t="s">
        <v>792</v>
      </c>
      <c r="R226" s="29">
        <v>18</v>
      </c>
      <c r="S226" s="77">
        <v>13</v>
      </c>
      <c r="V226" s="77">
        <v>103</v>
      </c>
      <c r="W226" s="77">
        <v>203</v>
      </c>
      <c r="X226" s="77">
        <v>303</v>
      </c>
      <c r="Y226" s="77">
        <v>403</v>
      </c>
      <c r="Z226" s="77">
        <v>503</v>
      </c>
    </row>
    <row r="227" spans="1:26" s="77" customFormat="1" x14ac:dyDescent="0.15">
      <c r="A227" s="77" t="s">
        <v>13</v>
      </c>
      <c r="B227" s="77">
        <v>11604</v>
      </c>
      <c r="C227" s="77">
        <v>32</v>
      </c>
      <c r="D227" s="77" t="s">
        <v>1447</v>
      </c>
      <c r="E227" s="92" t="s">
        <v>1487</v>
      </c>
      <c r="F227" s="112" t="s">
        <v>2004</v>
      </c>
      <c r="L227" s="77">
        <v>1</v>
      </c>
      <c r="N227" s="78"/>
      <c r="P227" s="77" t="s">
        <v>792</v>
      </c>
      <c r="R227" s="29">
        <v>18</v>
      </c>
      <c r="S227" s="77">
        <v>13</v>
      </c>
      <c r="V227" s="77">
        <v>104</v>
      </c>
      <c r="W227" s="77">
        <v>204</v>
      </c>
      <c r="X227" s="77">
        <v>304</v>
      </c>
      <c r="Y227" s="77">
        <v>404</v>
      </c>
      <c r="Z227" s="77">
        <v>504</v>
      </c>
    </row>
    <row r="228" spans="1:26" s="77" customFormat="1" x14ac:dyDescent="0.15">
      <c r="A228" s="77" t="s">
        <v>13</v>
      </c>
      <c r="B228" s="77">
        <v>11605</v>
      </c>
      <c r="C228" s="77">
        <v>32</v>
      </c>
      <c r="D228" s="77" t="s">
        <v>1448</v>
      </c>
      <c r="E228" s="92" t="s">
        <v>1488</v>
      </c>
      <c r="F228" s="112" t="s">
        <v>2005</v>
      </c>
      <c r="L228" s="77">
        <v>1</v>
      </c>
      <c r="N228" s="78"/>
      <c r="P228" s="77" t="s">
        <v>792</v>
      </c>
      <c r="R228" s="29">
        <v>18</v>
      </c>
      <c r="S228" s="77">
        <v>13</v>
      </c>
      <c r="V228" s="77">
        <v>105</v>
      </c>
      <c r="W228" s="77">
        <v>205</v>
      </c>
      <c r="X228" s="77">
        <v>305</v>
      </c>
      <c r="Y228" s="77">
        <v>405</v>
      </c>
      <c r="Z228" s="77">
        <v>505</v>
      </c>
    </row>
    <row r="229" spans="1:26" s="77" customFormat="1" x14ac:dyDescent="0.15">
      <c r="A229" s="77" t="s">
        <v>13</v>
      </c>
      <c r="B229" s="77">
        <v>11606</v>
      </c>
      <c r="C229" s="77">
        <v>32</v>
      </c>
      <c r="D229" s="77" t="s">
        <v>1449</v>
      </c>
      <c r="E229" s="92" t="s">
        <v>1489</v>
      </c>
      <c r="F229" s="112" t="s">
        <v>2006</v>
      </c>
      <c r="L229" s="77">
        <v>1</v>
      </c>
      <c r="N229" s="78"/>
      <c r="P229" s="77" t="s">
        <v>792</v>
      </c>
      <c r="R229" s="29">
        <v>18</v>
      </c>
      <c r="S229" s="77">
        <v>13</v>
      </c>
      <c r="V229" s="77">
        <v>106</v>
      </c>
      <c r="W229" s="77">
        <v>206</v>
      </c>
      <c r="X229" s="77">
        <v>306</v>
      </c>
      <c r="Y229" s="77">
        <v>406</v>
      </c>
      <c r="Z229" s="77">
        <v>506</v>
      </c>
    </row>
    <row r="230" spans="1:26" s="77" customFormat="1" x14ac:dyDescent="0.15">
      <c r="A230" s="77" t="s">
        <v>13</v>
      </c>
      <c r="B230" s="77">
        <v>11607</v>
      </c>
      <c r="C230" s="77">
        <v>32</v>
      </c>
      <c r="D230" s="77" t="s">
        <v>1450</v>
      </c>
      <c r="E230" s="92" t="s">
        <v>1490</v>
      </c>
      <c r="F230" s="112" t="s">
        <v>2007</v>
      </c>
      <c r="L230" s="77">
        <v>1</v>
      </c>
      <c r="N230" s="78"/>
      <c r="P230" s="77" t="s">
        <v>792</v>
      </c>
      <c r="R230" s="29">
        <v>18</v>
      </c>
      <c r="S230" s="77">
        <v>13</v>
      </c>
      <c r="V230" s="77">
        <v>107</v>
      </c>
      <c r="W230" s="77">
        <v>207</v>
      </c>
      <c r="X230" s="77">
        <v>307</v>
      </c>
      <c r="Y230" s="77">
        <v>407</v>
      </c>
      <c r="Z230" s="77">
        <v>507</v>
      </c>
    </row>
    <row r="231" spans="1:26" s="77" customFormat="1" x14ac:dyDescent="0.15">
      <c r="A231" s="77" t="s">
        <v>13</v>
      </c>
      <c r="B231" s="77">
        <v>11608</v>
      </c>
      <c r="C231" s="77">
        <v>32</v>
      </c>
      <c r="D231" s="77" t="s">
        <v>1451</v>
      </c>
      <c r="E231" s="92" t="s">
        <v>1491</v>
      </c>
      <c r="F231" s="112" t="s">
        <v>2008</v>
      </c>
      <c r="L231" s="77">
        <v>1</v>
      </c>
      <c r="N231" s="78"/>
      <c r="P231" s="77" t="s">
        <v>792</v>
      </c>
      <c r="R231" s="29">
        <v>18</v>
      </c>
      <c r="S231" s="77">
        <v>13</v>
      </c>
      <c r="V231" s="77">
        <v>108</v>
      </c>
      <c r="W231" s="77">
        <v>208</v>
      </c>
      <c r="X231" s="77">
        <v>308</v>
      </c>
      <c r="Y231" s="77">
        <v>408</v>
      </c>
      <c r="Z231" s="77">
        <v>508</v>
      </c>
    </row>
    <row r="232" spans="1:26" s="77" customFormat="1" x14ac:dyDescent="0.15">
      <c r="A232" s="77" t="s">
        <v>13</v>
      </c>
      <c r="B232" s="77">
        <v>11609</v>
      </c>
      <c r="C232" s="77">
        <v>32</v>
      </c>
      <c r="D232" s="77" t="s">
        <v>1452</v>
      </c>
      <c r="E232" s="92" t="s">
        <v>1492</v>
      </c>
      <c r="F232" s="112" t="s">
        <v>2009</v>
      </c>
      <c r="L232" s="77">
        <v>1</v>
      </c>
      <c r="N232" s="78"/>
      <c r="P232" s="77" t="s">
        <v>792</v>
      </c>
      <c r="R232" s="29">
        <v>18</v>
      </c>
      <c r="S232" s="77">
        <v>13</v>
      </c>
      <c r="V232" s="77">
        <v>109</v>
      </c>
      <c r="W232" s="77">
        <v>209</v>
      </c>
      <c r="X232" s="77">
        <v>309</v>
      </c>
      <c r="Y232" s="77">
        <v>409</v>
      </c>
      <c r="Z232" s="77">
        <v>509</v>
      </c>
    </row>
    <row r="233" spans="1:26" s="77" customFormat="1" x14ac:dyDescent="0.15">
      <c r="A233" s="77" t="s">
        <v>13</v>
      </c>
      <c r="B233" s="77">
        <v>11610</v>
      </c>
      <c r="C233" s="77">
        <v>32</v>
      </c>
      <c r="D233" s="77" t="s">
        <v>1453</v>
      </c>
      <c r="E233" s="92" t="s">
        <v>1493</v>
      </c>
      <c r="F233" s="112" t="s">
        <v>2010</v>
      </c>
      <c r="L233" s="77">
        <v>1</v>
      </c>
      <c r="N233" s="78"/>
      <c r="P233" s="77" t="s">
        <v>792</v>
      </c>
      <c r="R233" s="29">
        <v>18</v>
      </c>
      <c r="S233" s="77">
        <v>13</v>
      </c>
      <c r="V233" s="77">
        <v>110</v>
      </c>
      <c r="W233" s="77">
        <v>210</v>
      </c>
      <c r="X233" s="77">
        <v>310</v>
      </c>
      <c r="Y233" s="77">
        <v>410</v>
      </c>
      <c r="Z233" s="77">
        <v>510</v>
      </c>
    </row>
    <row r="234" spans="1:26" s="77" customFormat="1" x14ac:dyDescent="0.15">
      <c r="A234" s="77" t="s">
        <v>13</v>
      </c>
      <c r="B234" s="77">
        <v>11611</v>
      </c>
      <c r="C234" s="77">
        <v>32</v>
      </c>
      <c r="D234" s="77" t="s">
        <v>1454</v>
      </c>
      <c r="E234" s="92" t="s">
        <v>1494</v>
      </c>
      <c r="F234" s="112" t="s">
        <v>2011</v>
      </c>
      <c r="L234" s="77">
        <v>1</v>
      </c>
      <c r="N234" s="78"/>
      <c r="P234" s="77" t="s">
        <v>792</v>
      </c>
      <c r="R234" s="29">
        <v>18</v>
      </c>
      <c r="S234" s="77">
        <v>13</v>
      </c>
      <c r="V234" s="77">
        <v>111</v>
      </c>
      <c r="W234" s="77">
        <v>211</v>
      </c>
      <c r="X234" s="77">
        <v>311</v>
      </c>
      <c r="Y234" s="77">
        <v>411</v>
      </c>
      <c r="Z234" s="77">
        <v>511</v>
      </c>
    </row>
    <row r="235" spans="1:26" s="77" customFormat="1" x14ac:dyDescent="0.15">
      <c r="A235" s="77" t="s">
        <v>13</v>
      </c>
      <c r="B235" s="77">
        <v>11612</v>
      </c>
      <c r="C235" s="77">
        <v>32</v>
      </c>
      <c r="D235" s="77" t="s">
        <v>1455</v>
      </c>
      <c r="E235" s="92" t="s">
        <v>1495</v>
      </c>
      <c r="F235" s="112" t="s">
        <v>2012</v>
      </c>
      <c r="L235" s="77">
        <v>1</v>
      </c>
      <c r="N235" s="78"/>
      <c r="P235" s="77" t="s">
        <v>792</v>
      </c>
      <c r="R235" s="29">
        <v>18</v>
      </c>
      <c r="S235" s="77">
        <v>13</v>
      </c>
      <c r="V235" s="77">
        <v>112</v>
      </c>
      <c r="W235" s="77">
        <v>212</v>
      </c>
      <c r="X235" s="77">
        <v>312</v>
      </c>
      <c r="Y235" s="77">
        <v>412</v>
      </c>
      <c r="Z235" s="77">
        <v>512</v>
      </c>
    </row>
    <row r="236" spans="1:26" s="29" customFormat="1" x14ac:dyDescent="0.15">
      <c r="A236" s="29" t="s">
        <v>13</v>
      </c>
      <c r="B236" s="29">
        <v>11621</v>
      </c>
      <c r="C236" s="23">
        <v>32</v>
      </c>
      <c r="D236" s="29" t="s">
        <v>1456</v>
      </c>
      <c r="E236" s="93" t="s">
        <v>1484</v>
      </c>
      <c r="F236" s="112" t="s">
        <v>1990</v>
      </c>
      <c r="L236" s="29">
        <v>1</v>
      </c>
      <c r="N236" s="72"/>
      <c r="P236" s="29" t="s">
        <v>792</v>
      </c>
      <c r="R236" s="29">
        <v>18</v>
      </c>
      <c r="S236" s="70">
        <v>13</v>
      </c>
      <c r="V236" s="29">
        <v>101</v>
      </c>
      <c r="W236" s="29">
        <v>201</v>
      </c>
      <c r="X236" s="29">
        <v>301</v>
      </c>
      <c r="Y236" s="29">
        <v>401</v>
      </c>
      <c r="Z236" s="29">
        <v>501</v>
      </c>
    </row>
    <row r="237" spans="1:26" s="29" customFormat="1" x14ac:dyDescent="0.15">
      <c r="A237" s="29" t="s">
        <v>13</v>
      </c>
      <c r="B237" s="29">
        <v>11622</v>
      </c>
      <c r="C237" s="23">
        <v>32</v>
      </c>
      <c r="D237" s="29" t="s">
        <v>1457</v>
      </c>
      <c r="E237" s="93" t="s">
        <v>1496</v>
      </c>
      <c r="F237" s="112" t="s">
        <v>1991</v>
      </c>
      <c r="L237" s="29">
        <v>1</v>
      </c>
      <c r="N237" s="72"/>
      <c r="P237" s="29" t="s">
        <v>792</v>
      </c>
      <c r="R237" s="29">
        <v>18</v>
      </c>
      <c r="S237" s="70">
        <v>13</v>
      </c>
      <c r="V237" s="29">
        <v>102</v>
      </c>
      <c r="W237" s="29">
        <v>202</v>
      </c>
      <c r="X237" s="29">
        <v>302</v>
      </c>
      <c r="Y237" s="29">
        <v>402</v>
      </c>
      <c r="Z237" s="29">
        <v>502</v>
      </c>
    </row>
    <row r="238" spans="1:26" s="29" customFormat="1" x14ac:dyDescent="0.15">
      <c r="A238" s="29" t="s">
        <v>13</v>
      </c>
      <c r="B238" s="29">
        <v>11623</v>
      </c>
      <c r="C238" s="23">
        <v>32</v>
      </c>
      <c r="D238" s="29" t="s">
        <v>1458</v>
      </c>
      <c r="E238" s="93" t="s">
        <v>1497</v>
      </c>
      <c r="F238" s="112" t="s">
        <v>1992</v>
      </c>
      <c r="L238" s="29">
        <v>1</v>
      </c>
      <c r="N238" s="72"/>
      <c r="P238" s="29" t="s">
        <v>792</v>
      </c>
      <c r="R238" s="29">
        <v>18</v>
      </c>
      <c r="S238" s="70">
        <v>13</v>
      </c>
      <c r="V238" s="29">
        <v>103</v>
      </c>
      <c r="W238" s="29">
        <v>203</v>
      </c>
      <c r="X238" s="29">
        <v>303</v>
      </c>
      <c r="Y238" s="29">
        <v>403</v>
      </c>
      <c r="Z238" s="29">
        <v>503</v>
      </c>
    </row>
    <row r="239" spans="1:26" s="29" customFormat="1" x14ac:dyDescent="0.15">
      <c r="A239" s="29" t="s">
        <v>13</v>
      </c>
      <c r="B239" s="29">
        <v>11624</v>
      </c>
      <c r="C239" s="23">
        <v>32</v>
      </c>
      <c r="D239" s="29" t="s">
        <v>1459</v>
      </c>
      <c r="E239" s="93" t="s">
        <v>1498</v>
      </c>
      <c r="F239" s="112" t="s">
        <v>1993</v>
      </c>
      <c r="L239" s="29">
        <v>1</v>
      </c>
      <c r="N239" s="72"/>
      <c r="P239" s="29" t="s">
        <v>792</v>
      </c>
      <c r="R239" s="29">
        <v>18</v>
      </c>
      <c r="S239" s="70">
        <v>13</v>
      </c>
      <c r="V239" s="29">
        <v>104</v>
      </c>
      <c r="W239" s="29">
        <v>204</v>
      </c>
      <c r="X239" s="29">
        <v>304</v>
      </c>
      <c r="Y239" s="29">
        <v>404</v>
      </c>
      <c r="Z239" s="29">
        <v>504</v>
      </c>
    </row>
    <row r="240" spans="1:26" s="29" customFormat="1" x14ac:dyDescent="0.15">
      <c r="A240" s="29" t="s">
        <v>13</v>
      </c>
      <c r="B240" s="29">
        <v>11625</v>
      </c>
      <c r="C240" s="23">
        <v>32</v>
      </c>
      <c r="D240" s="29" t="s">
        <v>1460</v>
      </c>
      <c r="E240" s="93" t="s">
        <v>1499</v>
      </c>
      <c r="F240" s="112" t="s">
        <v>1994</v>
      </c>
      <c r="L240" s="29">
        <v>1</v>
      </c>
      <c r="N240" s="72"/>
      <c r="P240" s="29" t="s">
        <v>792</v>
      </c>
      <c r="R240" s="29">
        <v>18</v>
      </c>
      <c r="S240" s="70">
        <v>13</v>
      </c>
      <c r="V240" s="29">
        <v>105</v>
      </c>
      <c r="W240" s="29">
        <v>205</v>
      </c>
      <c r="X240" s="29">
        <v>305</v>
      </c>
      <c r="Y240" s="29">
        <v>405</v>
      </c>
      <c r="Z240" s="29">
        <v>505</v>
      </c>
    </row>
    <row r="241" spans="1:26" s="29" customFormat="1" x14ac:dyDescent="0.15">
      <c r="A241" s="29" t="s">
        <v>13</v>
      </c>
      <c r="B241" s="29">
        <v>11626</v>
      </c>
      <c r="C241" s="23">
        <v>32</v>
      </c>
      <c r="D241" s="29" t="s">
        <v>1461</v>
      </c>
      <c r="E241" s="93" t="s">
        <v>1500</v>
      </c>
      <c r="F241" s="112" t="s">
        <v>1995</v>
      </c>
      <c r="L241" s="29">
        <v>1</v>
      </c>
      <c r="N241" s="72"/>
      <c r="P241" s="29" t="s">
        <v>792</v>
      </c>
      <c r="R241" s="29">
        <v>18</v>
      </c>
      <c r="S241" s="70">
        <v>13</v>
      </c>
      <c r="V241" s="29">
        <v>106</v>
      </c>
      <c r="W241" s="29">
        <v>206</v>
      </c>
      <c r="X241" s="29">
        <v>306</v>
      </c>
      <c r="Y241" s="29">
        <v>406</v>
      </c>
      <c r="Z241" s="29">
        <v>506</v>
      </c>
    </row>
    <row r="242" spans="1:26" s="29" customFormat="1" x14ac:dyDescent="0.15">
      <c r="A242" s="29" t="s">
        <v>13</v>
      </c>
      <c r="B242" s="29">
        <v>11627</v>
      </c>
      <c r="C242" s="23">
        <v>32</v>
      </c>
      <c r="D242" s="29" t="s">
        <v>1462</v>
      </c>
      <c r="E242" s="93" t="s">
        <v>1501</v>
      </c>
      <c r="F242" s="112" t="s">
        <v>1996</v>
      </c>
      <c r="L242" s="29">
        <v>1</v>
      </c>
      <c r="N242" s="72"/>
      <c r="P242" s="29" t="s">
        <v>792</v>
      </c>
      <c r="R242" s="29">
        <v>18</v>
      </c>
      <c r="S242" s="70">
        <v>13</v>
      </c>
      <c r="V242" s="29">
        <v>107</v>
      </c>
      <c r="W242" s="29">
        <v>207</v>
      </c>
      <c r="X242" s="29">
        <v>307</v>
      </c>
      <c r="Y242" s="29">
        <v>407</v>
      </c>
      <c r="Z242" s="29">
        <v>507</v>
      </c>
    </row>
    <row r="243" spans="1:26" s="29" customFormat="1" x14ac:dyDescent="0.15">
      <c r="A243" s="29" t="s">
        <v>13</v>
      </c>
      <c r="B243" s="29">
        <v>11628</v>
      </c>
      <c r="C243" s="23">
        <v>32</v>
      </c>
      <c r="D243" s="29" t="s">
        <v>1463</v>
      </c>
      <c r="E243" s="93" t="s">
        <v>1502</v>
      </c>
      <c r="F243" s="112" t="s">
        <v>1997</v>
      </c>
      <c r="L243" s="29">
        <v>1</v>
      </c>
      <c r="N243" s="72"/>
      <c r="P243" s="29" t="s">
        <v>792</v>
      </c>
      <c r="R243" s="29">
        <v>18</v>
      </c>
      <c r="S243" s="70">
        <v>13</v>
      </c>
      <c r="V243" s="29">
        <v>108</v>
      </c>
      <c r="W243" s="29">
        <v>208</v>
      </c>
      <c r="X243" s="29">
        <v>308</v>
      </c>
      <c r="Y243" s="29">
        <v>408</v>
      </c>
      <c r="Z243" s="29">
        <v>508</v>
      </c>
    </row>
    <row r="244" spans="1:26" s="29" customFormat="1" x14ac:dyDescent="0.15">
      <c r="A244" s="29" t="s">
        <v>13</v>
      </c>
      <c r="B244" s="29">
        <v>11629</v>
      </c>
      <c r="C244" s="23">
        <v>32</v>
      </c>
      <c r="D244" s="29" t="s">
        <v>1464</v>
      </c>
      <c r="E244" s="93" t="s">
        <v>1503</v>
      </c>
      <c r="F244" s="112" t="s">
        <v>1998</v>
      </c>
      <c r="L244" s="29">
        <v>1</v>
      </c>
      <c r="N244" s="72"/>
      <c r="P244" s="29" t="s">
        <v>792</v>
      </c>
      <c r="R244" s="29">
        <v>18</v>
      </c>
      <c r="S244" s="70">
        <v>13</v>
      </c>
      <c r="V244" s="29">
        <v>109</v>
      </c>
      <c r="W244" s="29">
        <v>209</v>
      </c>
      <c r="X244" s="29">
        <v>309</v>
      </c>
      <c r="Y244" s="29">
        <v>409</v>
      </c>
      <c r="Z244" s="29">
        <v>509</v>
      </c>
    </row>
    <row r="245" spans="1:26" s="29" customFormat="1" x14ac:dyDescent="0.15">
      <c r="A245" s="29" t="s">
        <v>13</v>
      </c>
      <c r="B245" s="29">
        <v>11630</v>
      </c>
      <c r="C245" s="23">
        <v>32</v>
      </c>
      <c r="D245" s="29" t="s">
        <v>1465</v>
      </c>
      <c r="E245" s="93" t="s">
        <v>1504</v>
      </c>
      <c r="F245" s="112" t="s">
        <v>1999</v>
      </c>
      <c r="L245" s="29">
        <v>1</v>
      </c>
      <c r="N245" s="72"/>
      <c r="P245" s="29" t="s">
        <v>792</v>
      </c>
      <c r="R245" s="29">
        <v>18</v>
      </c>
      <c r="S245" s="70">
        <v>13</v>
      </c>
      <c r="V245" s="29">
        <v>110</v>
      </c>
      <c r="W245" s="29">
        <v>210</v>
      </c>
      <c r="X245" s="29">
        <v>310</v>
      </c>
      <c r="Y245" s="29">
        <v>410</v>
      </c>
      <c r="Z245" s="29">
        <v>510</v>
      </c>
    </row>
    <row r="246" spans="1:26" s="29" customFormat="1" x14ac:dyDescent="0.15">
      <c r="A246" s="29" t="s">
        <v>13</v>
      </c>
      <c r="B246" s="29">
        <v>11631</v>
      </c>
      <c r="C246" s="23">
        <v>32</v>
      </c>
      <c r="D246" s="29" t="s">
        <v>1466</v>
      </c>
      <c r="E246" s="93" t="s">
        <v>1505</v>
      </c>
      <c r="F246" s="112" t="s">
        <v>2000</v>
      </c>
      <c r="L246" s="29">
        <v>1</v>
      </c>
      <c r="N246" s="72"/>
      <c r="P246" s="29" t="s">
        <v>792</v>
      </c>
      <c r="R246" s="29">
        <v>18</v>
      </c>
      <c r="S246" s="70">
        <v>13</v>
      </c>
      <c r="V246" s="29">
        <v>111</v>
      </c>
      <c r="W246" s="29">
        <v>211</v>
      </c>
      <c r="X246" s="29">
        <v>311</v>
      </c>
      <c r="Y246" s="29">
        <v>411</v>
      </c>
      <c r="Z246" s="29">
        <v>511</v>
      </c>
    </row>
    <row r="247" spans="1:26" s="29" customFormat="1" x14ac:dyDescent="0.15">
      <c r="A247" s="29" t="s">
        <v>13</v>
      </c>
      <c r="B247" s="29">
        <v>11632</v>
      </c>
      <c r="C247" s="23">
        <v>32</v>
      </c>
      <c r="D247" s="29" t="s">
        <v>1467</v>
      </c>
      <c r="E247" s="93" t="s">
        <v>1506</v>
      </c>
      <c r="F247" s="112" t="s">
        <v>2001</v>
      </c>
      <c r="L247" s="29">
        <v>1</v>
      </c>
      <c r="N247" s="72"/>
      <c r="P247" s="29" t="s">
        <v>792</v>
      </c>
      <c r="R247" s="29">
        <v>18</v>
      </c>
      <c r="S247" s="70">
        <v>13</v>
      </c>
      <c r="V247" s="29">
        <v>112</v>
      </c>
      <c r="W247" s="29">
        <v>212</v>
      </c>
      <c r="X247" s="29">
        <v>312</v>
      </c>
      <c r="Y247" s="29">
        <v>412</v>
      </c>
      <c r="Z247" s="29">
        <v>512</v>
      </c>
    </row>
    <row r="248" spans="1:26" s="63" customFormat="1" x14ac:dyDescent="0.15">
      <c r="A248" s="27" t="s">
        <v>8</v>
      </c>
      <c r="B248" s="27">
        <v>12001</v>
      </c>
      <c r="C248" s="23">
        <v>32</v>
      </c>
      <c r="D248" s="27" t="s">
        <v>1666</v>
      </c>
      <c r="E248" s="27" t="s">
        <v>1026</v>
      </c>
      <c r="F248" s="114" t="s">
        <v>2013</v>
      </c>
      <c r="G248" s="73"/>
      <c r="H248" s="73">
        <v>1</v>
      </c>
      <c r="I248" s="73"/>
      <c r="J248" s="73"/>
      <c r="K248" s="73"/>
      <c r="L248" s="73">
        <v>1</v>
      </c>
      <c r="M248" s="73"/>
      <c r="N248" s="75"/>
      <c r="O248" s="73"/>
      <c r="P248" s="73" t="s">
        <v>792</v>
      </c>
      <c r="Q248" s="73"/>
      <c r="R248" s="73">
        <v>8</v>
      </c>
      <c r="S248" s="73">
        <v>15</v>
      </c>
    </row>
    <row r="249" spans="1:26" s="63" customFormat="1" x14ac:dyDescent="0.15">
      <c r="A249" s="27" t="s">
        <v>8</v>
      </c>
      <c r="B249" s="27">
        <v>12002</v>
      </c>
      <c r="C249" s="23">
        <v>32</v>
      </c>
      <c r="D249" s="27" t="s">
        <v>1027</v>
      </c>
      <c r="E249" s="27" t="s">
        <v>1723</v>
      </c>
      <c r="F249" s="114" t="s">
        <v>1790</v>
      </c>
      <c r="G249" s="73"/>
      <c r="H249" s="73">
        <v>1</v>
      </c>
      <c r="I249" s="73"/>
      <c r="J249" s="73"/>
      <c r="K249" s="73"/>
      <c r="L249" s="73">
        <v>2</v>
      </c>
      <c r="M249" s="73"/>
      <c r="N249" s="75"/>
      <c r="O249" s="73"/>
      <c r="P249" s="73" t="s">
        <v>796</v>
      </c>
      <c r="Q249" s="73"/>
      <c r="R249" s="73">
        <v>8</v>
      </c>
      <c r="S249" s="73">
        <v>15</v>
      </c>
    </row>
    <row r="250" spans="1:26" s="63" customFormat="1" x14ac:dyDescent="0.15">
      <c r="A250" s="27" t="s">
        <v>8</v>
      </c>
      <c r="B250" s="27">
        <v>12003</v>
      </c>
      <c r="C250" s="23">
        <v>32</v>
      </c>
      <c r="D250" s="27" t="s">
        <v>1028</v>
      </c>
      <c r="E250" s="27" t="s">
        <v>1724</v>
      </c>
      <c r="F250" s="114" t="s">
        <v>1791</v>
      </c>
      <c r="G250" s="73"/>
      <c r="H250" s="73">
        <v>1</v>
      </c>
      <c r="I250" s="73"/>
      <c r="J250" s="73"/>
      <c r="K250" s="73"/>
      <c r="L250" s="73">
        <v>3</v>
      </c>
      <c r="M250" s="73"/>
      <c r="N250" s="75"/>
      <c r="O250" s="73"/>
      <c r="P250" s="73" t="s">
        <v>797</v>
      </c>
      <c r="Q250" s="73"/>
      <c r="R250" s="73">
        <v>8</v>
      </c>
      <c r="S250" s="73">
        <v>15</v>
      </c>
    </row>
    <row r="251" spans="1:26" s="63" customFormat="1" x14ac:dyDescent="0.15">
      <c r="A251" s="27" t="s">
        <v>8</v>
      </c>
      <c r="B251" s="27">
        <v>12004</v>
      </c>
      <c r="C251" s="23">
        <v>32</v>
      </c>
      <c r="D251" s="27" t="s">
        <v>1667</v>
      </c>
      <c r="E251" s="27" t="s">
        <v>1029</v>
      </c>
      <c r="F251" s="114" t="s">
        <v>1792</v>
      </c>
      <c r="G251" s="73"/>
      <c r="H251" s="73">
        <v>1</v>
      </c>
      <c r="I251" s="73"/>
      <c r="J251" s="73"/>
      <c r="K251" s="73"/>
      <c r="L251" s="73">
        <v>4</v>
      </c>
      <c r="M251" s="73"/>
      <c r="N251" s="75"/>
      <c r="O251" s="73"/>
      <c r="P251" s="73" t="s">
        <v>795</v>
      </c>
      <c r="Q251" s="73"/>
      <c r="R251" s="73">
        <v>8</v>
      </c>
      <c r="S251" s="73">
        <v>15</v>
      </c>
    </row>
    <row r="252" spans="1:26" s="63" customFormat="1" x14ac:dyDescent="0.15">
      <c r="A252" s="27" t="s">
        <v>8</v>
      </c>
      <c r="B252" s="27">
        <v>12005</v>
      </c>
      <c r="C252" s="23">
        <v>32</v>
      </c>
      <c r="D252" s="27" t="s">
        <v>1030</v>
      </c>
      <c r="E252" s="27" t="s">
        <v>1788</v>
      </c>
      <c r="F252" s="114" t="s">
        <v>1793</v>
      </c>
      <c r="G252" s="73"/>
      <c r="H252" s="73">
        <v>1</v>
      </c>
      <c r="I252" s="73"/>
      <c r="J252" s="73"/>
      <c r="K252" s="73"/>
      <c r="L252" s="73">
        <v>5</v>
      </c>
      <c r="M252" s="73"/>
      <c r="N252" s="75"/>
      <c r="O252" s="73"/>
      <c r="P252" s="73" t="s">
        <v>793</v>
      </c>
      <c r="Q252" s="73"/>
      <c r="R252" s="73">
        <v>8</v>
      </c>
      <c r="S252" s="73">
        <v>15</v>
      </c>
    </row>
    <row r="253" spans="1:26" s="74" customFormat="1" x14ac:dyDescent="0.15">
      <c r="A253" s="27" t="s">
        <v>8</v>
      </c>
      <c r="B253" s="27">
        <v>12006</v>
      </c>
      <c r="C253" s="23">
        <v>32</v>
      </c>
      <c r="D253" s="27" t="s">
        <v>1031</v>
      </c>
      <c r="E253" s="27" t="s">
        <v>1789</v>
      </c>
      <c r="F253" s="114" t="s">
        <v>1794</v>
      </c>
      <c r="H253" s="74">
        <v>1</v>
      </c>
      <c r="L253" s="74">
        <v>5</v>
      </c>
      <c r="N253" s="76"/>
      <c r="P253" s="74" t="s">
        <v>793</v>
      </c>
      <c r="R253" s="73">
        <v>8</v>
      </c>
      <c r="S253" s="73">
        <v>15</v>
      </c>
    </row>
    <row r="254" spans="1:26" s="73" customFormat="1" x14ac:dyDescent="0.15">
      <c r="A254" s="73" t="s">
        <v>8</v>
      </c>
      <c r="B254" s="73">
        <v>12021</v>
      </c>
      <c r="C254" s="73">
        <v>32</v>
      </c>
      <c r="D254" s="73" t="s">
        <v>1668</v>
      </c>
      <c r="E254" s="94" t="s">
        <v>1032</v>
      </c>
      <c r="F254" s="115" t="s">
        <v>1681</v>
      </c>
      <c r="H254" s="73">
        <v>1</v>
      </c>
      <c r="L254" s="73">
        <v>1</v>
      </c>
      <c r="N254" s="75"/>
      <c r="P254" s="73" t="s">
        <v>792</v>
      </c>
      <c r="R254" s="73">
        <v>8</v>
      </c>
      <c r="S254" s="73">
        <v>15</v>
      </c>
    </row>
    <row r="255" spans="1:26" s="73" customFormat="1" x14ac:dyDescent="0.15">
      <c r="A255" s="73" t="s">
        <v>8</v>
      </c>
      <c r="B255" s="73">
        <v>12022</v>
      </c>
      <c r="C255" s="73">
        <v>32</v>
      </c>
      <c r="D255" s="73" t="s">
        <v>1669</v>
      </c>
      <c r="E255" s="94" t="s">
        <v>1033</v>
      </c>
      <c r="F255" s="115" t="s">
        <v>1682</v>
      </c>
      <c r="H255" s="73">
        <v>1</v>
      </c>
      <c r="L255" s="73">
        <v>2</v>
      </c>
      <c r="N255" s="75"/>
      <c r="P255" s="73" t="s">
        <v>796</v>
      </c>
      <c r="R255" s="73">
        <v>8</v>
      </c>
      <c r="S255" s="73">
        <v>15</v>
      </c>
    </row>
    <row r="256" spans="1:26" s="73" customFormat="1" x14ac:dyDescent="0.15">
      <c r="A256" s="73" t="s">
        <v>8</v>
      </c>
      <c r="B256" s="73">
        <v>12023</v>
      </c>
      <c r="C256" s="73">
        <v>32</v>
      </c>
      <c r="D256" s="73" t="s">
        <v>1670</v>
      </c>
      <c r="E256" s="94" t="s">
        <v>1034</v>
      </c>
      <c r="F256" s="115" t="s">
        <v>1683</v>
      </c>
      <c r="H256" s="73">
        <v>1</v>
      </c>
      <c r="L256" s="73">
        <v>3</v>
      </c>
      <c r="N256" s="75"/>
      <c r="P256" s="73" t="s">
        <v>797</v>
      </c>
      <c r="R256" s="73">
        <v>8</v>
      </c>
      <c r="S256" s="73">
        <v>15</v>
      </c>
    </row>
    <row r="257" spans="1:19" s="73" customFormat="1" x14ac:dyDescent="0.15">
      <c r="A257" s="73" t="s">
        <v>8</v>
      </c>
      <c r="B257" s="73">
        <v>12024</v>
      </c>
      <c r="C257" s="73">
        <v>32</v>
      </c>
      <c r="D257" s="73" t="s">
        <v>1671</v>
      </c>
      <c r="E257" s="94" t="s">
        <v>1035</v>
      </c>
      <c r="F257" s="115" t="s">
        <v>1684</v>
      </c>
      <c r="H257" s="73">
        <v>1</v>
      </c>
      <c r="L257" s="73">
        <v>4</v>
      </c>
      <c r="N257" s="75"/>
      <c r="P257" s="73" t="s">
        <v>795</v>
      </c>
      <c r="R257" s="73">
        <v>8</v>
      </c>
      <c r="S257" s="73">
        <v>15</v>
      </c>
    </row>
    <row r="258" spans="1:19" s="73" customFormat="1" x14ac:dyDescent="0.15">
      <c r="A258" s="73" t="s">
        <v>8</v>
      </c>
      <c r="B258" s="73">
        <v>12025</v>
      </c>
      <c r="C258" s="73">
        <v>32</v>
      </c>
      <c r="D258" s="73" t="s">
        <v>1672</v>
      </c>
      <c r="E258" s="94" t="s">
        <v>1036</v>
      </c>
      <c r="F258" s="115" t="s">
        <v>1685</v>
      </c>
      <c r="H258" s="73">
        <v>1</v>
      </c>
      <c r="L258" s="73">
        <v>5</v>
      </c>
      <c r="N258" s="75"/>
      <c r="P258" s="73" t="s">
        <v>793</v>
      </c>
      <c r="R258" s="73">
        <v>8</v>
      </c>
      <c r="S258" s="73">
        <v>15</v>
      </c>
    </row>
    <row r="259" spans="1:19" s="73" customFormat="1" x14ac:dyDescent="0.15">
      <c r="A259" s="73" t="s">
        <v>8</v>
      </c>
      <c r="B259" s="73">
        <v>12026</v>
      </c>
      <c r="C259" s="73">
        <v>32</v>
      </c>
      <c r="D259" s="73" t="s">
        <v>1673</v>
      </c>
      <c r="E259" s="94" t="s">
        <v>1037</v>
      </c>
      <c r="F259" s="115" t="s">
        <v>1686</v>
      </c>
      <c r="H259" s="73">
        <v>1</v>
      </c>
      <c r="L259" s="73">
        <v>5</v>
      </c>
      <c r="N259" s="75"/>
      <c r="P259" s="73" t="s">
        <v>793</v>
      </c>
      <c r="R259" s="73">
        <v>8</v>
      </c>
      <c r="S259" s="73">
        <v>15</v>
      </c>
    </row>
    <row r="260" spans="1:19" s="63" customFormat="1" x14ac:dyDescent="0.15">
      <c r="A260" s="27" t="s">
        <v>8</v>
      </c>
      <c r="B260" s="27">
        <v>12041</v>
      </c>
      <c r="C260" s="23">
        <v>32</v>
      </c>
      <c r="D260" s="27" t="s">
        <v>1038</v>
      </c>
      <c r="E260" s="27" t="s">
        <v>1795</v>
      </c>
      <c r="F260" s="114" t="s">
        <v>1796</v>
      </c>
      <c r="G260" s="73"/>
      <c r="H260" s="73">
        <v>1</v>
      </c>
      <c r="I260" s="73"/>
      <c r="J260" s="73"/>
      <c r="K260" s="73"/>
      <c r="L260" s="73">
        <v>1</v>
      </c>
      <c r="M260" s="73"/>
      <c r="N260" s="75"/>
      <c r="O260" s="73"/>
      <c r="P260" s="73" t="s">
        <v>792</v>
      </c>
      <c r="Q260" s="73"/>
      <c r="R260" s="73">
        <v>8</v>
      </c>
      <c r="S260" s="73">
        <v>15</v>
      </c>
    </row>
    <row r="261" spans="1:19" s="63" customFormat="1" x14ac:dyDescent="0.15">
      <c r="A261" s="27" t="s">
        <v>8</v>
      </c>
      <c r="B261" s="27">
        <v>12042</v>
      </c>
      <c r="C261" s="23">
        <v>32</v>
      </c>
      <c r="D261" s="27" t="s">
        <v>1797</v>
      </c>
      <c r="E261" s="27" t="s">
        <v>1798</v>
      </c>
      <c r="F261" s="114" t="s">
        <v>1799</v>
      </c>
      <c r="G261" s="73"/>
      <c r="H261" s="73">
        <v>1</v>
      </c>
      <c r="I261" s="73"/>
      <c r="J261" s="73"/>
      <c r="K261" s="73"/>
      <c r="L261" s="73">
        <v>2</v>
      </c>
      <c r="M261" s="73"/>
      <c r="N261" s="75"/>
      <c r="O261" s="73"/>
      <c r="P261" s="73" t="s">
        <v>796</v>
      </c>
      <c r="Q261" s="73"/>
      <c r="R261" s="73">
        <v>8</v>
      </c>
      <c r="S261" s="73">
        <v>15</v>
      </c>
    </row>
    <row r="262" spans="1:19" s="63" customFormat="1" x14ac:dyDescent="0.15">
      <c r="A262" s="27" t="s">
        <v>8</v>
      </c>
      <c r="B262" s="27">
        <v>12043</v>
      </c>
      <c r="C262" s="23">
        <v>32</v>
      </c>
      <c r="D262" s="27" t="s">
        <v>1800</v>
      </c>
      <c r="E262" s="27" t="s">
        <v>1801</v>
      </c>
      <c r="F262" s="114" t="s">
        <v>1802</v>
      </c>
      <c r="G262" s="73"/>
      <c r="H262" s="73">
        <v>1</v>
      </c>
      <c r="I262" s="73"/>
      <c r="J262" s="73"/>
      <c r="K262" s="73"/>
      <c r="L262" s="73">
        <v>3</v>
      </c>
      <c r="M262" s="73"/>
      <c r="N262" s="75"/>
      <c r="O262" s="73"/>
      <c r="P262" s="73" t="s">
        <v>797</v>
      </c>
      <c r="Q262" s="73"/>
      <c r="R262" s="73">
        <v>8</v>
      </c>
      <c r="S262" s="73">
        <v>15</v>
      </c>
    </row>
    <row r="263" spans="1:19" s="63" customFormat="1" x14ac:dyDescent="0.15">
      <c r="A263" s="27" t="s">
        <v>8</v>
      </c>
      <c r="B263" s="27">
        <v>12044</v>
      </c>
      <c r="C263" s="23">
        <v>32</v>
      </c>
      <c r="D263" s="27" t="s">
        <v>1674</v>
      </c>
      <c r="E263" s="27" t="s">
        <v>1803</v>
      </c>
      <c r="F263" s="114" t="s">
        <v>1804</v>
      </c>
      <c r="G263" s="73"/>
      <c r="H263" s="73">
        <v>1</v>
      </c>
      <c r="I263" s="73"/>
      <c r="J263" s="73"/>
      <c r="K263" s="73"/>
      <c r="L263" s="73">
        <v>4</v>
      </c>
      <c r="M263" s="73"/>
      <c r="N263" s="75"/>
      <c r="O263" s="73"/>
      <c r="P263" s="73" t="s">
        <v>795</v>
      </c>
      <c r="Q263" s="73"/>
      <c r="R263" s="73">
        <v>8</v>
      </c>
      <c r="S263" s="73">
        <v>15</v>
      </c>
    </row>
    <row r="264" spans="1:19" s="63" customFormat="1" x14ac:dyDescent="0.15">
      <c r="A264" s="27" t="s">
        <v>8</v>
      </c>
      <c r="B264" s="27">
        <v>12045</v>
      </c>
      <c r="C264" s="23">
        <v>32</v>
      </c>
      <c r="D264" s="27" t="s">
        <v>1805</v>
      </c>
      <c r="E264" s="27" t="s">
        <v>1806</v>
      </c>
      <c r="F264" s="114" t="s">
        <v>1807</v>
      </c>
      <c r="G264" s="73"/>
      <c r="H264" s="73">
        <v>1</v>
      </c>
      <c r="I264" s="73"/>
      <c r="J264" s="73"/>
      <c r="K264" s="73"/>
      <c r="L264" s="73">
        <v>5</v>
      </c>
      <c r="M264" s="73"/>
      <c r="N264" s="75"/>
      <c r="O264" s="73"/>
      <c r="P264" s="73" t="s">
        <v>793</v>
      </c>
      <c r="Q264" s="73"/>
      <c r="R264" s="73">
        <v>8</v>
      </c>
      <c r="S264" s="73">
        <v>15</v>
      </c>
    </row>
    <row r="265" spans="1:19" s="74" customFormat="1" x14ac:dyDescent="0.15">
      <c r="A265" s="27" t="s">
        <v>8</v>
      </c>
      <c r="B265" s="27">
        <v>12046</v>
      </c>
      <c r="C265" s="23">
        <v>32</v>
      </c>
      <c r="D265" s="27" t="s">
        <v>1808</v>
      </c>
      <c r="E265" s="27" t="s">
        <v>1809</v>
      </c>
      <c r="F265" s="114" t="s">
        <v>1810</v>
      </c>
      <c r="H265" s="74">
        <v>1</v>
      </c>
      <c r="L265" s="74">
        <v>5</v>
      </c>
      <c r="N265" s="76"/>
      <c r="P265" s="74" t="s">
        <v>793</v>
      </c>
      <c r="R265" s="73">
        <v>8</v>
      </c>
      <c r="S265" s="73">
        <v>15</v>
      </c>
    </row>
    <row r="266" spans="1:19" s="73" customFormat="1" x14ac:dyDescent="0.15">
      <c r="A266" s="73" t="s">
        <v>8</v>
      </c>
      <c r="B266" s="73">
        <v>12061</v>
      </c>
      <c r="C266" s="73">
        <v>32</v>
      </c>
      <c r="D266" s="73" t="s">
        <v>1675</v>
      </c>
      <c r="E266" s="94" t="s">
        <v>1039</v>
      </c>
      <c r="F266" s="115" t="s">
        <v>1687</v>
      </c>
      <c r="H266" s="73">
        <v>1</v>
      </c>
      <c r="L266" s="73">
        <v>1</v>
      </c>
      <c r="N266" s="75"/>
      <c r="P266" s="73" t="s">
        <v>792</v>
      </c>
      <c r="R266" s="73">
        <v>8</v>
      </c>
      <c r="S266" s="73">
        <v>15</v>
      </c>
    </row>
    <row r="267" spans="1:19" s="73" customFormat="1" x14ac:dyDescent="0.15">
      <c r="A267" s="73" t="s">
        <v>8</v>
      </c>
      <c r="B267" s="73">
        <v>12062</v>
      </c>
      <c r="C267" s="73">
        <v>32</v>
      </c>
      <c r="D267" s="73" t="s">
        <v>1676</v>
      </c>
      <c r="E267" s="94" t="s">
        <v>1040</v>
      </c>
      <c r="F267" s="115" t="s">
        <v>1688</v>
      </c>
      <c r="H267" s="73">
        <v>1</v>
      </c>
      <c r="L267" s="73">
        <v>2</v>
      </c>
      <c r="N267" s="75"/>
      <c r="P267" s="73" t="s">
        <v>796</v>
      </c>
      <c r="R267" s="73">
        <v>8</v>
      </c>
      <c r="S267" s="73">
        <v>15</v>
      </c>
    </row>
    <row r="268" spans="1:19" s="73" customFormat="1" x14ac:dyDescent="0.15">
      <c r="A268" s="73" t="s">
        <v>8</v>
      </c>
      <c r="B268" s="73">
        <v>12063</v>
      </c>
      <c r="C268" s="73">
        <v>32</v>
      </c>
      <c r="D268" s="73" t="s">
        <v>1677</v>
      </c>
      <c r="E268" s="94" t="s">
        <v>1041</v>
      </c>
      <c r="F268" s="115" t="s">
        <v>1689</v>
      </c>
      <c r="H268" s="73">
        <v>1</v>
      </c>
      <c r="L268" s="73">
        <v>3</v>
      </c>
      <c r="N268" s="75"/>
      <c r="P268" s="73" t="s">
        <v>797</v>
      </c>
      <c r="R268" s="73">
        <v>8</v>
      </c>
      <c r="S268" s="73">
        <v>15</v>
      </c>
    </row>
    <row r="269" spans="1:19" s="73" customFormat="1" x14ac:dyDescent="0.15">
      <c r="A269" s="73" t="s">
        <v>8</v>
      </c>
      <c r="B269" s="73">
        <v>12064</v>
      </c>
      <c r="C269" s="73">
        <v>32</v>
      </c>
      <c r="D269" s="73" t="s">
        <v>1678</v>
      </c>
      <c r="E269" s="94" t="s">
        <v>1042</v>
      </c>
      <c r="F269" s="115" t="s">
        <v>1690</v>
      </c>
      <c r="H269" s="73">
        <v>1</v>
      </c>
      <c r="L269" s="73">
        <v>4</v>
      </c>
      <c r="N269" s="75"/>
      <c r="P269" s="73" t="s">
        <v>795</v>
      </c>
      <c r="R269" s="73">
        <v>8</v>
      </c>
      <c r="S269" s="73">
        <v>15</v>
      </c>
    </row>
    <row r="270" spans="1:19" s="73" customFormat="1" x14ac:dyDescent="0.15">
      <c r="A270" s="73" t="s">
        <v>8</v>
      </c>
      <c r="B270" s="73">
        <v>12065</v>
      </c>
      <c r="C270" s="73">
        <v>32</v>
      </c>
      <c r="D270" s="73" t="s">
        <v>1679</v>
      </c>
      <c r="E270" s="94" t="s">
        <v>1043</v>
      </c>
      <c r="F270" s="115" t="s">
        <v>1691</v>
      </c>
      <c r="H270" s="73">
        <v>1</v>
      </c>
      <c r="L270" s="73">
        <v>5</v>
      </c>
      <c r="N270" s="75"/>
      <c r="P270" s="73" t="s">
        <v>793</v>
      </c>
      <c r="R270" s="73">
        <v>8</v>
      </c>
      <c r="S270" s="73">
        <v>15</v>
      </c>
    </row>
    <row r="271" spans="1:19" s="73" customFormat="1" x14ac:dyDescent="0.15">
      <c r="A271" s="73" t="s">
        <v>8</v>
      </c>
      <c r="B271" s="73">
        <v>12066</v>
      </c>
      <c r="C271" s="73">
        <v>32</v>
      </c>
      <c r="D271" s="73" t="s">
        <v>1680</v>
      </c>
      <c r="E271" s="94" t="s">
        <v>1044</v>
      </c>
      <c r="F271" s="115" t="s">
        <v>1692</v>
      </c>
      <c r="H271" s="73">
        <v>1</v>
      </c>
      <c r="L271" s="73">
        <v>5</v>
      </c>
      <c r="N271" s="75"/>
      <c r="P271" s="73" t="s">
        <v>793</v>
      </c>
      <c r="R271" s="73">
        <v>8</v>
      </c>
      <c r="S271" s="73">
        <v>15</v>
      </c>
    </row>
    <row r="272" spans="1:19" s="63" customFormat="1" x14ac:dyDescent="0.15">
      <c r="A272" s="27" t="s">
        <v>8</v>
      </c>
      <c r="B272" s="27">
        <v>12081</v>
      </c>
      <c r="C272" s="23">
        <v>32</v>
      </c>
      <c r="D272" s="27" t="s">
        <v>1811</v>
      </c>
      <c r="E272" s="27" t="s">
        <v>1812</v>
      </c>
      <c r="F272" s="114" t="s">
        <v>1813</v>
      </c>
      <c r="G272" s="73"/>
      <c r="H272" s="73">
        <v>1</v>
      </c>
      <c r="I272" s="73"/>
      <c r="J272" s="73"/>
      <c r="K272" s="73"/>
      <c r="L272" s="73">
        <v>1</v>
      </c>
      <c r="M272" s="73"/>
      <c r="N272" s="75"/>
      <c r="O272" s="73"/>
      <c r="P272" s="73" t="s">
        <v>792</v>
      </c>
      <c r="Q272" s="73"/>
      <c r="R272" s="73">
        <v>8</v>
      </c>
      <c r="S272" s="73">
        <v>15</v>
      </c>
    </row>
    <row r="273" spans="1:19" s="63" customFormat="1" x14ac:dyDescent="0.15">
      <c r="A273" s="27" t="s">
        <v>8</v>
      </c>
      <c r="B273" s="27">
        <v>12082</v>
      </c>
      <c r="C273" s="23">
        <v>32</v>
      </c>
      <c r="D273" s="27" t="s">
        <v>1814</v>
      </c>
      <c r="E273" s="27" t="s">
        <v>1815</v>
      </c>
      <c r="F273" s="114" t="s">
        <v>1816</v>
      </c>
      <c r="G273" s="73"/>
      <c r="H273" s="73">
        <v>1</v>
      </c>
      <c r="I273" s="73"/>
      <c r="J273" s="73"/>
      <c r="K273" s="73"/>
      <c r="L273" s="73">
        <v>2</v>
      </c>
      <c r="M273" s="73"/>
      <c r="N273" s="75"/>
      <c r="O273" s="73"/>
      <c r="P273" s="73" t="s">
        <v>796</v>
      </c>
      <c r="Q273" s="73"/>
      <c r="R273" s="73">
        <v>8</v>
      </c>
      <c r="S273" s="73">
        <v>15</v>
      </c>
    </row>
    <row r="274" spans="1:19" s="63" customFormat="1" x14ac:dyDescent="0.15">
      <c r="A274" s="27" t="s">
        <v>8</v>
      </c>
      <c r="B274" s="27">
        <v>12083</v>
      </c>
      <c r="C274" s="23">
        <v>32</v>
      </c>
      <c r="D274" s="27" t="s">
        <v>1817</v>
      </c>
      <c r="E274" s="27" t="s">
        <v>1818</v>
      </c>
      <c r="F274" s="114" t="s">
        <v>1819</v>
      </c>
      <c r="G274" s="73"/>
      <c r="H274" s="73">
        <v>1</v>
      </c>
      <c r="I274" s="73"/>
      <c r="J274" s="73"/>
      <c r="K274" s="73"/>
      <c r="L274" s="73">
        <v>3</v>
      </c>
      <c r="M274" s="73"/>
      <c r="N274" s="75"/>
      <c r="O274" s="73"/>
      <c r="P274" s="73" t="s">
        <v>797</v>
      </c>
      <c r="Q274" s="73"/>
      <c r="R274" s="73">
        <v>8</v>
      </c>
      <c r="S274" s="73">
        <v>15</v>
      </c>
    </row>
    <row r="275" spans="1:19" s="63" customFormat="1" x14ac:dyDescent="0.15">
      <c r="A275" s="27" t="s">
        <v>8</v>
      </c>
      <c r="B275" s="27">
        <v>12084</v>
      </c>
      <c r="C275" s="23">
        <v>32</v>
      </c>
      <c r="D275" s="27" t="s">
        <v>1025</v>
      </c>
      <c r="E275" s="27" t="s">
        <v>1820</v>
      </c>
      <c r="F275" s="114" t="s">
        <v>1821</v>
      </c>
      <c r="G275" s="73"/>
      <c r="H275" s="73">
        <v>1</v>
      </c>
      <c r="I275" s="73"/>
      <c r="J275" s="73"/>
      <c r="K275" s="73"/>
      <c r="L275" s="73">
        <v>4</v>
      </c>
      <c r="M275" s="73"/>
      <c r="N275" s="75"/>
      <c r="O275" s="73"/>
      <c r="P275" s="73" t="s">
        <v>795</v>
      </c>
      <c r="Q275" s="73"/>
      <c r="R275" s="73">
        <v>8</v>
      </c>
      <c r="S275" s="73">
        <v>15</v>
      </c>
    </row>
    <row r="276" spans="1:19" s="63" customFormat="1" x14ac:dyDescent="0.15">
      <c r="A276" s="27" t="s">
        <v>8</v>
      </c>
      <c r="B276" s="27">
        <v>12085</v>
      </c>
      <c r="C276" s="23">
        <v>32</v>
      </c>
      <c r="D276" s="27" t="s">
        <v>1822</v>
      </c>
      <c r="E276" s="27" t="s">
        <v>1823</v>
      </c>
      <c r="F276" s="114" t="s">
        <v>1824</v>
      </c>
      <c r="G276" s="73"/>
      <c r="H276" s="73">
        <v>1</v>
      </c>
      <c r="I276" s="73"/>
      <c r="J276" s="73"/>
      <c r="K276" s="73"/>
      <c r="L276" s="73">
        <v>5</v>
      </c>
      <c r="M276" s="73"/>
      <c r="N276" s="75"/>
      <c r="O276" s="73"/>
      <c r="P276" s="73" t="s">
        <v>793</v>
      </c>
      <c r="Q276" s="73"/>
      <c r="R276" s="73">
        <v>8</v>
      </c>
      <c r="S276" s="73">
        <v>15</v>
      </c>
    </row>
    <row r="277" spans="1:19" s="74" customFormat="1" x14ac:dyDescent="0.15">
      <c r="A277" s="27" t="s">
        <v>8</v>
      </c>
      <c r="B277" s="27">
        <v>12086</v>
      </c>
      <c r="C277" s="23">
        <v>32</v>
      </c>
      <c r="D277" s="27" t="s">
        <v>1825</v>
      </c>
      <c r="E277" s="27" t="s">
        <v>1826</v>
      </c>
      <c r="F277" s="114" t="s">
        <v>1827</v>
      </c>
      <c r="H277" s="74">
        <v>1</v>
      </c>
      <c r="L277" s="74">
        <v>5</v>
      </c>
      <c r="N277" s="76"/>
      <c r="P277" s="74" t="s">
        <v>793</v>
      </c>
      <c r="R277" s="73">
        <v>8</v>
      </c>
      <c r="S277" s="73">
        <v>15</v>
      </c>
    </row>
    <row r="278" spans="1:19" s="73" customFormat="1" x14ac:dyDescent="0.15">
      <c r="A278" s="73" t="s">
        <v>8</v>
      </c>
      <c r="B278" s="73">
        <v>13001</v>
      </c>
      <c r="C278" s="23">
        <v>32</v>
      </c>
      <c r="D278" s="73" t="s">
        <v>1481</v>
      </c>
      <c r="E278" s="54" t="s">
        <v>1725</v>
      </c>
      <c r="F278" s="115" t="s">
        <v>2014</v>
      </c>
      <c r="H278" s="73">
        <v>1</v>
      </c>
      <c r="L278" s="73">
        <v>1</v>
      </c>
      <c r="N278" s="75"/>
      <c r="P278" s="73" t="s">
        <v>792</v>
      </c>
      <c r="R278" s="73">
        <v>17</v>
      </c>
      <c r="S278" s="73">
        <v>25</v>
      </c>
    </row>
    <row r="279" spans="1:19" s="73" customFormat="1" x14ac:dyDescent="0.15">
      <c r="A279" s="73" t="s">
        <v>8</v>
      </c>
      <c r="B279" s="73">
        <v>13011</v>
      </c>
      <c r="C279" s="23">
        <v>32</v>
      </c>
      <c r="D279" s="73" t="s">
        <v>1128</v>
      </c>
      <c r="E279" s="54" t="s">
        <v>1726</v>
      </c>
      <c r="F279" s="115" t="s">
        <v>2015</v>
      </c>
      <c r="H279" s="73">
        <v>1</v>
      </c>
      <c r="L279" s="73">
        <v>1</v>
      </c>
      <c r="N279" s="75"/>
      <c r="P279" s="73" t="s">
        <v>792</v>
      </c>
      <c r="R279" s="73">
        <v>17</v>
      </c>
      <c r="S279" s="73">
        <v>25</v>
      </c>
    </row>
    <row r="280" spans="1:19" s="73" customFormat="1" x14ac:dyDescent="0.15">
      <c r="A280" s="73" t="s">
        <v>8</v>
      </c>
      <c r="B280" s="73">
        <v>13021</v>
      </c>
      <c r="C280" s="23">
        <v>32</v>
      </c>
      <c r="D280" s="73" t="s">
        <v>1482</v>
      </c>
      <c r="E280" s="54" t="s">
        <v>1727</v>
      </c>
      <c r="F280" s="115" t="s">
        <v>2016</v>
      </c>
      <c r="H280" s="73">
        <v>1</v>
      </c>
      <c r="L280" s="73">
        <v>1</v>
      </c>
      <c r="N280" s="75"/>
      <c r="P280" s="73" t="s">
        <v>792</v>
      </c>
      <c r="R280" s="73">
        <v>17</v>
      </c>
      <c r="S280" s="73">
        <v>25</v>
      </c>
    </row>
    <row r="281" spans="1:19" s="32" customFormat="1" ht="14.25" x14ac:dyDescent="0.15">
      <c r="A281" s="31" t="s">
        <v>8</v>
      </c>
      <c r="B281" s="32">
        <v>21001</v>
      </c>
      <c r="C281" s="32">
        <v>4</v>
      </c>
      <c r="D281" s="33" t="s">
        <v>1131</v>
      </c>
      <c r="E281" s="94" t="s">
        <v>1728</v>
      </c>
      <c r="F281" s="116" t="s">
        <v>1137</v>
      </c>
      <c r="H281" s="32">
        <v>15</v>
      </c>
      <c r="J281" s="32">
        <v>1</v>
      </c>
      <c r="L281" s="32">
        <v>1</v>
      </c>
      <c r="N281" s="34"/>
      <c r="O281" s="33"/>
      <c r="P281" s="6" t="s">
        <v>792</v>
      </c>
      <c r="S281" s="32" t="s">
        <v>635</v>
      </c>
    </row>
    <row r="282" spans="1:19" s="32" customFormat="1" ht="14.25" x14ac:dyDescent="0.15">
      <c r="A282" s="31" t="s">
        <v>8</v>
      </c>
      <c r="B282" s="32">
        <v>21002</v>
      </c>
      <c r="C282" s="32">
        <v>4</v>
      </c>
      <c r="D282" s="33" t="s">
        <v>1132</v>
      </c>
      <c r="E282" s="94" t="s">
        <v>1729</v>
      </c>
      <c r="F282" s="116" t="s">
        <v>1138</v>
      </c>
      <c r="H282" s="32">
        <v>30</v>
      </c>
      <c r="J282" s="32">
        <v>1</v>
      </c>
      <c r="L282" s="32">
        <v>1</v>
      </c>
      <c r="N282" s="34"/>
      <c r="O282" s="33"/>
      <c r="P282" s="6" t="s">
        <v>792</v>
      </c>
      <c r="S282" s="32" t="s">
        <v>636</v>
      </c>
    </row>
    <row r="283" spans="1:19" s="32" customFormat="1" ht="14.25" x14ac:dyDescent="0.15">
      <c r="A283" s="31" t="s">
        <v>8</v>
      </c>
      <c r="B283" s="32">
        <v>21003</v>
      </c>
      <c r="C283" s="32">
        <v>4</v>
      </c>
      <c r="D283" s="33" t="s">
        <v>1133</v>
      </c>
      <c r="E283" s="94" t="s">
        <v>1730</v>
      </c>
      <c r="F283" s="116" t="s">
        <v>1139</v>
      </c>
      <c r="H283" s="32">
        <v>60</v>
      </c>
      <c r="J283" s="32">
        <v>1</v>
      </c>
      <c r="L283" s="32">
        <v>1</v>
      </c>
      <c r="O283" s="33"/>
      <c r="P283" s="6" t="s">
        <v>792</v>
      </c>
      <c r="S283" s="32" t="s">
        <v>637</v>
      </c>
    </row>
    <row r="284" spans="1:19" s="32" customFormat="1" ht="14.25" x14ac:dyDescent="0.15">
      <c r="A284" s="31" t="s">
        <v>8</v>
      </c>
      <c r="B284" s="32">
        <v>21004</v>
      </c>
      <c r="C284" s="32">
        <v>4</v>
      </c>
      <c r="D284" s="33" t="s">
        <v>1134</v>
      </c>
      <c r="E284" s="94" t="s">
        <v>1731</v>
      </c>
      <c r="F284" s="116" t="s">
        <v>1140</v>
      </c>
      <c r="H284" s="32">
        <v>120</v>
      </c>
      <c r="J284" s="32">
        <v>1</v>
      </c>
      <c r="L284" s="32">
        <v>1</v>
      </c>
      <c r="O284" s="33"/>
      <c r="P284" s="6" t="s">
        <v>792</v>
      </c>
      <c r="S284" s="32" t="s">
        <v>638</v>
      </c>
    </row>
    <row r="285" spans="1:19" s="32" customFormat="1" ht="14.25" x14ac:dyDescent="0.15">
      <c r="A285" s="31" t="s">
        <v>8</v>
      </c>
      <c r="B285" s="32">
        <v>21005</v>
      </c>
      <c r="C285" s="32">
        <v>4</v>
      </c>
      <c r="D285" s="33" t="s">
        <v>1135</v>
      </c>
      <c r="E285" s="95" t="s">
        <v>1732</v>
      </c>
      <c r="F285" s="116" t="s">
        <v>1141</v>
      </c>
      <c r="H285" s="32">
        <v>180</v>
      </c>
      <c r="J285" s="32">
        <v>1</v>
      </c>
      <c r="L285" s="32">
        <v>1</v>
      </c>
      <c r="O285" s="33"/>
      <c r="P285" s="6" t="s">
        <v>792</v>
      </c>
      <c r="S285" s="32" t="s">
        <v>639</v>
      </c>
    </row>
    <row r="286" spans="1:19" s="32" customFormat="1" ht="14.25" x14ac:dyDescent="0.15">
      <c r="A286" s="31" t="s">
        <v>8</v>
      </c>
      <c r="B286" s="32">
        <v>21006</v>
      </c>
      <c r="C286" s="32">
        <v>4</v>
      </c>
      <c r="D286" s="33" t="s">
        <v>1136</v>
      </c>
      <c r="E286" s="96" t="s">
        <v>1733</v>
      </c>
      <c r="F286" s="116" t="s">
        <v>1142</v>
      </c>
      <c r="H286" s="32">
        <v>240</v>
      </c>
      <c r="J286" s="32">
        <v>1</v>
      </c>
      <c r="L286" s="32">
        <v>1</v>
      </c>
      <c r="O286" s="33"/>
      <c r="P286" s="6" t="s">
        <v>792</v>
      </c>
      <c r="S286" s="32" t="s">
        <v>640</v>
      </c>
    </row>
    <row r="287" spans="1:19" s="36" customFormat="1" ht="14.25" x14ac:dyDescent="0.15">
      <c r="A287" s="35" t="s">
        <v>8</v>
      </c>
      <c r="B287" s="36">
        <v>22001</v>
      </c>
      <c r="C287" s="36">
        <v>4</v>
      </c>
      <c r="D287" s="37" t="s">
        <v>1149</v>
      </c>
      <c r="E287" s="96" t="s">
        <v>659</v>
      </c>
      <c r="F287" s="117" t="s">
        <v>1143</v>
      </c>
      <c r="H287" s="36">
        <v>15</v>
      </c>
      <c r="J287" s="36">
        <v>1</v>
      </c>
      <c r="L287" s="36">
        <v>1</v>
      </c>
      <c r="O287" s="37"/>
      <c r="P287" s="6" t="s">
        <v>792</v>
      </c>
      <c r="S287" s="36" t="s">
        <v>641</v>
      </c>
    </row>
    <row r="288" spans="1:19" s="36" customFormat="1" ht="14.25" x14ac:dyDescent="0.15">
      <c r="A288" s="35" t="s">
        <v>8</v>
      </c>
      <c r="B288" s="36">
        <v>22002</v>
      </c>
      <c r="C288" s="36">
        <v>4</v>
      </c>
      <c r="D288" s="37" t="s">
        <v>1150</v>
      </c>
      <c r="E288" s="96" t="s">
        <v>660</v>
      </c>
      <c r="F288" s="117" t="s">
        <v>1144</v>
      </c>
      <c r="H288" s="36">
        <v>30</v>
      </c>
      <c r="J288" s="36">
        <v>1</v>
      </c>
      <c r="L288" s="36">
        <v>1</v>
      </c>
      <c r="O288" s="37"/>
      <c r="P288" s="6" t="s">
        <v>792</v>
      </c>
      <c r="S288" s="36" t="s">
        <v>642</v>
      </c>
    </row>
    <row r="289" spans="1:19" s="36" customFormat="1" ht="14.25" x14ac:dyDescent="0.15">
      <c r="A289" s="35" t="s">
        <v>8</v>
      </c>
      <c r="B289" s="36">
        <v>22003</v>
      </c>
      <c r="C289" s="36">
        <v>4</v>
      </c>
      <c r="D289" s="37" t="s">
        <v>1152</v>
      </c>
      <c r="E289" s="96" t="s">
        <v>662</v>
      </c>
      <c r="F289" s="117" t="s">
        <v>1146</v>
      </c>
      <c r="H289" s="36">
        <v>60</v>
      </c>
      <c r="J289" s="36">
        <v>1</v>
      </c>
      <c r="L289" s="36">
        <v>1</v>
      </c>
      <c r="O289" s="37"/>
      <c r="P289" s="6" t="s">
        <v>792</v>
      </c>
      <c r="S289" s="36" t="s">
        <v>643</v>
      </c>
    </row>
    <row r="290" spans="1:19" s="36" customFormat="1" ht="14.25" x14ac:dyDescent="0.15">
      <c r="A290" s="35" t="s">
        <v>8</v>
      </c>
      <c r="B290" s="36">
        <v>22004</v>
      </c>
      <c r="C290" s="36">
        <v>4</v>
      </c>
      <c r="D290" s="37" t="s">
        <v>1151</v>
      </c>
      <c r="E290" s="96" t="s">
        <v>661</v>
      </c>
      <c r="F290" s="117" t="s">
        <v>1145</v>
      </c>
      <c r="H290" s="36">
        <v>120</v>
      </c>
      <c r="J290" s="36">
        <v>1</v>
      </c>
      <c r="L290" s="36">
        <v>1</v>
      </c>
      <c r="O290" s="37"/>
      <c r="P290" s="6" t="s">
        <v>792</v>
      </c>
      <c r="S290" s="36" t="s">
        <v>644</v>
      </c>
    </row>
    <row r="291" spans="1:19" s="36" customFormat="1" ht="14.25" x14ac:dyDescent="0.15">
      <c r="A291" s="35" t="s">
        <v>8</v>
      </c>
      <c r="B291" s="36">
        <v>22005</v>
      </c>
      <c r="C291" s="36">
        <v>4</v>
      </c>
      <c r="D291" s="37" t="s">
        <v>1153</v>
      </c>
      <c r="E291" s="96" t="s">
        <v>1303</v>
      </c>
      <c r="F291" s="117" t="s">
        <v>1147</v>
      </c>
      <c r="H291" s="36">
        <v>180</v>
      </c>
      <c r="J291" s="36">
        <v>1</v>
      </c>
      <c r="L291" s="36">
        <v>1</v>
      </c>
      <c r="O291" s="37"/>
      <c r="P291" s="6" t="s">
        <v>792</v>
      </c>
      <c r="S291" s="36" t="s">
        <v>646</v>
      </c>
    </row>
    <row r="292" spans="1:19" s="36" customFormat="1" ht="14.25" x14ac:dyDescent="0.15">
      <c r="A292" s="35" t="s">
        <v>8</v>
      </c>
      <c r="B292" s="36">
        <v>22006</v>
      </c>
      <c r="C292" s="36">
        <v>4</v>
      </c>
      <c r="D292" s="37" t="s">
        <v>1154</v>
      </c>
      <c r="E292" s="96" t="s">
        <v>666</v>
      </c>
      <c r="F292" s="117" t="s">
        <v>1148</v>
      </c>
      <c r="H292" s="36">
        <v>240</v>
      </c>
      <c r="J292" s="36">
        <v>1</v>
      </c>
      <c r="L292" s="36">
        <v>1</v>
      </c>
      <c r="O292" s="37"/>
      <c r="P292" s="6" t="s">
        <v>792</v>
      </c>
      <c r="S292" s="36" t="s">
        <v>645</v>
      </c>
    </row>
    <row r="293" spans="1:19" s="39" customFormat="1" ht="14.25" x14ac:dyDescent="0.15">
      <c r="A293" s="38" t="s">
        <v>8</v>
      </c>
      <c r="B293" s="39">
        <v>23001</v>
      </c>
      <c r="C293" s="39">
        <v>4</v>
      </c>
      <c r="D293" s="40" t="s">
        <v>1162</v>
      </c>
      <c r="E293" s="97" t="s">
        <v>667</v>
      </c>
      <c r="F293" s="118" t="s">
        <v>1156</v>
      </c>
      <c r="H293" s="39">
        <v>15</v>
      </c>
      <c r="J293" s="39">
        <v>1</v>
      </c>
      <c r="L293" s="39">
        <v>1</v>
      </c>
      <c r="O293" s="40"/>
      <c r="P293" s="6" t="s">
        <v>792</v>
      </c>
      <c r="S293" s="39" t="s">
        <v>647</v>
      </c>
    </row>
    <row r="294" spans="1:19" s="39" customFormat="1" ht="14.25" x14ac:dyDescent="0.15">
      <c r="A294" s="38" t="s">
        <v>8</v>
      </c>
      <c r="B294" s="39">
        <v>23002</v>
      </c>
      <c r="C294" s="39">
        <v>4</v>
      </c>
      <c r="D294" s="40" t="s">
        <v>1161</v>
      </c>
      <c r="E294" s="97" t="s">
        <v>663</v>
      </c>
      <c r="F294" s="118" t="s">
        <v>1155</v>
      </c>
      <c r="H294" s="39">
        <v>30</v>
      </c>
      <c r="J294" s="39">
        <v>1</v>
      </c>
      <c r="L294" s="39">
        <v>1</v>
      </c>
      <c r="O294" s="40"/>
      <c r="P294" s="6" t="s">
        <v>792</v>
      </c>
      <c r="S294" s="39" t="s">
        <v>648</v>
      </c>
    </row>
    <row r="295" spans="1:19" s="39" customFormat="1" ht="14.25" x14ac:dyDescent="0.15">
      <c r="A295" s="38" t="s">
        <v>8</v>
      </c>
      <c r="B295" s="39">
        <v>23003</v>
      </c>
      <c r="C295" s="39">
        <v>4</v>
      </c>
      <c r="D295" s="40" t="s">
        <v>1163</v>
      </c>
      <c r="E295" s="97" t="s">
        <v>664</v>
      </c>
      <c r="F295" s="118" t="s">
        <v>1157</v>
      </c>
      <c r="H295" s="39">
        <v>60</v>
      </c>
      <c r="J295" s="39">
        <v>1</v>
      </c>
      <c r="L295" s="39">
        <v>1</v>
      </c>
      <c r="O295" s="40"/>
      <c r="P295" s="6" t="s">
        <v>792</v>
      </c>
      <c r="S295" s="39" t="s">
        <v>649</v>
      </c>
    </row>
    <row r="296" spans="1:19" s="39" customFormat="1" ht="14.25" x14ac:dyDescent="0.15">
      <c r="A296" s="38" t="s">
        <v>8</v>
      </c>
      <c r="B296" s="39">
        <v>23004</v>
      </c>
      <c r="C296" s="39">
        <v>4</v>
      </c>
      <c r="D296" s="39" t="s">
        <v>1164</v>
      </c>
      <c r="E296" s="97" t="s">
        <v>771</v>
      </c>
      <c r="F296" s="118" t="s">
        <v>1158</v>
      </c>
      <c r="H296" s="39">
        <v>120</v>
      </c>
      <c r="J296" s="39">
        <v>1</v>
      </c>
      <c r="L296" s="39">
        <v>1</v>
      </c>
      <c r="O296" s="40"/>
      <c r="P296" s="6" t="s">
        <v>792</v>
      </c>
      <c r="S296" s="39" t="s">
        <v>650</v>
      </c>
    </row>
    <row r="297" spans="1:19" s="39" customFormat="1" ht="14.25" x14ac:dyDescent="0.15">
      <c r="A297" s="38" t="s">
        <v>8</v>
      </c>
      <c r="B297" s="39">
        <v>23005</v>
      </c>
      <c r="C297" s="39">
        <v>4</v>
      </c>
      <c r="D297" s="40" t="s">
        <v>1165</v>
      </c>
      <c r="E297" s="97" t="s">
        <v>665</v>
      </c>
      <c r="F297" s="118" t="s">
        <v>1159</v>
      </c>
      <c r="H297" s="39">
        <v>180</v>
      </c>
      <c r="J297" s="39">
        <v>1</v>
      </c>
      <c r="L297" s="39">
        <v>1</v>
      </c>
      <c r="O297" s="40"/>
      <c r="P297" s="6" t="s">
        <v>792</v>
      </c>
      <c r="S297" s="39" t="s">
        <v>651</v>
      </c>
    </row>
    <row r="298" spans="1:19" s="39" customFormat="1" ht="14.25" x14ac:dyDescent="0.15">
      <c r="A298" s="38" t="s">
        <v>8</v>
      </c>
      <c r="B298" s="39">
        <v>23006</v>
      </c>
      <c r="C298" s="39">
        <v>4</v>
      </c>
      <c r="D298" s="40" t="s">
        <v>1166</v>
      </c>
      <c r="E298" s="97" t="s">
        <v>1302</v>
      </c>
      <c r="F298" s="118" t="s">
        <v>1160</v>
      </c>
      <c r="H298" s="39">
        <v>240</v>
      </c>
      <c r="J298" s="39">
        <v>1</v>
      </c>
      <c r="L298" s="39">
        <v>1</v>
      </c>
      <c r="O298" s="40"/>
      <c r="P298" s="6" t="s">
        <v>792</v>
      </c>
      <c r="S298" s="39" t="s">
        <v>652</v>
      </c>
    </row>
    <row r="299" spans="1:19" s="61" customFormat="1" ht="14.25" x14ac:dyDescent="0.15">
      <c r="A299" s="60" t="s">
        <v>8</v>
      </c>
      <c r="B299" s="61">
        <v>24000</v>
      </c>
      <c r="C299" s="61">
        <v>4</v>
      </c>
      <c r="D299" s="62" t="s">
        <v>628</v>
      </c>
      <c r="E299" s="98" t="s">
        <v>1734</v>
      </c>
      <c r="F299" s="119" t="s">
        <v>689</v>
      </c>
      <c r="H299" s="61">
        <v>1</v>
      </c>
      <c r="J299" s="61">
        <v>0</v>
      </c>
      <c r="L299" s="61">
        <v>1</v>
      </c>
      <c r="O299" s="62"/>
      <c r="P299" s="61" t="s">
        <v>792</v>
      </c>
      <c r="S299" s="4"/>
    </row>
    <row r="300" spans="1:19" s="42" customFormat="1" ht="14.25" x14ac:dyDescent="0.15">
      <c r="A300" s="41"/>
      <c r="B300" s="42">
        <v>24001</v>
      </c>
      <c r="C300" s="42">
        <v>4</v>
      </c>
      <c r="D300" s="43" t="s">
        <v>570</v>
      </c>
      <c r="E300" s="99" t="s">
        <v>1735</v>
      </c>
      <c r="F300" s="120" t="s">
        <v>223</v>
      </c>
      <c r="H300" s="42">
        <v>1</v>
      </c>
      <c r="J300" s="42">
        <v>1</v>
      </c>
      <c r="L300" s="42">
        <v>3</v>
      </c>
      <c r="O300" s="43"/>
      <c r="P300" s="6" t="s">
        <v>797</v>
      </c>
      <c r="S300" s="4"/>
    </row>
    <row r="301" spans="1:19" s="42" customFormat="1" ht="14.25" x14ac:dyDescent="0.15">
      <c r="A301" s="41"/>
      <c r="B301" s="42">
        <v>24002</v>
      </c>
      <c r="C301" s="42">
        <v>4</v>
      </c>
      <c r="D301" s="43" t="s">
        <v>571</v>
      </c>
      <c r="E301" s="99" t="s">
        <v>1736</v>
      </c>
      <c r="F301" s="120" t="s">
        <v>224</v>
      </c>
      <c r="H301" s="42">
        <v>1</v>
      </c>
      <c r="J301" s="42">
        <v>1</v>
      </c>
      <c r="L301" s="42">
        <v>3</v>
      </c>
      <c r="O301" s="43"/>
      <c r="P301" s="6" t="s">
        <v>797</v>
      </c>
      <c r="S301" s="4"/>
    </row>
    <row r="302" spans="1:19" s="42" customFormat="1" ht="14.25" x14ac:dyDescent="0.15">
      <c r="A302" s="41"/>
      <c r="B302" s="42">
        <v>24003</v>
      </c>
      <c r="C302" s="42">
        <v>4</v>
      </c>
      <c r="D302" s="43" t="s">
        <v>160</v>
      </c>
      <c r="E302" s="99" t="s">
        <v>1737</v>
      </c>
      <c r="F302" s="120" t="s">
        <v>225</v>
      </c>
      <c r="H302" s="42">
        <v>1</v>
      </c>
      <c r="J302" s="42">
        <v>1</v>
      </c>
      <c r="L302" s="42">
        <v>3</v>
      </c>
      <c r="O302" s="43"/>
      <c r="P302" s="6" t="s">
        <v>797</v>
      </c>
      <c r="S302" s="4"/>
    </row>
    <row r="303" spans="1:19" s="42" customFormat="1" ht="14.25" x14ac:dyDescent="0.15">
      <c r="A303" s="41"/>
      <c r="B303" s="42">
        <v>24004</v>
      </c>
      <c r="C303" s="42">
        <v>4</v>
      </c>
      <c r="D303" s="43" t="s">
        <v>205</v>
      </c>
      <c r="E303" s="99" t="s">
        <v>1737</v>
      </c>
      <c r="F303" s="120" t="s">
        <v>226</v>
      </c>
      <c r="H303" s="42">
        <v>1</v>
      </c>
      <c r="J303" s="42">
        <v>1</v>
      </c>
      <c r="L303" s="42">
        <v>3</v>
      </c>
      <c r="O303" s="43"/>
      <c r="P303" s="6" t="s">
        <v>797</v>
      </c>
      <c r="S303" s="4"/>
    </row>
    <row r="304" spans="1:19" s="42" customFormat="1" ht="14.25" x14ac:dyDescent="0.15">
      <c r="A304" s="41"/>
      <c r="B304" s="42">
        <v>24005</v>
      </c>
      <c r="C304" s="42">
        <v>4</v>
      </c>
      <c r="D304" s="43" t="s">
        <v>206</v>
      </c>
      <c r="E304" s="99" t="s">
        <v>1738</v>
      </c>
      <c r="F304" s="120" t="s">
        <v>227</v>
      </c>
      <c r="H304" s="42">
        <v>1</v>
      </c>
      <c r="J304" s="42">
        <v>1</v>
      </c>
      <c r="L304" s="42">
        <v>3</v>
      </c>
      <c r="O304" s="43"/>
      <c r="P304" s="6" t="s">
        <v>797</v>
      </c>
      <c r="S304" s="4"/>
    </row>
    <row r="305" spans="1:19" s="42" customFormat="1" ht="14.25" x14ac:dyDescent="0.15">
      <c r="A305" s="41"/>
      <c r="B305" s="42">
        <v>24006</v>
      </c>
      <c r="C305" s="42">
        <v>4</v>
      </c>
      <c r="D305" s="43" t="s">
        <v>159</v>
      </c>
      <c r="E305" s="99" t="s">
        <v>1738</v>
      </c>
      <c r="F305" s="120" t="s">
        <v>228</v>
      </c>
      <c r="H305" s="42">
        <v>1</v>
      </c>
      <c r="J305" s="42">
        <v>1</v>
      </c>
      <c r="L305" s="42">
        <v>3</v>
      </c>
      <c r="O305" s="43"/>
      <c r="P305" s="6" t="s">
        <v>797</v>
      </c>
      <c r="S305" s="4"/>
    </row>
    <row r="306" spans="1:19" s="42" customFormat="1" ht="14.25" x14ac:dyDescent="0.15">
      <c r="A306" s="41"/>
      <c r="B306" s="42">
        <v>24007</v>
      </c>
      <c r="C306" s="42">
        <v>4</v>
      </c>
      <c r="D306" s="43" t="s">
        <v>207</v>
      </c>
      <c r="E306" s="99" t="s">
        <v>1737</v>
      </c>
      <c r="F306" s="120" t="s">
        <v>229</v>
      </c>
      <c r="H306" s="42">
        <v>1</v>
      </c>
      <c r="J306" s="42">
        <v>1</v>
      </c>
      <c r="L306" s="42">
        <v>3</v>
      </c>
      <c r="O306" s="43"/>
      <c r="P306" s="6" t="s">
        <v>797</v>
      </c>
      <c r="S306" s="4"/>
    </row>
    <row r="307" spans="1:19" s="42" customFormat="1" ht="14.25" x14ac:dyDescent="0.15">
      <c r="A307" s="41"/>
      <c r="B307" s="42">
        <v>24008</v>
      </c>
      <c r="C307" s="42">
        <v>4</v>
      </c>
      <c r="D307" s="43" t="s">
        <v>208</v>
      </c>
      <c r="E307" s="99" t="s">
        <v>1738</v>
      </c>
      <c r="F307" s="120" t="s">
        <v>230</v>
      </c>
      <c r="H307" s="42">
        <v>1</v>
      </c>
      <c r="J307" s="42">
        <v>1</v>
      </c>
      <c r="L307" s="42">
        <v>3</v>
      </c>
      <c r="O307" s="43"/>
      <c r="P307" s="6" t="s">
        <v>797</v>
      </c>
      <c r="S307" s="4"/>
    </row>
    <row r="308" spans="1:19" s="42" customFormat="1" ht="14.25" x14ac:dyDescent="0.15">
      <c r="A308" s="41"/>
      <c r="B308" s="42">
        <v>24009</v>
      </c>
      <c r="C308" s="42">
        <v>4</v>
      </c>
      <c r="D308" s="43" t="s">
        <v>209</v>
      </c>
      <c r="E308" s="99" t="s">
        <v>1737</v>
      </c>
      <c r="F308" s="120" t="s">
        <v>231</v>
      </c>
      <c r="H308" s="42">
        <v>1</v>
      </c>
      <c r="J308" s="42">
        <v>1</v>
      </c>
      <c r="L308" s="42">
        <v>3</v>
      </c>
      <c r="O308" s="43"/>
      <c r="P308" s="6" t="s">
        <v>797</v>
      </c>
      <c r="S308" s="4"/>
    </row>
    <row r="309" spans="1:19" s="42" customFormat="1" ht="14.25" x14ac:dyDescent="0.15">
      <c r="A309" s="41"/>
      <c r="B309" s="42">
        <v>24010</v>
      </c>
      <c r="C309" s="42">
        <v>4</v>
      </c>
      <c r="D309" s="43" t="s">
        <v>210</v>
      </c>
      <c r="E309" s="99" t="s">
        <v>1738</v>
      </c>
      <c r="F309" s="120" t="s">
        <v>232</v>
      </c>
      <c r="H309" s="42">
        <v>1</v>
      </c>
      <c r="J309" s="42">
        <v>1</v>
      </c>
      <c r="L309" s="42">
        <v>3</v>
      </c>
      <c r="O309" s="43"/>
      <c r="P309" s="6" t="s">
        <v>797</v>
      </c>
      <c r="S309" s="4"/>
    </row>
    <row r="310" spans="1:19" s="42" customFormat="1" ht="14.25" x14ac:dyDescent="0.15">
      <c r="A310" s="41"/>
      <c r="B310" s="42">
        <v>24011</v>
      </c>
      <c r="C310" s="42">
        <v>4</v>
      </c>
      <c r="D310" s="43" t="s">
        <v>211</v>
      </c>
      <c r="E310" s="99" t="s">
        <v>1738</v>
      </c>
      <c r="F310" s="120" t="s">
        <v>233</v>
      </c>
      <c r="H310" s="42">
        <v>1</v>
      </c>
      <c r="J310" s="42">
        <v>1</v>
      </c>
      <c r="L310" s="42">
        <v>3</v>
      </c>
      <c r="O310" s="43"/>
      <c r="P310" s="6" t="s">
        <v>797</v>
      </c>
      <c r="S310" s="4"/>
    </row>
    <row r="311" spans="1:19" s="42" customFormat="1" ht="14.25" x14ac:dyDescent="0.15">
      <c r="A311" s="41"/>
      <c r="B311" s="42">
        <v>24012</v>
      </c>
      <c r="C311" s="42">
        <v>4</v>
      </c>
      <c r="D311" s="43" t="s">
        <v>212</v>
      </c>
      <c r="E311" s="99" t="s">
        <v>1738</v>
      </c>
      <c r="F311" s="120" t="s">
        <v>234</v>
      </c>
      <c r="H311" s="42">
        <v>1</v>
      </c>
      <c r="J311" s="42">
        <v>1</v>
      </c>
      <c r="L311" s="42">
        <v>3</v>
      </c>
      <c r="O311" s="43"/>
      <c r="P311" s="6" t="s">
        <v>797</v>
      </c>
      <c r="S311" s="4"/>
    </row>
    <row r="312" spans="1:19" s="42" customFormat="1" ht="14.25" x14ac:dyDescent="0.15">
      <c r="A312" s="41"/>
      <c r="B312" s="42">
        <v>24013</v>
      </c>
      <c r="C312" s="42">
        <v>4</v>
      </c>
      <c r="D312" s="43" t="s">
        <v>42</v>
      </c>
      <c r="E312" s="99" t="s">
        <v>98</v>
      </c>
      <c r="F312" s="120" t="s">
        <v>42</v>
      </c>
      <c r="H312" s="42">
        <v>1</v>
      </c>
      <c r="J312" s="42">
        <v>1</v>
      </c>
      <c r="L312" s="42">
        <v>2</v>
      </c>
      <c r="O312" s="43"/>
      <c r="P312" s="6" t="s">
        <v>796</v>
      </c>
      <c r="S312" s="4"/>
    </row>
    <row r="313" spans="1:19" s="42" customFormat="1" ht="14.25" x14ac:dyDescent="0.15">
      <c r="A313" s="41"/>
      <c r="B313" s="42">
        <v>24014</v>
      </c>
      <c r="C313" s="42">
        <v>4</v>
      </c>
      <c r="D313" s="43" t="s">
        <v>43</v>
      </c>
      <c r="E313" s="99" t="s">
        <v>99</v>
      </c>
      <c r="F313" s="120" t="s">
        <v>43</v>
      </c>
      <c r="H313" s="42">
        <v>2</v>
      </c>
      <c r="J313" s="42">
        <v>1</v>
      </c>
      <c r="L313" s="42">
        <v>2</v>
      </c>
      <c r="O313" s="43"/>
      <c r="P313" s="6" t="s">
        <v>796</v>
      </c>
      <c r="S313" s="4"/>
    </row>
    <row r="314" spans="1:19" s="42" customFormat="1" ht="14.25" x14ac:dyDescent="0.15">
      <c r="A314" s="41"/>
      <c r="B314" s="42">
        <v>24015</v>
      </c>
      <c r="C314" s="42">
        <v>4</v>
      </c>
      <c r="D314" s="43" t="s">
        <v>44</v>
      </c>
      <c r="E314" s="99" t="s">
        <v>100</v>
      </c>
      <c r="F314" s="120" t="s">
        <v>44</v>
      </c>
      <c r="H314" s="42">
        <v>2</v>
      </c>
      <c r="J314" s="42">
        <v>1</v>
      </c>
      <c r="L314" s="42">
        <v>2</v>
      </c>
      <c r="O314" s="43"/>
      <c r="P314" s="6" t="s">
        <v>796</v>
      </c>
      <c r="S314" s="4"/>
    </row>
    <row r="315" spans="1:19" s="42" customFormat="1" ht="14.25" x14ac:dyDescent="0.15">
      <c r="A315" s="41"/>
      <c r="B315" s="42">
        <v>24016</v>
      </c>
      <c r="C315" s="42">
        <v>4</v>
      </c>
      <c r="D315" s="43" t="s">
        <v>45</v>
      </c>
      <c r="E315" s="99" t="s">
        <v>96</v>
      </c>
      <c r="F315" s="120" t="s">
        <v>45</v>
      </c>
      <c r="H315" s="42">
        <v>2</v>
      </c>
      <c r="J315" s="42">
        <v>1</v>
      </c>
      <c r="L315" s="42">
        <v>2</v>
      </c>
      <c r="O315" s="43"/>
      <c r="P315" s="6" t="s">
        <v>796</v>
      </c>
      <c r="S315" s="4"/>
    </row>
    <row r="316" spans="1:19" s="42" customFormat="1" ht="14.25" x14ac:dyDescent="0.15">
      <c r="A316" s="41"/>
      <c r="B316" s="42">
        <v>24017</v>
      </c>
      <c r="C316" s="42">
        <v>4</v>
      </c>
      <c r="D316" s="43" t="s">
        <v>46</v>
      </c>
      <c r="E316" s="99" t="s">
        <v>97</v>
      </c>
      <c r="F316" s="120" t="s">
        <v>46</v>
      </c>
      <c r="H316" s="42">
        <v>3</v>
      </c>
      <c r="J316" s="42">
        <v>1</v>
      </c>
      <c r="L316" s="42">
        <v>2</v>
      </c>
      <c r="O316" s="43"/>
      <c r="P316" s="6" t="s">
        <v>796</v>
      </c>
      <c r="S316" s="4"/>
    </row>
    <row r="317" spans="1:19" s="42" customFormat="1" ht="14.25" x14ac:dyDescent="0.15">
      <c r="A317" s="41"/>
      <c r="B317" s="42">
        <v>24018</v>
      </c>
      <c r="C317" s="42">
        <v>4</v>
      </c>
      <c r="D317" s="43" t="s">
        <v>47</v>
      </c>
      <c r="E317" s="99" t="s">
        <v>98</v>
      </c>
      <c r="F317" s="120" t="s">
        <v>47</v>
      </c>
      <c r="H317" s="42">
        <v>3</v>
      </c>
      <c r="J317" s="42">
        <v>1</v>
      </c>
      <c r="L317" s="42">
        <v>2</v>
      </c>
      <c r="O317" s="43"/>
      <c r="P317" s="6" t="s">
        <v>796</v>
      </c>
      <c r="S317" s="4"/>
    </row>
    <row r="318" spans="1:19" s="42" customFormat="1" ht="14.25" x14ac:dyDescent="0.15">
      <c r="A318" s="41"/>
      <c r="B318" s="42">
        <v>24019</v>
      </c>
      <c r="C318" s="42">
        <v>4</v>
      </c>
      <c r="D318" s="43" t="s">
        <v>48</v>
      </c>
      <c r="E318" s="99" t="s">
        <v>99</v>
      </c>
      <c r="F318" s="120" t="s">
        <v>48</v>
      </c>
      <c r="H318" s="42">
        <v>3</v>
      </c>
      <c r="J318" s="42">
        <v>1</v>
      </c>
      <c r="L318" s="42">
        <v>2</v>
      </c>
      <c r="O318" s="43"/>
      <c r="P318" s="6" t="s">
        <v>796</v>
      </c>
      <c r="S318" s="4"/>
    </row>
    <row r="319" spans="1:19" s="42" customFormat="1" ht="14.25" x14ac:dyDescent="0.15">
      <c r="A319" s="41"/>
      <c r="B319" s="42">
        <v>24020</v>
      </c>
      <c r="C319" s="42">
        <v>4</v>
      </c>
      <c r="D319" s="43" t="s">
        <v>49</v>
      </c>
      <c r="E319" s="99" t="s">
        <v>100</v>
      </c>
      <c r="F319" s="120" t="s">
        <v>49</v>
      </c>
      <c r="H319" s="42">
        <v>3</v>
      </c>
      <c r="J319" s="42">
        <v>1</v>
      </c>
      <c r="L319" s="42">
        <v>2</v>
      </c>
      <c r="O319" s="43"/>
      <c r="P319" s="6" t="s">
        <v>796</v>
      </c>
      <c r="S319" s="4"/>
    </row>
    <row r="320" spans="1:19" s="42" customFormat="1" ht="14.25" x14ac:dyDescent="0.15">
      <c r="A320" s="41"/>
      <c r="B320" s="42">
        <v>24021</v>
      </c>
      <c r="C320" s="42">
        <v>4</v>
      </c>
      <c r="D320" s="42" t="s">
        <v>50</v>
      </c>
      <c r="E320" s="99" t="s">
        <v>96</v>
      </c>
      <c r="F320" s="121" t="s">
        <v>50</v>
      </c>
      <c r="H320" s="42">
        <v>1</v>
      </c>
      <c r="J320" s="42">
        <v>1</v>
      </c>
      <c r="L320" s="42">
        <v>2</v>
      </c>
      <c r="O320" s="43"/>
      <c r="P320" s="6" t="s">
        <v>796</v>
      </c>
      <c r="S320" s="4"/>
    </row>
    <row r="321" spans="1:19" s="42" customFormat="1" ht="14.25" x14ac:dyDescent="0.15">
      <c r="A321" s="41"/>
      <c r="B321" s="42">
        <v>24022</v>
      </c>
      <c r="C321" s="42">
        <v>4</v>
      </c>
      <c r="D321" s="42" t="s">
        <v>51</v>
      </c>
      <c r="E321" s="99" t="s">
        <v>97</v>
      </c>
      <c r="F321" s="121" t="s">
        <v>51</v>
      </c>
      <c r="H321" s="42">
        <v>1</v>
      </c>
      <c r="J321" s="42">
        <v>1</v>
      </c>
      <c r="L321" s="42">
        <v>2</v>
      </c>
      <c r="O321" s="43"/>
      <c r="P321" s="6" t="s">
        <v>796</v>
      </c>
      <c r="S321" s="4"/>
    </row>
    <row r="322" spans="1:19" s="42" customFormat="1" ht="14.25" x14ac:dyDescent="0.15">
      <c r="A322" s="41"/>
      <c r="B322" s="42">
        <v>24023</v>
      </c>
      <c r="C322" s="42">
        <v>4</v>
      </c>
      <c r="D322" s="42" t="s">
        <v>52</v>
      </c>
      <c r="E322" s="99" t="s">
        <v>98</v>
      </c>
      <c r="F322" s="121" t="s">
        <v>52</v>
      </c>
      <c r="H322" s="42">
        <v>1</v>
      </c>
      <c r="J322" s="42">
        <v>1</v>
      </c>
      <c r="L322" s="42">
        <v>2</v>
      </c>
      <c r="O322" s="43"/>
      <c r="P322" s="6" t="s">
        <v>796</v>
      </c>
      <c r="S322" s="4"/>
    </row>
    <row r="323" spans="1:19" s="42" customFormat="1" ht="14.25" x14ac:dyDescent="0.15">
      <c r="A323" s="41"/>
      <c r="B323" s="42">
        <v>24024</v>
      </c>
      <c r="C323" s="42">
        <v>4</v>
      </c>
      <c r="D323" s="42" t="s">
        <v>53</v>
      </c>
      <c r="E323" s="99" t="s">
        <v>99</v>
      </c>
      <c r="F323" s="121" t="s">
        <v>53</v>
      </c>
      <c r="H323" s="42">
        <v>2</v>
      </c>
      <c r="J323" s="42">
        <v>1</v>
      </c>
      <c r="L323" s="42">
        <v>2</v>
      </c>
      <c r="O323" s="43"/>
      <c r="P323" s="6" t="s">
        <v>796</v>
      </c>
      <c r="S323" s="4"/>
    </row>
    <row r="324" spans="1:19" s="42" customFormat="1" ht="14.25" x14ac:dyDescent="0.15">
      <c r="A324" s="41"/>
      <c r="B324" s="42">
        <v>24025</v>
      </c>
      <c r="C324" s="42">
        <v>4</v>
      </c>
      <c r="D324" s="42" t="s">
        <v>54</v>
      </c>
      <c r="E324" s="99" t="s">
        <v>100</v>
      </c>
      <c r="F324" s="121" t="s">
        <v>54</v>
      </c>
      <c r="H324" s="42">
        <v>2</v>
      </c>
      <c r="J324" s="42">
        <v>1</v>
      </c>
      <c r="L324" s="42">
        <v>2</v>
      </c>
      <c r="O324" s="43"/>
      <c r="P324" s="6" t="s">
        <v>796</v>
      </c>
      <c r="S324" s="4"/>
    </row>
    <row r="325" spans="1:19" s="42" customFormat="1" ht="14.25" x14ac:dyDescent="0.15">
      <c r="A325" s="41"/>
      <c r="B325" s="42">
        <v>24026</v>
      </c>
      <c r="C325" s="42">
        <v>4</v>
      </c>
      <c r="D325" s="42" t="s">
        <v>55</v>
      </c>
      <c r="E325" s="99" t="s">
        <v>96</v>
      </c>
      <c r="F325" s="121" t="s">
        <v>55</v>
      </c>
      <c r="H325" s="42">
        <v>2</v>
      </c>
      <c r="J325" s="42">
        <v>1</v>
      </c>
      <c r="L325" s="42">
        <v>2</v>
      </c>
      <c r="O325" s="43"/>
      <c r="P325" s="6" t="s">
        <v>796</v>
      </c>
      <c r="S325" s="4"/>
    </row>
    <row r="326" spans="1:19" s="42" customFormat="1" ht="14.25" x14ac:dyDescent="0.15">
      <c r="A326" s="41"/>
      <c r="B326" s="42">
        <v>24027</v>
      </c>
      <c r="C326" s="42">
        <v>4</v>
      </c>
      <c r="D326" s="42" t="s">
        <v>56</v>
      </c>
      <c r="E326" s="99" t="s">
        <v>97</v>
      </c>
      <c r="F326" s="121" t="s">
        <v>56</v>
      </c>
      <c r="H326" s="42">
        <v>2</v>
      </c>
      <c r="J326" s="42">
        <v>1</v>
      </c>
      <c r="L326" s="42">
        <v>2</v>
      </c>
      <c r="O326" s="43"/>
      <c r="P326" s="6" t="s">
        <v>796</v>
      </c>
      <c r="S326" s="4"/>
    </row>
    <row r="327" spans="1:19" s="42" customFormat="1" ht="14.25" x14ac:dyDescent="0.15">
      <c r="A327" s="41"/>
      <c r="B327" s="42">
        <v>24028</v>
      </c>
      <c r="C327" s="42">
        <v>4</v>
      </c>
      <c r="D327" s="42" t="s">
        <v>57</v>
      </c>
      <c r="E327" s="99" t="s">
        <v>98</v>
      </c>
      <c r="F327" s="121" t="s">
        <v>57</v>
      </c>
      <c r="H327" s="42">
        <v>3</v>
      </c>
      <c r="J327" s="42">
        <v>1</v>
      </c>
      <c r="L327" s="42">
        <v>2</v>
      </c>
      <c r="O327" s="43"/>
      <c r="P327" s="6" t="s">
        <v>796</v>
      </c>
      <c r="S327" s="4"/>
    </row>
    <row r="328" spans="1:19" s="42" customFormat="1" ht="14.25" x14ac:dyDescent="0.15">
      <c r="A328" s="41"/>
      <c r="B328" s="42">
        <v>24029</v>
      </c>
      <c r="C328" s="42">
        <v>4</v>
      </c>
      <c r="D328" s="42" t="s">
        <v>58</v>
      </c>
      <c r="E328" s="99" t="s">
        <v>99</v>
      </c>
      <c r="F328" s="121" t="s">
        <v>58</v>
      </c>
      <c r="H328" s="42">
        <v>3</v>
      </c>
      <c r="J328" s="42">
        <v>1</v>
      </c>
      <c r="L328" s="42">
        <v>2</v>
      </c>
      <c r="O328" s="43"/>
      <c r="P328" s="6" t="s">
        <v>796</v>
      </c>
      <c r="S328" s="4"/>
    </row>
    <row r="329" spans="1:19" s="42" customFormat="1" ht="14.25" x14ac:dyDescent="0.15">
      <c r="A329" s="41"/>
      <c r="B329" s="42">
        <v>24030</v>
      </c>
      <c r="C329" s="42">
        <v>4</v>
      </c>
      <c r="D329" s="42" t="s">
        <v>59</v>
      </c>
      <c r="E329" s="99" t="s">
        <v>100</v>
      </c>
      <c r="F329" s="121" t="s">
        <v>59</v>
      </c>
      <c r="H329" s="42">
        <v>3</v>
      </c>
      <c r="J329" s="42">
        <v>1</v>
      </c>
      <c r="L329" s="42">
        <v>2</v>
      </c>
      <c r="O329" s="43"/>
      <c r="P329" s="6" t="s">
        <v>796</v>
      </c>
      <c r="S329" s="4"/>
    </row>
    <row r="330" spans="1:19" s="42" customFormat="1" ht="14.25" x14ac:dyDescent="0.15">
      <c r="A330" s="41"/>
      <c r="B330" s="42">
        <v>24031</v>
      </c>
      <c r="C330" s="42">
        <v>4</v>
      </c>
      <c r="D330" s="42" t="s">
        <v>60</v>
      </c>
      <c r="E330" s="99" t="s">
        <v>100</v>
      </c>
      <c r="F330" s="121" t="s">
        <v>60</v>
      </c>
      <c r="H330" s="42">
        <v>3</v>
      </c>
      <c r="J330" s="42">
        <v>1</v>
      </c>
      <c r="L330" s="42">
        <v>2</v>
      </c>
      <c r="O330" s="43"/>
      <c r="P330" s="6" t="s">
        <v>796</v>
      </c>
      <c r="S330" s="4"/>
    </row>
    <row r="331" spans="1:19" s="42" customFormat="1" ht="14.25" x14ac:dyDescent="0.15">
      <c r="A331" s="41"/>
      <c r="B331" s="42">
        <v>29999</v>
      </c>
      <c r="D331" s="42" t="s">
        <v>560</v>
      </c>
      <c r="E331" s="99"/>
      <c r="F331" s="121"/>
      <c r="O331" s="43"/>
      <c r="P331" s="6" t="s">
        <v>794</v>
      </c>
      <c r="S331" s="4"/>
    </row>
    <row r="332" spans="1:19" s="27" customFormat="1" ht="14.25" x14ac:dyDescent="0.15">
      <c r="A332" s="20" t="s">
        <v>8</v>
      </c>
      <c r="B332" s="27">
        <v>31011</v>
      </c>
      <c r="C332" s="27">
        <v>5</v>
      </c>
      <c r="D332" s="27" t="s">
        <v>712</v>
      </c>
      <c r="E332" s="100" t="s">
        <v>668</v>
      </c>
      <c r="F332" s="114" t="s">
        <v>1010</v>
      </c>
      <c r="H332" s="27">
        <v>16</v>
      </c>
      <c r="J332" s="27">
        <v>1</v>
      </c>
      <c r="K332" s="27">
        <v>91011</v>
      </c>
      <c r="L332" s="27">
        <v>1</v>
      </c>
      <c r="N332" s="27">
        <v>1</v>
      </c>
      <c r="O332" s="44"/>
      <c r="P332" s="6" t="s">
        <v>792</v>
      </c>
      <c r="Q332" s="44"/>
      <c r="S332" s="27" t="s">
        <v>801</v>
      </c>
    </row>
    <row r="333" spans="1:19" s="27" customFormat="1" ht="14.25" x14ac:dyDescent="0.15">
      <c r="A333" s="20" t="s">
        <v>8</v>
      </c>
      <c r="B333" s="27">
        <v>31012</v>
      </c>
      <c r="C333" s="27">
        <v>5</v>
      </c>
      <c r="D333" s="27" t="s">
        <v>713</v>
      </c>
      <c r="E333" s="100" t="s">
        <v>668</v>
      </c>
      <c r="F333" s="122" t="s">
        <v>1010</v>
      </c>
      <c r="J333" s="27">
        <v>1</v>
      </c>
      <c r="K333" s="27">
        <v>91012</v>
      </c>
      <c r="L333" s="27">
        <v>2</v>
      </c>
      <c r="N333" s="27">
        <v>1</v>
      </c>
      <c r="O333" s="44"/>
      <c r="P333" s="6" t="s">
        <v>806</v>
      </c>
      <c r="Q333" s="44"/>
      <c r="S333" s="27" t="s">
        <v>801</v>
      </c>
    </row>
    <row r="334" spans="1:19" s="27" customFormat="1" ht="14.25" x14ac:dyDescent="0.15">
      <c r="A334" s="20" t="s">
        <v>8</v>
      </c>
      <c r="B334" s="27">
        <v>31013</v>
      </c>
      <c r="C334" s="27">
        <v>5</v>
      </c>
      <c r="D334" s="27" t="s">
        <v>714</v>
      </c>
      <c r="E334" s="100" t="s">
        <v>668</v>
      </c>
      <c r="F334" s="122" t="s">
        <v>1050</v>
      </c>
      <c r="J334" s="27">
        <v>1</v>
      </c>
      <c r="K334" s="27">
        <v>91013</v>
      </c>
      <c r="L334" s="27">
        <v>3</v>
      </c>
      <c r="N334" s="27">
        <v>1</v>
      </c>
      <c r="O334" s="44"/>
      <c r="P334" s="6" t="s">
        <v>807</v>
      </c>
      <c r="Q334" s="44"/>
      <c r="S334" s="27" t="s">
        <v>801</v>
      </c>
    </row>
    <row r="335" spans="1:19" s="27" customFormat="1" ht="14.25" x14ac:dyDescent="0.15">
      <c r="A335" s="20" t="s">
        <v>802</v>
      </c>
      <c r="B335" s="27">
        <v>31021</v>
      </c>
      <c r="C335" s="27">
        <v>5</v>
      </c>
      <c r="D335" s="27" t="s">
        <v>715</v>
      </c>
      <c r="E335" s="100" t="s">
        <v>669</v>
      </c>
      <c r="F335" s="114" t="s">
        <v>1011</v>
      </c>
      <c r="H335" s="27">
        <v>33</v>
      </c>
      <c r="J335" s="27">
        <v>1</v>
      </c>
      <c r="K335" s="27">
        <v>91021</v>
      </c>
      <c r="L335" s="27">
        <v>1</v>
      </c>
      <c r="N335" s="27">
        <v>1</v>
      </c>
      <c r="O335" s="44"/>
      <c r="P335" s="6" t="s">
        <v>792</v>
      </c>
      <c r="Q335" s="44"/>
      <c r="S335" s="27" t="s">
        <v>801</v>
      </c>
    </row>
    <row r="336" spans="1:19" s="27" customFormat="1" ht="14.25" x14ac:dyDescent="0.15">
      <c r="A336" s="20" t="s">
        <v>8</v>
      </c>
      <c r="B336" s="27">
        <v>31022</v>
      </c>
      <c r="C336" s="27">
        <v>5</v>
      </c>
      <c r="D336" s="27" t="s">
        <v>716</v>
      </c>
      <c r="E336" s="100" t="s">
        <v>669</v>
      </c>
      <c r="F336" s="122" t="s">
        <v>1011</v>
      </c>
      <c r="J336" s="27">
        <v>1</v>
      </c>
      <c r="K336" s="27">
        <v>91022</v>
      </c>
      <c r="L336" s="27">
        <v>2</v>
      </c>
      <c r="N336" s="27">
        <v>1</v>
      </c>
      <c r="O336" s="44"/>
      <c r="P336" s="6" t="s">
        <v>806</v>
      </c>
      <c r="Q336" s="44"/>
      <c r="S336" s="27" t="s">
        <v>801</v>
      </c>
    </row>
    <row r="337" spans="1:20" s="27" customFormat="1" ht="14.25" x14ac:dyDescent="0.15">
      <c r="A337" s="20" t="s">
        <v>8</v>
      </c>
      <c r="B337" s="27">
        <v>31023</v>
      </c>
      <c r="C337" s="27">
        <v>5</v>
      </c>
      <c r="D337" s="27" t="s">
        <v>717</v>
      </c>
      <c r="E337" s="100" t="s">
        <v>669</v>
      </c>
      <c r="F337" s="122" t="s">
        <v>1011</v>
      </c>
      <c r="J337" s="27">
        <v>1</v>
      </c>
      <c r="K337" s="27">
        <v>91023</v>
      </c>
      <c r="L337" s="27">
        <v>3</v>
      </c>
      <c r="N337" s="27">
        <v>1</v>
      </c>
      <c r="O337" s="44"/>
      <c r="P337" s="6" t="s">
        <v>807</v>
      </c>
      <c r="Q337" s="44"/>
      <c r="S337" s="27" t="s">
        <v>801</v>
      </c>
    </row>
    <row r="338" spans="1:20" s="27" customFormat="1" ht="14.25" x14ac:dyDescent="0.15">
      <c r="A338" s="20" t="s">
        <v>802</v>
      </c>
      <c r="B338" s="27">
        <v>31031</v>
      </c>
      <c r="C338" s="27">
        <v>5</v>
      </c>
      <c r="D338" s="27" t="s">
        <v>671</v>
      </c>
      <c r="E338" s="100" t="s">
        <v>672</v>
      </c>
      <c r="F338" s="114" t="s">
        <v>1012</v>
      </c>
      <c r="H338" s="27">
        <v>138</v>
      </c>
      <c r="J338" s="27">
        <v>1</v>
      </c>
      <c r="K338" s="27">
        <v>91031</v>
      </c>
      <c r="L338" s="27">
        <v>1</v>
      </c>
      <c r="N338" s="27">
        <v>1</v>
      </c>
      <c r="O338" s="44"/>
      <c r="P338" s="6" t="s">
        <v>792</v>
      </c>
      <c r="Q338" s="44"/>
      <c r="S338" s="27" t="s">
        <v>801</v>
      </c>
    </row>
    <row r="339" spans="1:20" s="27" customFormat="1" ht="14.25" x14ac:dyDescent="0.15">
      <c r="A339" s="20" t="s">
        <v>8</v>
      </c>
      <c r="B339" s="27">
        <v>31032</v>
      </c>
      <c r="C339" s="27">
        <v>5</v>
      </c>
      <c r="D339" s="27" t="s">
        <v>718</v>
      </c>
      <c r="E339" s="100" t="s">
        <v>672</v>
      </c>
      <c r="F339" s="122" t="s">
        <v>1012</v>
      </c>
      <c r="J339" s="27">
        <v>1</v>
      </c>
      <c r="K339" s="27">
        <v>91032</v>
      </c>
      <c r="L339" s="27">
        <v>2</v>
      </c>
      <c r="N339" s="27">
        <v>1</v>
      </c>
      <c r="O339" s="44"/>
      <c r="P339" s="6" t="s">
        <v>806</v>
      </c>
      <c r="Q339" s="44"/>
      <c r="S339" s="27" t="s">
        <v>801</v>
      </c>
    </row>
    <row r="340" spans="1:20" s="27" customFormat="1" ht="14.25" x14ac:dyDescent="0.15">
      <c r="A340" s="20" t="s">
        <v>8</v>
      </c>
      <c r="B340" s="27">
        <v>31033</v>
      </c>
      <c r="C340" s="27">
        <v>5</v>
      </c>
      <c r="D340" s="27" t="s">
        <v>719</v>
      </c>
      <c r="E340" s="100" t="s">
        <v>672</v>
      </c>
      <c r="F340" s="122" t="s">
        <v>1012</v>
      </c>
      <c r="J340" s="27">
        <v>1</v>
      </c>
      <c r="K340" s="27">
        <v>91033</v>
      </c>
      <c r="L340" s="27">
        <v>3</v>
      </c>
      <c r="N340" s="27">
        <v>1</v>
      </c>
      <c r="O340" s="44"/>
      <c r="P340" s="6" t="s">
        <v>807</v>
      </c>
      <c r="Q340" s="44"/>
      <c r="S340" s="27" t="s">
        <v>801</v>
      </c>
    </row>
    <row r="341" spans="1:20" s="27" customFormat="1" ht="14.25" x14ac:dyDescent="0.15">
      <c r="A341" s="20" t="s">
        <v>802</v>
      </c>
      <c r="B341" s="27">
        <v>31041</v>
      </c>
      <c r="C341" s="27">
        <v>5</v>
      </c>
      <c r="D341" s="27" t="s">
        <v>720</v>
      </c>
      <c r="E341" s="100" t="s">
        <v>670</v>
      </c>
      <c r="F341" s="114" t="s">
        <v>1013</v>
      </c>
      <c r="H341" s="27">
        <v>54</v>
      </c>
      <c r="J341" s="27">
        <v>1</v>
      </c>
      <c r="K341" s="27">
        <v>91041</v>
      </c>
      <c r="L341" s="27">
        <v>1</v>
      </c>
      <c r="N341" s="27">
        <v>1</v>
      </c>
      <c r="O341" s="44"/>
      <c r="P341" s="6" t="s">
        <v>792</v>
      </c>
      <c r="Q341" s="44"/>
      <c r="S341" s="27" t="s">
        <v>801</v>
      </c>
    </row>
    <row r="342" spans="1:20" s="27" customFormat="1" ht="14.25" x14ac:dyDescent="0.15">
      <c r="A342" s="20" t="s">
        <v>8</v>
      </c>
      <c r="B342" s="27">
        <v>31042</v>
      </c>
      <c r="C342" s="27">
        <v>5</v>
      </c>
      <c r="D342" s="27" t="s">
        <v>721</v>
      </c>
      <c r="E342" s="100" t="s">
        <v>670</v>
      </c>
      <c r="F342" s="122" t="s">
        <v>1013</v>
      </c>
      <c r="J342" s="27">
        <v>1</v>
      </c>
      <c r="K342" s="27">
        <v>91042</v>
      </c>
      <c r="L342" s="27">
        <v>2</v>
      </c>
      <c r="N342" s="27">
        <v>1</v>
      </c>
      <c r="O342" s="44"/>
      <c r="P342" s="6" t="s">
        <v>806</v>
      </c>
      <c r="Q342" s="44"/>
      <c r="S342" s="27" t="s">
        <v>801</v>
      </c>
    </row>
    <row r="343" spans="1:20" s="27" customFormat="1" ht="14.25" x14ac:dyDescent="0.15">
      <c r="A343" s="20" t="s">
        <v>8</v>
      </c>
      <c r="B343" s="27">
        <v>31043</v>
      </c>
      <c r="C343" s="27">
        <v>5</v>
      </c>
      <c r="D343" s="27" t="s">
        <v>722</v>
      </c>
      <c r="E343" s="100" t="s">
        <v>670</v>
      </c>
      <c r="F343" s="122" t="s">
        <v>1013</v>
      </c>
      <c r="J343" s="27">
        <v>1</v>
      </c>
      <c r="K343" s="27">
        <v>91043</v>
      </c>
      <c r="L343" s="27">
        <v>3</v>
      </c>
      <c r="N343" s="27">
        <v>1</v>
      </c>
      <c r="O343" s="44"/>
      <c r="P343" s="6" t="s">
        <v>807</v>
      </c>
      <c r="Q343" s="44"/>
      <c r="S343" s="27" t="s">
        <v>801</v>
      </c>
    </row>
    <row r="344" spans="1:20" s="27" customFormat="1" ht="14.25" x14ac:dyDescent="0.15">
      <c r="A344" s="20" t="s">
        <v>8</v>
      </c>
      <c r="B344" s="27">
        <v>31051</v>
      </c>
      <c r="C344" s="27">
        <v>5</v>
      </c>
      <c r="D344" s="27" t="s">
        <v>723</v>
      </c>
      <c r="E344" s="100" t="s">
        <v>673</v>
      </c>
      <c r="F344" s="114" t="s">
        <v>690</v>
      </c>
      <c r="H344" s="27">
        <v>558</v>
      </c>
      <c r="J344" s="27">
        <v>1</v>
      </c>
      <c r="K344" s="27">
        <v>91051</v>
      </c>
      <c r="L344" s="27">
        <v>1</v>
      </c>
      <c r="N344" s="27">
        <v>1</v>
      </c>
      <c r="O344" s="44"/>
      <c r="P344" s="6" t="s">
        <v>792</v>
      </c>
      <c r="Q344" s="44"/>
      <c r="S344" s="27" t="s">
        <v>801</v>
      </c>
    </row>
    <row r="345" spans="1:20" s="27" customFormat="1" ht="14.25" x14ac:dyDescent="0.15">
      <c r="A345" s="20" t="s">
        <v>8</v>
      </c>
      <c r="B345" s="27">
        <v>31052</v>
      </c>
      <c r="C345" s="27">
        <v>5</v>
      </c>
      <c r="D345" s="27" t="s">
        <v>724</v>
      </c>
      <c r="E345" s="100" t="s">
        <v>673</v>
      </c>
      <c r="F345" s="122" t="s">
        <v>690</v>
      </c>
      <c r="J345" s="27">
        <v>1</v>
      </c>
      <c r="K345" s="27">
        <v>91052</v>
      </c>
      <c r="L345" s="27">
        <v>2</v>
      </c>
      <c r="N345" s="27">
        <v>1</v>
      </c>
      <c r="O345" s="44"/>
      <c r="P345" s="6" t="s">
        <v>806</v>
      </c>
      <c r="Q345" s="44"/>
      <c r="S345" s="27" t="s">
        <v>801</v>
      </c>
    </row>
    <row r="346" spans="1:20" s="27" customFormat="1" ht="14.25" x14ac:dyDescent="0.15">
      <c r="A346" s="20" t="s">
        <v>8</v>
      </c>
      <c r="B346" s="27">
        <v>31053</v>
      </c>
      <c r="C346" s="27">
        <v>5</v>
      </c>
      <c r="D346" s="27" t="s">
        <v>725</v>
      </c>
      <c r="E346" s="100" t="s">
        <v>673</v>
      </c>
      <c r="F346" s="122" t="s">
        <v>690</v>
      </c>
      <c r="J346" s="27">
        <v>1</v>
      </c>
      <c r="K346" s="27">
        <v>91053</v>
      </c>
      <c r="L346" s="27">
        <v>3</v>
      </c>
      <c r="N346" s="27">
        <v>1</v>
      </c>
      <c r="O346" s="44"/>
      <c r="P346" s="6" t="s">
        <v>807</v>
      </c>
      <c r="Q346" s="44"/>
      <c r="S346" s="27" t="s">
        <v>801</v>
      </c>
    </row>
    <row r="347" spans="1:20" s="27" customFormat="1" ht="14.25" x14ac:dyDescent="0.15">
      <c r="A347" s="20" t="s">
        <v>802</v>
      </c>
      <c r="B347" s="27">
        <v>31061</v>
      </c>
      <c r="C347" s="27">
        <v>5</v>
      </c>
      <c r="D347" s="27" t="s">
        <v>726</v>
      </c>
      <c r="E347" s="100" t="s">
        <v>674</v>
      </c>
      <c r="F347" s="114" t="s">
        <v>1014</v>
      </c>
      <c r="H347" s="27">
        <v>1920</v>
      </c>
      <c r="J347" s="27">
        <v>1</v>
      </c>
      <c r="K347" s="27">
        <v>91061</v>
      </c>
      <c r="L347" s="27">
        <v>1</v>
      </c>
      <c r="N347" s="27">
        <v>1</v>
      </c>
      <c r="O347" s="44"/>
      <c r="P347" s="6" t="s">
        <v>792</v>
      </c>
      <c r="Q347" s="44"/>
      <c r="S347" s="27" t="s">
        <v>801</v>
      </c>
    </row>
    <row r="348" spans="1:20" s="27" customFormat="1" ht="14.25" x14ac:dyDescent="0.15">
      <c r="A348" s="20" t="s">
        <v>8</v>
      </c>
      <c r="B348" s="27">
        <v>31062</v>
      </c>
      <c r="C348" s="27">
        <v>5</v>
      </c>
      <c r="D348" s="27" t="s">
        <v>727</v>
      </c>
      <c r="E348" s="100" t="s">
        <v>674</v>
      </c>
      <c r="F348" s="122" t="s">
        <v>1014</v>
      </c>
      <c r="J348" s="27">
        <v>1</v>
      </c>
      <c r="K348" s="27">
        <v>91062</v>
      </c>
      <c r="L348" s="27">
        <v>2</v>
      </c>
      <c r="N348" s="27">
        <v>1</v>
      </c>
      <c r="O348" s="44"/>
      <c r="P348" s="6" t="s">
        <v>806</v>
      </c>
      <c r="Q348" s="44"/>
      <c r="S348" s="27" t="s">
        <v>801</v>
      </c>
    </row>
    <row r="349" spans="1:20" s="27" customFormat="1" ht="14.25" x14ac:dyDescent="0.15">
      <c r="A349" s="20" t="s">
        <v>8</v>
      </c>
      <c r="B349" s="27">
        <v>31063</v>
      </c>
      <c r="C349" s="27">
        <v>5</v>
      </c>
      <c r="D349" s="27" t="s">
        <v>728</v>
      </c>
      <c r="E349" s="100" t="s">
        <v>674</v>
      </c>
      <c r="F349" s="122" t="s">
        <v>1014</v>
      </c>
      <c r="J349" s="27">
        <v>1</v>
      </c>
      <c r="K349" s="27">
        <v>91063</v>
      </c>
      <c r="L349" s="27">
        <v>3</v>
      </c>
      <c r="N349" s="27">
        <v>1</v>
      </c>
      <c r="O349" s="44"/>
      <c r="P349" s="6" t="s">
        <v>807</v>
      </c>
      <c r="Q349" s="44"/>
      <c r="S349" s="27" t="s">
        <v>801</v>
      </c>
    </row>
    <row r="350" spans="1:20" s="29" customFormat="1" ht="14.25" x14ac:dyDescent="0.15">
      <c r="A350" s="28" t="s">
        <v>8</v>
      </c>
      <c r="B350" s="29">
        <v>32011</v>
      </c>
      <c r="C350" s="29">
        <v>5</v>
      </c>
      <c r="D350" s="30" t="s">
        <v>687</v>
      </c>
      <c r="E350" s="93" t="s">
        <v>676</v>
      </c>
      <c r="F350" s="113" t="s">
        <v>691</v>
      </c>
      <c r="H350" s="27">
        <v>273</v>
      </c>
      <c r="I350" s="27"/>
      <c r="J350" s="29">
        <v>1</v>
      </c>
      <c r="K350" s="27">
        <v>92011</v>
      </c>
      <c r="L350" s="27">
        <v>1</v>
      </c>
      <c r="N350" s="29">
        <v>2</v>
      </c>
      <c r="O350" s="30"/>
      <c r="P350" s="6" t="s">
        <v>792</v>
      </c>
      <c r="Q350" s="30"/>
      <c r="R350" s="27"/>
      <c r="S350" s="27" t="s">
        <v>801</v>
      </c>
      <c r="T350" s="27"/>
    </row>
    <row r="351" spans="1:20" s="29" customFormat="1" ht="14.25" x14ac:dyDescent="0.15">
      <c r="A351" s="28" t="s">
        <v>8</v>
      </c>
      <c r="B351" s="29">
        <v>32012</v>
      </c>
      <c r="C351" s="29">
        <v>5</v>
      </c>
      <c r="D351" s="30" t="s">
        <v>729</v>
      </c>
      <c r="E351" s="93" t="s">
        <v>676</v>
      </c>
      <c r="F351" s="123" t="s">
        <v>691</v>
      </c>
      <c r="H351" s="27"/>
      <c r="I351" s="27"/>
      <c r="J351" s="29">
        <v>1</v>
      </c>
      <c r="K351" s="27">
        <v>92012</v>
      </c>
      <c r="L351" s="27">
        <v>2</v>
      </c>
      <c r="N351" s="29">
        <v>2</v>
      </c>
      <c r="O351" s="30"/>
      <c r="P351" s="6" t="s">
        <v>806</v>
      </c>
      <c r="Q351" s="30"/>
      <c r="R351" s="27"/>
      <c r="S351" s="27" t="s">
        <v>801</v>
      </c>
      <c r="T351" s="27"/>
    </row>
    <row r="352" spans="1:20" s="29" customFormat="1" ht="14.25" x14ac:dyDescent="0.15">
      <c r="A352" s="28" t="s">
        <v>8</v>
      </c>
      <c r="B352" s="29">
        <v>32013</v>
      </c>
      <c r="C352" s="29">
        <v>5</v>
      </c>
      <c r="D352" s="30" t="s">
        <v>730</v>
      </c>
      <c r="E352" s="93" t="s">
        <v>676</v>
      </c>
      <c r="F352" s="123" t="s">
        <v>691</v>
      </c>
      <c r="H352" s="27"/>
      <c r="I352" s="27"/>
      <c r="J352" s="29">
        <v>1</v>
      </c>
      <c r="K352" s="27">
        <v>92013</v>
      </c>
      <c r="L352" s="27">
        <v>3</v>
      </c>
      <c r="N352" s="29">
        <v>2</v>
      </c>
      <c r="O352" s="30"/>
      <c r="P352" s="6" t="s">
        <v>807</v>
      </c>
      <c r="Q352" s="30"/>
      <c r="R352" s="27"/>
      <c r="S352" s="27" t="s">
        <v>801</v>
      </c>
      <c r="T352" s="27"/>
    </row>
    <row r="353" spans="1:20" s="29" customFormat="1" ht="14.25" x14ac:dyDescent="0.15">
      <c r="A353" s="28" t="s">
        <v>8</v>
      </c>
      <c r="B353" s="29">
        <v>32021</v>
      </c>
      <c r="C353" s="29">
        <v>5</v>
      </c>
      <c r="D353" s="30" t="s">
        <v>731</v>
      </c>
      <c r="E353" s="93" t="s">
        <v>772</v>
      </c>
      <c r="F353" s="113" t="s">
        <v>1015</v>
      </c>
      <c r="H353" s="27">
        <v>188</v>
      </c>
      <c r="I353" s="27"/>
      <c r="J353" s="29">
        <v>1</v>
      </c>
      <c r="K353" s="27">
        <v>92021</v>
      </c>
      <c r="L353" s="27">
        <v>1</v>
      </c>
      <c r="N353" s="29">
        <v>2</v>
      </c>
      <c r="O353" s="30"/>
      <c r="P353" s="6" t="s">
        <v>792</v>
      </c>
      <c r="Q353" s="30"/>
      <c r="R353" s="27"/>
      <c r="S353" s="27" t="s">
        <v>801</v>
      </c>
      <c r="T353" s="27"/>
    </row>
    <row r="354" spans="1:20" s="29" customFormat="1" ht="14.25" x14ac:dyDescent="0.15">
      <c r="A354" s="28" t="s">
        <v>8</v>
      </c>
      <c r="B354" s="29">
        <v>32022</v>
      </c>
      <c r="C354" s="29">
        <v>5</v>
      </c>
      <c r="D354" s="30" t="s">
        <v>732</v>
      </c>
      <c r="E354" s="93" t="s">
        <v>772</v>
      </c>
      <c r="F354" s="123" t="s">
        <v>1015</v>
      </c>
      <c r="H354" s="27"/>
      <c r="I354" s="27"/>
      <c r="J354" s="29">
        <v>1</v>
      </c>
      <c r="K354" s="27">
        <v>92022</v>
      </c>
      <c r="L354" s="27">
        <v>2</v>
      </c>
      <c r="N354" s="29">
        <v>2</v>
      </c>
      <c r="O354" s="30"/>
      <c r="P354" s="6" t="s">
        <v>806</v>
      </c>
      <c r="Q354" s="30"/>
      <c r="R354" s="27"/>
      <c r="S354" s="27" t="s">
        <v>801</v>
      </c>
      <c r="T354" s="27"/>
    </row>
    <row r="355" spans="1:20" s="29" customFormat="1" ht="14.25" x14ac:dyDescent="0.15">
      <c r="A355" s="28" t="s">
        <v>8</v>
      </c>
      <c r="B355" s="29">
        <v>32023</v>
      </c>
      <c r="C355" s="29">
        <v>5</v>
      </c>
      <c r="D355" s="30" t="s">
        <v>733</v>
      </c>
      <c r="E355" s="93" t="s">
        <v>772</v>
      </c>
      <c r="F355" s="123" t="s">
        <v>1015</v>
      </c>
      <c r="H355" s="27"/>
      <c r="I355" s="27"/>
      <c r="J355" s="29">
        <v>1</v>
      </c>
      <c r="K355" s="27">
        <v>92023</v>
      </c>
      <c r="L355" s="27">
        <v>3</v>
      </c>
      <c r="N355" s="29">
        <v>2</v>
      </c>
      <c r="O355" s="30"/>
      <c r="P355" s="6" t="s">
        <v>807</v>
      </c>
      <c r="Q355" s="30"/>
      <c r="R355" s="27"/>
      <c r="S355" s="27" t="s">
        <v>801</v>
      </c>
      <c r="T355" s="27"/>
    </row>
    <row r="356" spans="1:20" s="29" customFormat="1" ht="14.25" x14ac:dyDescent="0.15">
      <c r="A356" s="28" t="s">
        <v>8</v>
      </c>
      <c r="B356" s="29">
        <v>32031</v>
      </c>
      <c r="C356" s="29">
        <v>5</v>
      </c>
      <c r="D356" s="30" t="s">
        <v>734</v>
      </c>
      <c r="E356" s="93" t="s">
        <v>675</v>
      </c>
      <c r="F356" s="113" t="s">
        <v>1016</v>
      </c>
      <c r="H356" s="27">
        <v>305</v>
      </c>
      <c r="I356" s="27"/>
      <c r="J356" s="29">
        <v>1</v>
      </c>
      <c r="K356" s="27">
        <v>92031</v>
      </c>
      <c r="L356" s="27">
        <v>1</v>
      </c>
      <c r="N356" s="29">
        <v>2</v>
      </c>
      <c r="O356" s="30"/>
      <c r="P356" s="6" t="s">
        <v>792</v>
      </c>
      <c r="Q356" s="30"/>
      <c r="R356" s="27"/>
      <c r="S356" s="27" t="s">
        <v>801</v>
      </c>
      <c r="T356" s="27"/>
    </row>
    <row r="357" spans="1:20" s="29" customFormat="1" ht="14.25" x14ac:dyDescent="0.15">
      <c r="A357" s="28" t="s">
        <v>8</v>
      </c>
      <c r="B357" s="29">
        <v>32032</v>
      </c>
      <c r="C357" s="29">
        <v>5</v>
      </c>
      <c r="D357" s="30" t="s">
        <v>735</v>
      </c>
      <c r="E357" s="93" t="s">
        <v>675</v>
      </c>
      <c r="F357" s="123" t="s">
        <v>1016</v>
      </c>
      <c r="H357" s="27"/>
      <c r="I357" s="27"/>
      <c r="J357" s="29">
        <v>1</v>
      </c>
      <c r="K357" s="27">
        <v>92032</v>
      </c>
      <c r="L357" s="27">
        <v>2</v>
      </c>
      <c r="N357" s="29">
        <v>2</v>
      </c>
      <c r="O357" s="30"/>
      <c r="P357" s="6" t="s">
        <v>806</v>
      </c>
      <c r="Q357" s="30"/>
      <c r="R357" s="27"/>
      <c r="S357" s="27" t="s">
        <v>801</v>
      </c>
      <c r="T357" s="27"/>
    </row>
    <row r="358" spans="1:20" s="29" customFormat="1" ht="14.25" x14ac:dyDescent="0.15">
      <c r="A358" s="28" t="s">
        <v>8</v>
      </c>
      <c r="B358" s="29">
        <v>32033</v>
      </c>
      <c r="C358" s="29">
        <v>5</v>
      </c>
      <c r="D358" s="30" t="s">
        <v>736</v>
      </c>
      <c r="E358" s="93" t="s">
        <v>675</v>
      </c>
      <c r="F358" s="123" t="s">
        <v>1016</v>
      </c>
      <c r="H358" s="27"/>
      <c r="I358" s="27"/>
      <c r="J358" s="29">
        <v>1</v>
      </c>
      <c r="K358" s="27">
        <v>92033</v>
      </c>
      <c r="L358" s="27">
        <v>3</v>
      </c>
      <c r="N358" s="29">
        <v>2</v>
      </c>
      <c r="O358" s="30"/>
      <c r="P358" s="6" t="s">
        <v>807</v>
      </c>
      <c r="Q358" s="30"/>
      <c r="R358" s="27"/>
      <c r="S358" s="27" t="s">
        <v>801</v>
      </c>
      <c r="T358" s="27"/>
    </row>
    <row r="359" spans="1:20" s="29" customFormat="1" ht="14.25" x14ac:dyDescent="0.15">
      <c r="A359" s="28" t="s">
        <v>8</v>
      </c>
      <c r="B359" s="29">
        <v>32041</v>
      </c>
      <c r="C359" s="29">
        <v>5</v>
      </c>
      <c r="D359" s="30" t="s">
        <v>1061</v>
      </c>
      <c r="E359" s="93" t="s">
        <v>1305</v>
      </c>
      <c r="F359" s="113" t="s">
        <v>1167</v>
      </c>
      <c r="H359" s="27">
        <v>2390</v>
      </c>
      <c r="I359" s="27"/>
      <c r="J359" s="29">
        <v>1</v>
      </c>
      <c r="K359" s="27">
        <v>92041</v>
      </c>
      <c r="L359" s="27">
        <v>1</v>
      </c>
      <c r="N359" s="29">
        <v>2</v>
      </c>
      <c r="O359" s="30"/>
      <c r="P359" s="6" t="s">
        <v>792</v>
      </c>
      <c r="Q359" s="30"/>
      <c r="R359" s="27"/>
      <c r="S359" s="27" t="s">
        <v>801</v>
      </c>
      <c r="T359" s="27"/>
    </row>
    <row r="360" spans="1:20" s="29" customFormat="1" ht="14.25" x14ac:dyDescent="0.15">
      <c r="A360" s="28" t="s">
        <v>8</v>
      </c>
      <c r="B360" s="29">
        <v>32042</v>
      </c>
      <c r="C360" s="29">
        <v>5</v>
      </c>
      <c r="D360" s="30" t="s">
        <v>1062</v>
      </c>
      <c r="E360" s="93" t="s">
        <v>1739</v>
      </c>
      <c r="F360" s="113" t="s">
        <v>1167</v>
      </c>
      <c r="H360" s="27"/>
      <c r="I360" s="27"/>
      <c r="J360" s="29">
        <v>1</v>
      </c>
      <c r="K360" s="27">
        <v>92042</v>
      </c>
      <c r="L360" s="27">
        <v>2</v>
      </c>
      <c r="N360" s="29">
        <v>2</v>
      </c>
      <c r="O360" s="30"/>
      <c r="P360" s="6" t="s">
        <v>806</v>
      </c>
      <c r="Q360" s="30"/>
      <c r="R360" s="27"/>
      <c r="S360" s="27" t="s">
        <v>801</v>
      </c>
      <c r="T360" s="27"/>
    </row>
    <row r="361" spans="1:20" s="29" customFormat="1" ht="14.25" x14ac:dyDescent="0.15">
      <c r="A361" s="28" t="s">
        <v>8</v>
      </c>
      <c r="B361" s="29">
        <v>32043</v>
      </c>
      <c r="C361" s="29">
        <v>5</v>
      </c>
      <c r="D361" s="30" t="s">
        <v>1063</v>
      </c>
      <c r="E361" s="93" t="s">
        <v>1740</v>
      </c>
      <c r="F361" s="113" t="s">
        <v>1167</v>
      </c>
      <c r="H361" s="27"/>
      <c r="I361" s="27"/>
      <c r="J361" s="29">
        <v>1</v>
      </c>
      <c r="K361" s="27">
        <v>92043</v>
      </c>
      <c r="L361" s="27">
        <v>3</v>
      </c>
      <c r="N361" s="29">
        <v>2</v>
      </c>
      <c r="O361" s="30"/>
      <c r="P361" s="6" t="s">
        <v>807</v>
      </c>
      <c r="Q361" s="30"/>
      <c r="R361" s="27"/>
      <c r="S361" s="27" t="s">
        <v>801</v>
      </c>
      <c r="T361" s="27"/>
    </row>
    <row r="362" spans="1:20" s="29" customFormat="1" ht="14.25" x14ac:dyDescent="0.15">
      <c r="A362" s="28" t="s">
        <v>8</v>
      </c>
      <c r="B362" s="29">
        <v>32051</v>
      </c>
      <c r="C362" s="29">
        <v>5</v>
      </c>
      <c r="D362" s="30" t="s">
        <v>1064</v>
      </c>
      <c r="E362" s="93" t="s">
        <v>677</v>
      </c>
      <c r="F362" s="123" t="s">
        <v>1168</v>
      </c>
      <c r="H362" s="27">
        <v>5394</v>
      </c>
      <c r="I362" s="27"/>
      <c r="J362" s="29">
        <v>1</v>
      </c>
      <c r="K362" s="27">
        <v>92051</v>
      </c>
      <c r="L362" s="27">
        <v>1</v>
      </c>
      <c r="N362" s="29">
        <v>2</v>
      </c>
      <c r="O362" s="30"/>
      <c r="P362" s="6" t="s">
        <v>792</v>
      </c>
      <c r="Q362" s="30"/>
      <c r="R362" s="27"/>
      <c r="S362" s="27" t="s">
        <v>801</v>
      </c>
      <c r="T362" s="27"/>
    </row>
    <row r="363" spans="1:20" s="29" customFormat="1" ht="14.25" x14ac:dyDescent="0.15">
      <c r="A363" s="28" t="s">
        <v>8</v>
      </c>
      <c r="B363" s="29">
        <v>32052</v>
      </c>
      <c r="C363" s="29">
        <v>5</v>
      </c>
      <c r="D363" s="30" t="s">
        <v>1065</v>
      </c>
      <c r="E363" s="93" t="s">
        <v>1741</v>
      </c>
      <c r="F363" s="123" t="s">
        <v>1168</v>
      </c>
      <c r="H363" s="27"/>
      <c r="I363" s="27"/>
      <c r="J363" s="29">
        <v>1</v>
      </c>
      <c r="K363" s="27">
        <v>92052</v>
      </c>
      <c r="L363" s="27">
        <v>2</v>
      </c>
      <c r="N363" s="29">
        <v>2</v>
      </c>
      <c r="O363" s="30"/>
      <c r="P363" s="6" t="s">
        <v>806</v>
      </c>
      <c r="Q363" s="30"/>
      <c r="R363" s="27"/>
      <c r="S363" s="27" t="s">
        <v>801</v>
      </c>
      <c r="T363" s="27"/>
    </row>
    <row r="364" spans="1:20" s="29" customFormat="1" ht="14.25" x14ac:dyDescent="0.15">
      <c r="A364" s="28" t="s">
        <v>8</v>
      </c>
      <c r="B364" s="29">
        <v>32053</v>
      </c>
      <c r="C364" s="29">
        <v>5</v>
      </c>
      <c r="D364" s="30" t="s">
        <v>1066</v>
      </c>
      <c r="E364" s="93" t="s">
        <v>1742</v>
      </c>
      <c r="F364" s="123" t="s">
        <v>1168</v>
      </c>
      <c r="H364" s="27"/>
      <c r="I364" s="27"/>
      <c r="J364" s="29">
        <v>1</v>
      </c>
      <c r="K364" s="27">
        <v>92053</v>
      </c>
      <c r="L364" s="27">
        <v>3</v>
      </c>
      <c r="N364" s="29">
        <v>2</v>
      </c>
      <c r="O364" s="30"/>
      <c r="P364" s="6" t="s">
        <v>807</v>
      </c>
      <c r="Q364" s="30"/>
      <c r="R364" s="27"/>
      <c r="S364" s="27" t="s">
        <v>801</v>
      </c>
      <c r="T364" s="27"/>
    </row>
    <row r="365" spans="1:20" s="29" customFormat="1" ht="14.25" x14ac:dyDescent="0.15">
      <c r="A365" s="28" t="s">
        <v>8</v>
      </c>
      <c r="B365" s="29">
        <v>32061</v>
      </c>
      <c r="C365" s="29">
        <v>5</v>
      </c>
      <c r="D365" s="30" t="s">
        <v>1067</v>
      </c>
      <c r="E365" s="93" t="s">
        <v>678</v>
      </c>
      <c r="F365" s="113" t="s">
        <v>1169</v>
      </c>
      <c r="H365" s="27">
        <v>5175</v>
      </c>
      <c r="I365" s="27"/>
      <c r="J365" s="29">
        <v>1</v>
      </c>
      <c r="K365" s="27">
        <v>92061</v>
      </c>
      <c r="L365" s="27">
        <v>1</v>
      </c>
      <c r="N365" s="29">
        <v>2</v>
      </c>
      <c r="O365" s="30"/>
      <c r="P365" s="6" t="s">
        <v>792</v>
      </c>
      <c r="Q365" s="30"/>
      <c r="R365" s="27"/>
      <c r="S365" s="27" t="s">
        <v>801</v>
      </c>
      <c r="T365" s="27"/>
    </row>
    <row r="366" spans="1:20" s="29" customFormat="1" ht="14.25" x14ac:dyDescent="0.15">
      <c r="A366" s="28" t="s">
        <v>8</v>
      </c>
      <c r="B366" s="29">
        <v>32062</v>
      </c>
      <c r="C366" s="29">
        <v>5</v>
      </c>
      <c r="D366" s="30" t="s">
        <v>1068</v>
      </c>
      <c r="E366" s="93" t="s">
        <v>1743</v>
      </c>
      <c r="F366" s="113" t="s">
        <v>1169</v>
      </c>
      <c r="H366" s="27"/>
      <c r="I366" s="27"/>
      <c r="J366" s="29">
        <v>1</v>
      </c>
      <c r="K366" s="27">
        <v>92062</v>
      </c>
      <c r="L366" s="27">
        <v>2</v>
      </c>
      <c r="N366" s="29">
        <v>2</v>
      </c>
      <c r="O366" s="30"/>
      <c r="P366" s="6" t="s">
        <v>806</v>
      </c>
      <c r="Q366" s="30"/>
      <c r="R366" s="27"/>
      <c r="S366" s="27" t="s">
        <v>801</v>
      </c>
      <c r="T366" s="27"/>
    </row>
    <row r="367" spans="1:20" s="29" customFormat="1" ht="14.25" x14ac:dyDescent="0.15">
      <c r="A367" s="28" t="s">
        <v>8</v>
      </c>
      <c r="B367" s="29">
        <v>32063</v>
      </c>
      <c r="C367" s="29">
        <v>5</v>
      </c>
      <c r="D367" s="30" t="s">
        <v>1069</v>
      </c>
      <c r="E367" s="93" t="s">
        <v>1743</v>
      </c>
      <c r="F367" s="113" t="s">
        <v>1169</v>
      </c>
      <c r="H367" s="27"/>
      <c r="I367" s="27"/>
      <c r="J367" s="29">
        <v>1</v>
      </c>
      <c r="K367" s="27">
        <v>92063</v>
      </c>
      <c r="L367" s="27">
        <v>3</v>
      </c>
      <c r="N367" s="29">
        <v>2</v>
      </c>
      <c r="O367" s="30"/>
      <c r="P367" s="6" t="s">
        <v>807</v>
      </c>
      <c r="Q367" s="30"/>
      <c r="R367" s="27"/>
      <c r="S367" s="27" t="s">
        <v>801</v>
      </c>
      <c r="T367" s="27"/>
    </row>
    <row r="368" spans="1:20" s="29" customFormat="1" ht="14.25" x14ac:dyDescent="0.15">
      <c r="A368" s="28" t="s">
        <v>8</v>
      </c>
      <c r="B368" s="29">
        <v>32071</v>
      </c>
      <c r="C368" s="29">
        <v>5</v>
      </c>
      <c r="D368" s="30" t="s">
        <v>1379</v>
      </c>
      <c r="E368" s="101" t="s">
        <v>1426</v>
      </c>
      <c r="F368" s="113" t="s">
        <v>1430</v>
      </c>
      <c r="H368" s="27">
        <v>3300</v>
      </c>
      <c r="I368" s="27"/>
      <c r="J368" s="29">
        <v>1</v>
      </c>
      <c r="K368" s="27">
        <v>92071</v>
      </c>
      <c r="L368" s="27">
        <v>1</v>
      </c>
      <c r="N368" s="29">
        <v>2</v>
      </c>
      <c r="O368" s="30"/>
      <c r="P368" s="6" t="s">
        <v>792</v>
      </c>
      <c r="Q368" s="30"/>
      <c r="R368" s="27"/>
      <c r="S368" s="27" t="s">
        <v>801</v>
      </c>
      <c r="T368" s="27"/>
    </row>
    <row r="369" spans="1:20" s="29" customFormat="1" ht="14.25" x14ac:dyDescent="0.15">
      <c r="A369" s="28" t="s">
        <v>8</v>
      </c>
      <c r="B369" s="29">
        <v>32072</v>
      </c>
      <c r="C369" s="29">
        <v>5</v>
      </c>
      <c r="D369" s="30" t="s">
        <v>1380</v>
      </c>
      <c r="E369" s="101" t="s">
        <v>1415</v>
      </c>
      <c r="F369" s="113" t="s">
        <v>1430</v>
      </c>
      <c r="H369" s="27"/>
      <c r="I369" s="27"/>
      <c r="J369" s="29">
        <v>1</v>
      </c>
      <c r="K369" s="27">
        <v>92072</v>
      </c>
      <c r="L369" s="27">
        <v>2</v>
      </c>
      <c r="N369" s="29">
        <v>2</v>
      </c>
      <c r="O369" s="30"/>
      <c r="P369" s="6" t="s">
        <v>806</v>
      </c>
      <c r="Q369" s="30"/>
      <c r="R369" s="27"/>
      <c r="S369" s="27" t="s">
        <v>801</v>
      </c>
      <c r="T369" s="27"/>
    </row>
    <row r="370" spans="1:20" s="29" customFormat="1" ht="14.25" x14ac:dyDescent="0.15">
      <c r="A370" s="28" t="s">
        <v>8</v>
      </c>
      <c r="B370" s="29">
        <v>32073</v>
      </c>
      <c r="C370" s="29">
        <v>5</v>
      </c>
      <c r="D370" s="30" t="s">
        <v>1381</v>
      </c>
      <c r="E370" s="101" t="s">
        <v>1415</v>
      </c>
      <c r="F370" s="113" t="s">
        <v>1430</v>
      </c>
      <c r="H370" s="27"/>
      <c r="I370" s="27"/>
      <c r="J370" s="29">
        <v>1</v>
      </c>
      <c r="K370" s="27">
        <v>92073</v>
      </c>
      <c r="L370" s="27">
        <v>3</v>
      </c>
      <c r="N370" s="29">
        <v>2</v>
      </c>
      <c r="O370" s="30"/>
      <c r="P370" s="6" t="s">
        <v>807</v>
      </c>
      <c r="Q370" s="30"/>
      <c r="R370" s="27"/>
      <c r="S370" s="27" t="s">
        <v>801</v>
      </c>
      <c r="T370" s="27"/>
    </row>
    <row r="371" spans="1:20" s="29" customFormat="1" ht="14.25" x14ac:dyDescent="0.15">
      <c r="A371" s="28" t="s">
        <v>8</v>
      </c>
      <c r="B371" s="29">
        <v>32081</v>
      </c>
      <c r="C371" s="29">
        <v>5</v>
      </c>
      <c r="D371" s="30" t="s">
        <v>1382</v>
      </c>
      <c r="E371" s="93" t="s">
        <v>1416</v>
      </c>
      <c r="F371" s="113" t="s">
        <v>1431</v>
      </c>
      <c r="H371" s="27">
        <v>2306</v>
      </c>
      <c r="I371" s="27"/>
      <c r="J371" s="29">
        <v>1</v>
      </c>
      <c r="K371" s="27">
        <v>92081</v>
      </c>
      <c r="L371" s="27">
        <v>1</v>
      </c>
      <c r="N371" s="29">
        <v>2</v>
      </c>
      <c r="O371" s="30"/>
      <c r="P371" s="6" t="s">
        <v>792</v>
      </c>
      <c r="Q371" s="30"/>
      <c r="R371" s="27"/>
      <c r="S371" s="27" t="s">
        <v>801</v>
      </c>
      <c r="T371" s="27"/>
    </row>
    <row r="372" spans="1:20" s="29" customFormat="1" ht="14.25" x14ac:dyDescent="0.15">
      <c r="A372" s="28" t="s">
        <v>8</v>
      </c>
      <c r="B372" s="29">
        <v>32082</v>
      </c>
      <c r="C372" s="29">
        <v>5</v>
      </c>
      <c r="D372" s="30" t="s">
        <v>1383</v>
      </c>
      <c r="E372" s="93" t="s">
        <v>1416</v>
      </c>
      <c r="F372" s="113" t="s">
        <v>1431</v>
      </c>
      <c r="H372" s="27"/>
      <c r="I372" s="27"/>
      <c r="J372" s="29">
        <v>1</v>
      </c>
      <c r="K372" s="27">
        <v>92082</v>
      </c>
      <c r="L372" s="27">
        <v>2</v>
      </c>
      <c r="N372" s="29">
        <v>2</v>
      </c>
      <c r="O372" s="30"/>
      <c r="P372" s="6" t="s">
        <v>806</v>
      </c>
      <c r="Q372" s="30"/>
      <c r="R372" s="27"/>
      <c r="S372" s="27" t="s">
        <v>801</v>
      </c>
      <c r="T372" s="27"/>
    </row>
    <row r="373" spans="1:20" s="29" customFormat="1" ht="14.25" x14ac:dyDescent="0.15">
      <c r="A373" s="28" t="s">
        <v>8</v>
      </c>
      <c r="B373" s="29">
        <v>32083</v>
      </c>
      <c r="C373" s="29">
        <v>5</v>
      </c>
      <c r="D373" s="30" t="s">
        <v>1384</v>
      </c>
      <c r="E373" s="93" t="s">
        <v>1416</v>
      </c>
      <c r="F373" s="113" t="s">
        <v>1431</v>
      </c>
      <c r="H373" s="27"/>
      <c r="I373" s="27"/>
      <c r="J373" s="29">
        <v>1</v>
      </c>
      <c r="K373" s="27">
        <v>92083</v>
      </c>
      <c r="L373" s="27">
        <v>3</v>
      </c>
      <c r="N373" s="29">
        <v>2</v>
      </c>
      <c r="O373" s="30"/>
      <c r="P373" s="6" t="s">
        <v>807</v>
      </c>
      <c r="Q373" s="30"/>
      <c r="R373" s="27"/>
      <c r="S373" s="27" t="s">
        <v>801</v>
      </c>
      <c r="T373" s="27"/>
    </row>
    <row r="374" spans="1:20" s="29" customFormat="1" ht="14.25" x14ac:dyDescent="0.15">
      <c r="A374" s="28" t="s">
        <v>8</v>
      </c>
      <c r="B374" s="29">
        <v>32091</v>
      </c>
      <c r="C374" s="29">
        <v>5</v>
      </c>
      <c r="D374" s="30" t="s">
        <v>1376</v>
      </c>
      <c r="E374" s="93" t="s">
        <v>1417</v>
      </c>
      <c r="F374" s="113" t="s">
        <v>1432</v>
      </c>
      <c r="H374" s="27">
        <v>1193</v>
      </c>
      <c r="I374" s="27"/>
      <c r="J374" s="29">
        <v>1</v>
      </c>
      <c r="K374" s="27">
        <v>92091</v>
      </c>
      <c r="L374" s="27">
        <v>1</v>
      </c>
      <c r="N374" s="29">
        <v>2</v>
      </c>
      <c r="O374" s="30"/>
      <c r="P374" s="6" t="s">
        <v>792</v>
      </c>
      <c r="Q374" s="30"/>
      <c r="R374" s="27"/>
      <c r="S374" s="27" t="s">
        <v>801</v>
      </c>
      <c r="T374" s="27"/>
    </row>
    <row r="375" spans="1:20" s="29" customFormat="1" ht="14.25" x14ac:dyDescent="0.15">
      <c r="A375" s="28" t="s">
        <v>8</v>
      </c>
      <c r="B375" s="29">
        <v>32092</v>
      </c>
      <c r="C375" s="29">
        <v>5</v>
      </c>
      <c r="D375" s="30" t="s">
        <v>1377</v>
      </c>
      <c r="E375" s="93" t="s">
        <v>1417</v>
      </c>
      <c r="F375" s="113" t="s">
        <v>1432</v>
      </c>
      <c r="H375" s="27"/>
      <c r="I375" s="27"/>
      <c r="J375" s="29">
        <v>1</v>
      </c>
      <c r="K375" s="27">
        <v>92092</v>
      </c>
      <c r="L375" s="27">
        <v>2</v>
      </c>
      <c r="N375" s="29">
        <v>2</v>
      </c>
      <c r="O375" s="30"/>
      <c r="P375" s="6" t="s">
        <v>806</v>
      </c>
      <c r="Q375" s="30"/>
      <c r="R375" s="27"/>
      <c r="S375" s="27" t="s">
        <v>801</v>
      </c>
      <c r="T375" s="27"/>
    </row>
    <row r="376" spans="1:20" s="29" customFormat="1" ht="14.25" x14ac:dyDescent="0.15">
      <c r="A376" s="28" t="s">
        <v>8</v>
      </c>
      <c r="B376" s="29">
        <v>32093</v>
      </c>
      <c r="C376" s="29">
        <v>5</v>
      </c>
      <c r="D376" s="30" t="s">
        <v>1378</v>
      </c>
      <c r="E376" s="93" t="s">
        <v>1417</v>
      </c>
      <c r="F376" s="113" t="s">
        <v>1432</v>
      </c>
      <c r="H376" s="27"/>
      <c r="I376" s="27"/>
      <c r="J376" s="29">
        <v>1</v>
      </c>
      <c r="K376" s="27">
        <v>92093</v>
      </c>
      <c r="L376" s="27">
        <v>3</v>
      </c>
      <c r="N376" s="29">
        <v>2</v>
      </c>
      <c r="O376" s="30"/>
      <c r="P376" s="6" t="s">
        <v>807</v>
      </c>
      <c r="Q376" s="30"/>
      <c r="R376" s="27"/>
      <c r="S376" s="27" t="s">
        <v>801</v>
      </c>
      <c r="T376" s="27"/>
    </row>
    <row r="377" spans="1:20" s="29" customFormat="1" ht="14.25" x14ac:dyDescent="0.15">
      <c r="A377" s="28" t="s">
        <v>8</v>
      </c>
      <c r="B377" s="29">
        <v>32101</v>
      </c>
      <c r="C377" s="29">
        <v>5</v>
      </c>
      <c r="D377" s="30" t="s">
        <v>1385</v>
      </c>
      <c r="E377" s="93" t="s">
        <v>1427</v>
      </c>
      <c r="F377" s="113" t="s">
        <v>1433</v>
      </c>
      <c r="H377" s="27">
        <v>4691</v>
      </c>
      <c r="I377" s="27"/>
      <c r="J377" s="29">
        <v>1</v>
      </c>
      <c r="K377" s="27">
        <v>92101</v>
      </c>
      <c r="L377" s="27">
        <v>1</v>
      </c>
      <c r="N377" s="29">
        <v>2</v>
      </c>
      <c r="O377" s="30"/>
      <c r="P377" s="6" t="s">
        <v>792</v>
      </c>
      <c r="Q377" s="30"/>
      <c r="R377" s="27"/>
      <c r="S377" s="27" t="s">
        <v>801</v>
      </c>
      <c r="T377" s="27"/>
    </row>
    <row r="378" spans="1:20" s="29" customFormat="1" ht="14.25" x14ac:dyDescent="0.15">
      <c r="A378" s="28" t="s">
        <v>8</v>
      </c>
      <c r="B378" s="29">
        <v>32102</v>
      </c>
      <c r="C378" s="29">
        <v>5</v>
      </c>
      <c r="D378" s="30" t="s">
        <v>1386</v>
      </c>
      <c r="E378" s="93" t="s">
        <v>1418</v>
      </c>
      <c r="F378" s="113" t="s">
        <v>1433</v>
      </c>
      <c r="H378" s="27"/>
      <c r="I378" s="27"/>
      <c r="J378" s="29">
        <v>1</v>
      </c>
      <c r="K378" s="27">
        <v>92102</v>
      </c>
      <c r="L378" s="27">
        <v>2</v>
      </c>
      <c r="N378" s="29">
        <v>2</v>
      </c>
      <c r="O378" s="30"/>
      <c r="P378" s="6" t="s">
        <v>806</v>
      </c>
      <c r="Q378" s="30"/>
      <c r="R378" s="27"/>
      <c r="S378" s="27" t="s">
        <v>801</v>
      </c>
      <c r="T378" s="27"/>
    </row>
    <row r="379" spans="1:20" s="29" customFormat="1" ht="14.25" x14ac:dyDescent="0.15">
      <c r="A379" s="28" t="s">
        <v>8</v>
      </c>
      <c r="B379" s="29">
        <v>32103</v>
      </c>
      <c r="C379" s="29">
        <v>5</v>
      </c>
      <c r="D379" s="30" t="s">
        <v>1387</v>
      </c>
      <c r="E379" s="93" t="s">
        <v>1418</v>
      </c>
      <c r="F379" s="113" t="s">
        <v>1433</v>
      </c>
      <c r="H379" s="27"/>
      <c r="I379" s="27"/>
      <c r="J379" s="29">
        <v>1</v>
      </c>
      <c r="K379" s="27">
        <v>92103</v>
      </c>
      <c r="L379" s="27">
        <v>3</v>
      </c>
      <c r="N379" s="29">
        <v>2</v>
      </c>
      <c r="O379" s="30"/>
      <c r="P379" s="6" t="s">
        <v>807</v>
      </c>
      <c r="Q379" s="30"/>
      <c r="R379" s="27"/>
      <c r="S379" s="27" t="s">
        <v>801</v>
      </c>
      <c r="T379" s="27"/>
    </row>
    <row r="380" spans="1:20" s="29" customFormat="1" ht="14.25" x14ac:dyDescent="0.15">
      <c r="A380" s="28" t="s">
        <v>8</v>
      </c>
      <c r="B380" s="29">
        <v>32111</v>
      </c>
      <c r="C380" s="29">
        <v>5</v>
      </c>
      <c r="D380" s="30" t="s">
        <v>1388</v>
      </c>
      <c r="E380" s="93" t="s">
        <v>1428</v>
      </c>
      <c r="F380" s="113" t="s">
        <v>1434</v>
      </c>
      <c r="H380" s="27">
        <v>5606</v>
      </c>
      <c r="I380" s="27"/>
      <c r="J380" s="29">
        <v>1</v>
      </c>
      <c r="K380" s="27">
        <v>92111</v>
      </c>
      <c r="L380" s="27">
        <v>1</v>
      </c>
      <c r="N380" s="29">
        <v>2</v>
      </c>
      <c r="O380" s="30"/>
      <c r="P380" s="6" t="s">
        <v>792</v>
      </c>
      <c r="Q380" s="30"/>
      <c r="R380" s="27"/>
      <c r="S380" s="27" t="s">
        <v>801</v>
      </c>
      <c r="T380" s="27"/>
    </row>
    <row r="381" spans="1:20" s="29" customFormat="1" ht="14.25" x14ac:dyDescent="0.15">
      <c r="A381" s="28" t="s">
        <v>8</v>
      </c>
      <c r="B381" s="29">
        <v>32112</v>
      </c>
      <c r="C381" s="29">
        <v>5</v>
      </c>
      <c r="D381" s="30" t="s">
        <v>1389</v>
      </c>
      <c r="E381" s="93" t="s">
        <v>1419</v>
      </c>
      <c r="F381" s="113" t="s">
        <v>1434</v>
      </c>
      <c r="H381" s="27"/>
      <c r="I381" s="27"/>
      <c r="J381" s="29">
        <v>1</v>
      </c>
      <c r="K381" s="27">
        <v>92112</v>
      </c>
      <c r="L381" s="27">
        <v>2</v>
      </c>
      <c r="N381" s="29">
        <v>2</v>
      </c>
      <c r="O381" s="30"/>
      <c r="P381" s="6" t="s">
        <v>806</v>
      </c>
      <c r="Q381" s="30"/>
      <c r="R381" s="27"/>
      <c r="S381" s="27" t="s">
        <v>801</v>
      </c>
      <c r="T381" s="27"/>
    </row>
    <row r="382" spans="1:20" s="29" customFormat="1" ht="14.25" x14ac:dyDescent="0.15">
      <c r="A382" s="28" t="s">
        <v>8</v>
      </c>
      <c r="B382" s="29">
        <v>32113</v>
      </c>
      <c r="C382" s="29">
        <v>5</v>
      </c>
      <c r="D382" s="30" t="s">
        <v>1390</v>
      </c>
      <c r="E382" s="93" t="s">
        <v>1419</v>
      </c>
      <c r="F382" s="113" t="s">
        <v>1434</v>
      </c>
      <c r="H382" s="27"/>
      <c r="I382" s="27"/>
      <c r="J382" s="29">
        <v>1</v>
      </c>
      <c r="K382" s="27">
        <v>92113</v>
      </c>
      <c r="L382" s="27">
        <v>3</v>
      </c>
      <c r="N382" s="29">
        <v>2</v>
      </c>
      <c r="O382" s="30"/>
      <c r="P382" s="6" t="s">
        <v>807</v>
      </c>
      <c r="Q382" s="30"/>
      <c r="R382" s="27"/>
      <c r="S382" s="27" t="s">
        <v>801</v>
      </c>
      <c r="T382" s="27"/>
    </row>
    <row r="383" spans="1:20" s="29" customFormat="1" ht="14.25" x14ac:dyDescent="0.15">
      <c r="A383" s="28" t="s">
        <v>8</v>
      </c>
      <c r="B383" s="29">
        <v>32121</v>
      </c>
      <c r="C383" s="29">
        <v>5</v>
      </c>
      <c r="D383" s="30" t="s">
        <v>1391</v>
      </c>
      <c r="E383" s="102" t="s">
        <v>1429</v>
      </c>
      <c r="F383" s="113" t="s">
        <v>2066</v>
      </c>
      <c r="H383" s="27">
        <v>8184</v>
      </c>
      <c r="I383" s="27"/>
      <c r="J383" s="29">
        <v>1</v>
      </c>
      <c r="K383" s="27">
        <v>92121</v>
      </c>
      <c r="L383" s="27">
        <v>1</v>
      </c>
      <c r="N383" s="29">
        <v>2</v>
      </c>
      <c r="O383" s="30"/>
      <c r="P383" s="6" t="s">
        <v>792</v>
      </c>
      <c r="Q383" s="30"/>
      <c r="R383" s="27"/>
      <c r="S383" s="27" t="s">
        <v>801</v>
      </c>
      <c r="T383" s="27"/>
    </row>
    <row r="384" spans="1:20" s="29" customFormat="1" ht="14.25" x14ac:dyDescent="0.15">
      <c r="A384" s="28" t="s">
        <v>8</v>
      </c>
      <c r="B384" s="29">
        <v>32122</v>
      </c>
      <c r="C384" s="29">
        <v>5</v>
      </c>
      <c r="D384" s="30" t="s">
        <v>1392</v>
      </c>
      <c r="E384" s="102" t="s">
        <v>1429</v>
      </c>
      <c r="F384" s="113" t="s">
        <v>2066</v>
      </c>
      <c r="H384" s="27"/>
      <c r="I384" s="27"/>
      <c r="J384" s="29">
        <v>1</v>
      </c>
      <c r="K384" s="27">
        <v>92122</v>
      </c>
      <c r="L384" s="27">
        <v>2</v>
      </c>
      <c r="N384" s="29">
        <v>2</v>
      </c>
      <c r="O384" s="30"/>
      <c r="P384" s="6" t="s">
        <v>806</v>
      </c>
      <c r="Q384" s="30"/>
      <c r="R384" s="27"/>
      <c r="S384" s="27" t="s">
        <v>801</v>
      </c>
      <c r="T384" s="27"/>
    </row>
    <row r="385" spans="1:20" s="29" customFormat="1" ht="14.25" x14ac:dyDescent="0.15">
      <c r="A385" s="28" t="s">
        <v>8</v>
      </c>
      <c r="B385" s="29">
        <v>32123</v>
      </c>
      <c r="C385" s="29">
        <v>5</v>
      </c>
      <c r="D385" s="30" t="s">
        <v>1393</v>
      </c>
      <c r="E385" s="102" t="s">
        <v>1429</v>
      </c>
      <c r="F385" s="113" t="s">
        <v>2066</v>
      </c>
      <c r="H385" s="27"/>
      <c r="I385" s="27"/>
      <c r="J385" s="29">
        <v>1</v>
      </c>
      <c r="K385" s="27">
        <v>92123</v>
      </c>
      <c r="L385" s="27">
        <v>3</v>
      </c>
      <c r="N385" s="29">
        <v>2</v>
      </c>
      <c r="O385" s="30"/>
      <c r="P385" s="6" t="s">
        <v>807</v>
      </c>
      <c r="Q385" s="30"/>
      <c r="R385" s="27"/>
      <c r="S385" s="27" t="s">
        <v>801</v>
      </c>
      <c r="T385" s="27"/>
    </row>
    <row r="386" spans="1:20" s="27" customFormat="1" ht="14.25" x14ac:dyDescent="0.15">
      <c r="A386" s="20" t="s">
        <v>8</v>
      </c>
      <c r="B386" s="27">
        <v>33011</v>
      </c>
      <c r="C386" s="27">
        <v>5</v>
      </c>
      <c r="D386" s="27" t="s">
        <v>1070</v>
      </c>
      <c r="E386" s="100" t="s">
        <v>1306</v>
      </c>
      <c r="F386" s="114" t="s">
        <v>1088</v>
      </c>
      <c r="H386" s="27">
        <v>810</v>
      </c>
      <c r="J386" s="27">
        <v>1</v>
      </c>
      <c r="K386" s="27">
        <v>93011</v>
      </c>
      <c r="L386" s="27">
        <v>1</v>
      </c>
      <c r="N386" s="45">
        <v>3</v>
      </c>
      <c r="O386" s="44"/>
      <c r="P386" s="6" t="s">
        <v>792</v>
      </c>
      <c r="Q386" s="44"/>
      <c r="S386" s="27" t="s">
        <v>801</v>
      </c>
    </row>
    <row r="387" spans="1:20" s="27" customFormat="1" ht="14.25" x14ac:dyDescent="0.15">
      <c r="A387" s="20" t="s">
        <v>8</v>
      </c>
      <c r="B387" s="27">
        <v>33012</v>
      </c>
      <c r="C387" s="27">
        <v>5</v>
      </c>
      <c r="D387" s="27" t="s">
        <v>1071</v>
      </c>
      <c r="E387" s="100" t="s">
        <v>1744</v>
      </c>
      <c r="F387" s="114" t="s">
        <v>1088</v>
      </c>
      <c r="J387" s="27">
        <v>1</v>
      </c>
      <c r="K387" s="27">
        <v>93012</v>
      </c>
      <c r="L387" s="27">
        <v>2</v>
      </c>
      <c r="N387" s="45">
        <v>3</v>
      </c>
      <c r="O387" s="44"/>
      <c r="P387" s="6" t="s">
        <v>806</v>
      </c>
      <c r="Q387" s="44"/>
      <c r="S387" s="27" t="s">
        <v>801</v>
      </c>
    </row>
    <row r="388" spans="1:20" s="27" customFormat="1" ht="14.25" x14ac:dyDescent="0.15">
      <c r="A388" s="20" t="s">
        <v>8</v>
      </c>
      <c r="B388" s="27">
        <v>33013</v>
      </c>
      <c r="C388" s="27">
        <v>5</v>
      </c>
      <c r="D388" s="27" t="s">
        <v>1072</v>
      </c>
      <c r="E388" s="100" t="s">
        <v>1744</v>
      </c>
      <c r="F388" s="114" t="s">
        <v>1088</v>
      </c>
      <c r="J388" s="27">
        <v>1</v>
      </c>
      <c r="K388" s="27">
        <v>93013</v>
      </c>
      <c r="L388" s="27">
        <v>3</v>
      </c>
      <c r="N388" s="45">
        <v>3</v>
      </c>
      <c r="O388" s="44"/>
      <c r="P388" s="6" t="s">
        <v>807</v>
      </c>
      <c r="Q388" s="44"/>
      <c r="S388" s="27" t="s">
        <v>801</v>
      </c>
    </row>
    <row r="389" spans="1:20" s="27" customFormat="1" ht="14.25" x14ac:dyDescent="0.15">
      <c r="A389" s="20" t="s">
        <v>8</v>
      </c>
      <c r="B389" s="27">
        <v>33021</v>
      </c>
      <c r="C389" s="27">
        <v>5</v>
      </c>
      <c r="D389" s="27" t="s">
        <v>1073</v>
      </c>
      <c r="E389" s="100" t="s">
        <v>1307</v>
      </c>
      <c r="F389" s="114" t="s">
        <v>1089</v>
      </c>
      <c r="H389" s="27">
        <v>851</v>
      </c>
      <c r="J389" s="27">
        <v>1</v>
      </c>
      <c r="K389" s="27">
        <v>93021</v>
      </c>
      <c r="L389" s="27">
        <v>1</v>
      </c>
      <c r="N389" s="45">
        <v>3</v>
      </c>
      <c r="O389" s="44"/>
      <c r="P389" s="6" t="s">
        <v>792</v>
      </c>
      <c r="Q389" s="44"/>
      <c r="S389" s="27" t="s">
        <v>801</v>
      </c>
    </row>
    <row r="390" spans="1:20" s="27" customFormat="1" ht="14.25" x14ac:dyDescent="0.15">
      <c r="A390" s="20" t="s">
        <v>8</v>
      </c>
      <c r="B390" s="27">
        <v>33022</v>
      </c>
      <c r="C390" s="27">
        <v>5</v>
      </c>
      <c r="D390" s="27" t="s">
        <v>1074</v>
      </c>
      <c r="E390" s="100" t="s">
        <v>1745</v>
      </c>
      <c r="F390" s="114" t="s">
        <v>1089</v>
      </c>
      <c r="J390" s="27">
        <v>1</v>
      </c>
      <c r="K390" s="27">
        <v>93022</v>
      </c>
      <c r="L390" s="27">
        <v>2</v>
      </c>
      <c r="N390" s="45">
        <v>3</v>
      </c>
      <c r="O390" s="44"/>
      <c r="P390" s="6" t="s">
        <v>806</v>
      </c>
      <c r="Q390" s="44"/>
      <c r="S390" s="27" t="s">
        <v>801</v>
      </c>
    </row>
    <row r="391" spans="1:20" s="27" customFormat="1" ht="14.25" x14ac:dyDescent="0.15">
      <c r="A391" s="20" t="s">
        <v>8</v>
      </c>
      <c r="B391" s="27">
        <v>33023</v>
      </c>
      <c r="C391" s="27">
        <v>5</v>
      </c>
      <c r="D391" s="27" t="s">
        <v>1075</v>
      </c>
      <c r="E391" s="100" t="s">
        <v>1745</v>
      </c>
      <c r="F391" s="114" t="s">
        <v>1089</v>
      </c>
      <c r="J391" s="27">
        <v>1</v>
      </c>
      <c r="K391" s="27">
        <v>93023</v>
      </c>
      <c r="L391" s="27">
        <v>3</v>
      </c>
      <c r="N391" s="45">
        <v>3</v>
      </c>
      <c r="O391" s="44"/>
      <c r="P391" s="6" t="s">
        <v>807</v>
      </c>
      <c r="Q391" s="44"/>
      <c r="S391" s="27" t="s">
        <v>801</v>
      </c>
    </row>
    <row r="392" spans="1:20" s="27" customFormat="1" ht="14.25" x14ac:dyDescent="0.15">
      <c r="A392" s="20" t="s">
        <v>8</v>
      </c>
      <c r="B392" s="27">
        <v>33031</v>
      </c>
      <c r="C392" s="27">
        <v>5</v>
      </c>
      <c r="D392" s="27" t="s">
        <v>1076</v>
      </c>
      <c r="E392" s="100" t="s">
        <v>1308</v>
      </c>
      <c r="F392" s="114" t="s">
        <v>1090</v>
      </c>
      <c r="H392" s="27">
        <v>1566</v>
      </c>
      <c r="J392" s="27">
        <v>1</v>
      </c>
      <c r="K392" s="27">
        <v>93031</v>
      </c>
      <c r="L392" s="27">
        <v>1</v>
      </c>
      <c r="N392" s="45">
        <v>3</v>
      </c>
      <c r="O392" s="44"/>
      <c r="P392" s="6" t="s">
        <v>792</v>
      </c>
      <c r="Q392" s="44"/>
      <c r="S392" s="27" t="s">
        <v>801</v>
      </c>
    </row>
    <row r="393" spans="1:20" s="27" customFormat="1" ht="14.25" x14ac:dyDescent="0.15">
      <c r="A393" s="20" t="s">
        <v>8</v>
      </c>
      <c r="B393" s="27">
        <v>33032</v>
      </c>
      <c r="C393" s="27">
        <v>5</v>
      </c>
      <c r="D393" s="27" t="s">
        <v>1077</v>
      </c>
      <c r="E393" s="100" t="s">
        <v>1746</v>
      </c>
      <c r="F393" s="114" t="s">
        <v>1090</v>
      </c>
      <c r="J393" s="27">
        <v>1</v>
      </c>
      <c r="K393" s="27">
        <v>93032</v>
      </c>
      <c r="L393" s="27">
        <v>2</v>
      </c>
      <c r="N393" s="45">
        <v>3</v>
      </c>
      <c r="O393" s="44"/>
      <c r="P393" s="6" t="s">
        <v>806</v>
      </c>
      <c r="Q393" s="44"/>
      <c r="S393" s="27" t="s">
        <v>801</v>
      </c>
    </row>
    <row r="394" spans="1:20" s="27" customFormat="1" ht="14.25" x14ac:dyDescent="0.15">
      <c r="A394" s="20" t="s">
        <v>8</v>
      </c>
      <c r="B394" s="27">
        <v>33033</v>
      </c>
      <c r="C394" s="27">
        <v>5</v>
      </c>
      <c r="D394" s="27" t="s">
        <v>1078</v>
      </c>
      <c r="E394" s="100" t="s">
        <v>1747</v>
      </c>
      <c r="F394" s="114" t="s">
        <v>1090</v>
      </c>
      <c r="J394" s="27">
        <v>1</v>
      </c>
      <c r="K394" s="27">
        <v>93033</v>
      </c>
      <c r="L394" s="27">
        <v>3</v>
      </c>
      <c r="N394" s="45">
        <v>3</v>
      </c>
      <c r="O394" s="44"/>
      <c r="P394" s="6" t="s">
        <v>807</v>
      </c>
      <c r="Q394" s="44"/>
      <c r="S394" s="27" t="s">
        <v>801</v>
      </c>
    </row>
    <row r="395" spans="1:20" s="27" customFormat="1" ht="14.25" x14ac:dyDescent="0.15">
      <c r="A395" s="20" t="s">
        <v>8</v>
      </c>
      <c r="B395" s="27">
        <v>33041</v>
      </c>
      <c r="C395" s="27">
        <v>5</v>
      </c>
      <c r="D395" s="27" t="s">
        <v>1079</v>
      </c>
      <c r="E395" s="100" t="s">
        <v>1309</v>
      </c>
      <c r="F395" s="114" t="s">
        <v>1170</v>
      </c>
      <c r="H395" s="27">
        <v>10191</v>
      </c>
      <c r="J395" s="27">
        <v>1</v>
      </c>
      <c r="K395" s="27">
        <v>93041</v>
      </c>
      <c r="L395" s="27">
        <v>1</v>
      </c>
      <c r="N395" s="45">
        <v>3</v>
      </c>
      <c r="O395" s="44"/>
      <c r="P395" s="6" t="s">
        <v>792</v>
      </c>
      <c r="Q395" s="44"/>
      <c r="S395" s="27" t="s">
        <v>801</v>
      </c>
    </row>
    <row r="396" spans="1:20" s="27" customFormat="1" ht="14.25" x14ac:dyDescent="0.15">
      <c r="A396" s="20" t="s">
        <v>8</v>
      </c>
      <c r="B396" s="27">
        <v>33042</v>
      </c>
      <c r="C396" s="27">
        <v>5</v>
      </c>
      <c r="D396" s="27" t="s">
        <v>1080</v>
      </c>
      <c r="E396" s="100" t="s">
        <v>1748</v>
      </c>
      <c r="F396" s="114" t="s">
        <v>1170</v>
      </c>
      <c r="J396" s="27">
        <v>1</v>
      </c>
      <c r="K396" s="27">
        <v>93042</v>
      </c>
      <c r="L396" s="27">
        <v>2</v>
      </c>
      <c r="N396" s="45">
        <v>3</v>
      </c>
      <c r="O396" s="44"/>
      <c r="P396" s="6" t="s">
        <v>806</v>
      </c>
      <c r="Q396" s="44"/>
      <c r="S396" s="27" t="s">
        <v>801</v>
      </c>
    </row>
    <row r="397" spans="1:20" s="27" customFormat="1" ht="14.25" x14ac:dyDescent="0.15">
      <c r="A397" s="20" t="s">
        <v>8</v>
      </c>
      <c r="B397" s="27">
        <v>33043</v>
      </c>
      <c r="C397" s="27">
        <v>5</v>
      </c>
      <c r="D397" s="27" t="s">
        <v>1081</v>
      </c>
      <c r="E397" s="100" t="s">
        <v>1749</v>
      </c>
      <c r="F397" s="114" t="s">
        <v>1170</v>
      </c>
      <c r="J397" s="27">
        <v>1</v>
      </c>
      <c r="K397" s="27">
        <v>93043</v>
      </c>
      <c r="L397" s="27">
        <v>3</v>
      </c>
      <c r="N397" s="45">
        <v>3</v>
      </c>
      <c r="O397" s="44"/>
      <c r="P397" s="6" t="s">
        <v>807</v>
      </c>
      <c r="Q397" s="44"/>
      <c r="S397" s="27" t="s">
        <v>801</v>
      </c>
    </row>
    <row r="398" spans="1:20" s="27" customFormat="1" ht="14.25" x14ac:dyDescent="0.15">
      <c r="A398" s="20" t="s">
        <v>8</v>
      </c>
      <c r="B398" s="27">
        <v>33051</v>
      </c>
      <c r="C398" s="27">
        <v>5</v>
      </c>
      <c r="D398" s="27" t="s">
        <v>737</v>
      </c>
      <c r="E398" s="100" t="s">
        <v>1312</v>
      </c>
      <c r="F398" s="114" t="s">
        <v>1172</v>
      </c>
      <c r="H398" s="27">
        <v>17375</v>
      </c>
      <c r="J398" s="27">
        <v>1</v>
      </c>
      <c r="K398" s="27">
        <v>93051</v>
      </c>
      <c r="L398" s="27">
        <v>1</v>
      </c>
      <c r="N398" s="45">
        <v>3</v>
      </c>
      <c r="O398" s="44"/>
      <c r="P398" s="6" t="s">
        <v>792</v>
      </c>
      <c r="Q398" s="44"/>
      <c r="S398" s="27" t="s">
        <v>801</v>
      </c>
    </row>
    <row r="399" spans="1:20" s="27" customFormat="1" ht="14.25" x14ac:dyDescent="0.15">
      <c r="A399" s="20" t="s">
        <v>8</v>
      </c>
      <c r="B399" s="27">
        <v>33052</v>
      </c>
      <c r="C399" s="27">
        <v>5</v>
      </c>
      <c r="D399" s="27" t="s">
        <v>738</v>
      </c>
      <c r="E399" s="100" t="s">
        <v>1310</v>
      </c>
      <c r="F399" s="114" t="s">
        <v>1172</v>
      </c>
      <c r="J399" s="27">
        <v>1</v>
      </c>
      <c r="K399" s="27">
        <v>93052</v>
      </c>
      <c r="L399" s="27">
        <v>2</v>
      </c>
      <c r="N399" s="45">
        <v>3</v>
      </c>
      <c r="O399" s="44"/>
      <c r="P399" s="6" t="s">
        <v>806</v>
      </c>
      <c r="Q399" s="44"/>
      <c r="S399" s="27" t="s">
        <v>801</v>
      </c>
    </row>
    <row r="400" spans="1:20" s="27" customFormat="1" ht="14.25" x14ac:dyDescent="0.15">
      <c r="A400" s="20" t="s">
        <v>8</v>
      </c>
      <c r="B400" s="27">
        <v>33053</v>
      </c>
      <c r="C400" s="27">
        <v>5</v>
      </c>
      <c r="D400" s="27" t="s">
        <v>739</v>
      </c>
      <c r="E400" s="100" t="s">
        <v>1310</v>
      </c>
      <c r="F400" s="114" t="s">
        <v>1172</v>
      </c>
      <c r="J400" s="27">
        <v>1</v>
      </c>
      <c r="K400" s="27">
        <v>93053</v>
      </c>
      <c r="L400" s="27">
        <v>3</v>
      </c>
      <c r="N400" s="45">
        <v>3</v>
      </c>
      <c r="O400" s="44"/>
      <c r="P400" s="6" t="s">
        <v>807</v>
      </c>
      <c r="Q400" s="44"/>
      <c r="S400" s="27" t="s">
        <v>801</v>
      </c>
    </row>
    <row r="401" spans="1:20" s="27" customFormat="1" ht="14.25" x14ac:dyDescent="0.15">
      <c r="A401" s="20" t="s">
        <v>8</v>
      </c>
      <c r="B401" s="27">
        <v>33061</v>
      </c>
      <c r="C401" s="27">
        <v>5</v>
      </c>
      <c r="D401" s="27" t="s">
        <v>1082</v>
      </c>
      <c r="E401" s="100" t="s">
        <v>1750</v>
      </c>
      <c r="F401" s="114" t="s">
        <v>1171</v>
      </c>
      <c r="H401" s="27">
        <v>2270</v>
      </c>
      <c r="J401" s="27">
        <v>1</v>
      </c>
      <c r="K401" s="27">
        <v>93061</v>
      </c>
      <c r="L401" s="27">
        <v>1</v>
      </c>
      <c r="N401" s="45">
        <v>3</v>
      </c>
      <c r="O401" s="44"/>
      <c r="P401" s="6" t="s">
        <v>792</v>
      </c>
      <c r="Q401" s="44"/>
      <c r="S401" s="27" t="s">
        <v>801</v>
      </c>
    </row>
    <row r="402" spans="1:20" s="27" customFormat="1" ht="14.25" x14ac:dyDescent="0.15">
      <c r="A402" s="20" t="s">
        <v>8</v>
      </c>
      <c r="B402" s="27">
        <v>33062</v>
      </c>
      <c r="C402" s="27">
        <v>5</v>
      </c>
      <c r="D402" s="27" t="s">
        <v>1083</v>
      </c>
      <c r="E402" s="100" t="s">
        <v>1751</v>
      </c>
      <c r="F402" s="114" t="s">
        <v>1171</v>
      </c>
      <c r="J402" s="27">
        <v>1</v>
      </c>
      <c r="K402" s="27">
        <v>93062</v>
      </c>
      <c r="L402" s="27">
        <v>2</v>
      </c>
      <c r="N402" s="45">
        <v>3</v>
      </c>
      <c r="O402" s="44"/>
      <c r="P402" s="6" t="s">
        <v>806</v>
      </c>
      <c r="Q402" s="44"/>
      <c r="S402" s="27" t="s">
        <v>801</v>
      </c>
    </row>
    <row r="403" spans="1:20" s="27" customFormat="1" ht="14.25" x14ac:dyDescent="0.15">
      <c r="A403" s="20" t="s">
        <v>8</v>
      </c>
      <c r="B403" s="27">
        <v>33063</v>
      </c>
      <c r="C403" s="27">
        <v>5</v>
      </c>
      <c r="D403" s="27" t="s">
        <v>1084</v>
      </c>
      <c r="E403" s="100" t="s">
        <v>1752</v>
      </c>
      <c r="F403" s="114" t="s">
        <v>1171</v>
      </c>
      <c r="J403" s="27">
        <v>1</v>
      </c>
      <c r="K403" s="27">
        <v>93063</v>
      </c>
      <c r="L403" s="27">
        <v>3</v>
      </c>
      <c r="N403" s="45">
        <v>3</v>
      </c>
      <c r="O403" s="44"/>
      <c r="P403" s="6" t="s">
        <v>807</v>
      </c>
      <c r="Q403" s="44"/>
      <c r="S403" s="27" t="s">
        <v>801</v>
      </c>
    </row>
    <row r="404" spans="1:20" s="27" customFormat="1" ht="14.25" x14ac:dyDescent="0.15">
      <c r="A404" s="20" t="s">
        <v>8</v>
      </c>
      <c r="B404" s="27">
        <v>33071</v>
      </c>
      <c r="C404" s="27">
        <v>5</v>
      </c>
      <c r="D404" s="27" t="s">
        <v>1085</v>
      </c>
      <c r="E404" s="100" t="s">
        <v>1311</v>
      </c>
      <c r="F404" s="114" t="s">
        <v>1173</v>
      </c>
      <c r="H404" s="27">
        <v>2679</v>
      </c>
      <c r="J404" s="27">
        <v>1</v>
      </c>
      <c r="K404" s="27">
        <v>93071</v>
      </c>
      <c r="L404" s="27">
        <v>1</v>
      </c>
      <c r="N404" s="45">
        <v>3</v>
      </c>
      <c r="O404" s="44"/>
      <c r="P404" s="6" t="s">
        <v>792</v>
      </c>
      <c r="Q404" s="44"/>
      <c r="S404" s="27" t="s">
        <v>801</v>
      </c>
    </row>
    <row r="405" spans="1:20" s="27" customFormat="1" ht="14.25" x14ac:dyDescent="0.15">
      <c r="A405" s="20" t="s">
        <v>8</v>
      </c>
      <c r="B405" s="27">
        <v>33072</v>
      </c>
      <c r="C405" s="27">
        <v>5</v>
      </c>
      <c r="D405" s="27" t="s">
        <v>1086</v>
      </c>
      <c r="E405" s="100" t="s">
        <v>1753</v>
      </c>
      <c r="F405" s="114" t="s">
        <v>1173</v>
      </c>
      <c r="J405" s="27">
        <v>1</v>
      </c>
      <c r="K405" s="27">
        <v>93072</v>
      </c>
      <c r="L405" s="27">
        <v>2</v>
      </c>
      <c r="N405" s="45">
        <v>3</v>
      </c>
      <c r="O405" s="44"/>
      <c r="P405" s="6" t="s">
        <v>806</v>
      </c>
      <c r="Q405" s="44"/>
      <c r="S405" s="27" t="s">
        <v>801</v>
      </c>
    </row>
    <row r="406" spans="1:20" s="27" customFormat="1" ht="14.25" x14ac:dyDescent="0.15">
      <c r="A406" s="20" t="s">
        <v>8</v>
      </c>
      <c r="B406" s="27">
        <v>33073</v>
      </c>
      <c r="C406" s="27">
        <v>5</v>
      </c>
      <c r="D406" s="27" t="s">
        <v>1087</v>
      </c>
      <c r="E406" s="100" t="s">
        <v>1754</v>
      </c>
      <c r="F406" s="114" t="s">
        <v>1173</v>
      </c>
      <c r="J406" s="27">
        <v>1</v>
      </c>
      <c r="K406" s="27">
        <v>93073</v>
      </c>
      <c r="L406" s="27">
        <v>3</v>
      </c>
      <c r="N406" s="45">
        <v>3</v>
      </c>
      <c r="O406" s="44"/>
      <c r="P406" s="6" t="s">
        <v>807</v>
      </c>
      <c r="Q406" s="44"/>
      <c r="S406" s="27" t="s">
        <v>801</v>
      </c>
    </row>
    <row r="407" spans="1:20" s="29" customFormat="1" ht="14.25" x14ac:dyDescent="0.15">
      <c r="A407" s="28" t="s">
        <v>8</v>
      </c>
      <c r="B407" s="29">
        <v>34011</v>
      </c>
      <c r="C407" s="29">
        <v>5</v>
      </c>
      <c r="D407" s="30" t="s">
        <v>740</v>
      </c>
      <c r="E407" s="93" t="s">
        <v>773</v>
      </c>
      <c r="F407" s="113" t="s">
        <v>1017</v>
      </c>
      <c r="H407" s="27">
        <v>81</v>
      </c>
      <c r="I407" s="27"/>
      <c r="J407" s="29">
        <v>1</v>
      </c>
      <c r="K407" s="27">
        <v>94011</v>
      </c>
      <c r="L407" s="27">
        <v>1</v>
      </c>
      <c r="N407" s="29">
        <v>11</v>
      </c>
      <c r="O407" s="30"/>
      <c r="P407" s="6" t="s">
        <v>792</v>
      </c>
      <c r="Q407" s="30"/>
      <c r="S407" s="29" t="s">
        <v>803</v>
      </c>
      <c r="T407" s="27"/>
    </row>
    <row r="408" spans="1:20" s="29" customFormat="1" ht="14.25" x14ac:dyDescent="0.15">
      <c r="A408" s="28" t="s">
        <v>8</v>
      </c>
      <c r="B408" s="29">
        <v>34012</v>
      </c>
      <c r="C408" s="29">
        <v>5</v>
      </c>
      <c r="D408" s="30" t="s">
        <v>741</v>
      </c>
      <c r="E408" s="93" t="s">
        <v>773</v>
      </c>
      <c r="F408" s="123" t="s">
        <v>1017</v>
      </c>
      <c r="H408" s="27"/>
      <c r="I408" s="27"/>
      <c r="J408" s="29">
        <v>1</v>
      </c>
      <c r="K408" s="27">
        <v>94012</v>
      </c>
      <c r="L408" s="27">
        <v>2</v>
      </c>
      <c r="N408" s="29">
        <v>11</v>
      </c>
      <c r="O408" s="30"/>
      <c r="P408" s="6" t="s">
        <v>806</v>
      </c>
      <c r="Q408" s="30"/>
      <c r="S408" s="29" t="s">
        <v>803</v>
      </c>
      <c r="T408" s="27"/>
    </row>
    <row r="409" spans="1:20" s="29" customFormat="1" ht="14.25" x14ac:dyDescent="0.15">
      <c r="A409" s="28" t="s">
        <v>8</v>
      </c>
      <c r="B409" s="29">
        <v>34013</v>
      </c>
      <c r="C409" s="29">
        <v>5</v>
      </c>
      <c r="D409" s="30" t="s">
        <v>742</v>
      </c>
      <c r="E409" s="93" t="s">
        <v>773</v>
      </c>
      <c r="F409" s="123" t="s">
        <v>1017</v>
      </c>
      <c r="H409" s="27"/>
      <c r="I409" s="27"/>
      <c r="J409" s="29">
        <v>1</v>
      </c>
      <c r="K409" s="27">
        <v>94013</v>
      </c>
      <c r="L409" s="27">
        <v>3</v>
      </c>
      <c r="N409" s="29">
        <v>11</v>
      </c>
      <c r="O409" s="30"/>
      <c r="P409" s="6" t="s">
        <v>807</v>
      </c>
      <c r="Q409" s="30"/>
      <c r="S409" s="29" t="s">
        <v>803</v>
      </c>
      <c r="T409" s="27"/>
    </row>
    <row r="410" spans="1:20" s="29" customFormat="1" ht="14.25" x14ac:dyDescent="0.15">
      <c r="A410" s="28" t="s">
        <v>8</v>
      </c>
      <c r="B410" s="29">
        <v>34021</v>
      </c>
      <c r="C410" s="29">
        <v>5</v>
      </c>
      <c r="D410" s="30" t="s">
        <v>743</v>
      </c>
      <c r="E410" s="93" t="s">
        <v>774</v>
      </c>
      <c r="F410" s="113" t="s">
        <v>1018</v>
      </c>
      <c r="H410" s="27">
        <v>510</v>
      </c>
      <c r="I410" s="27"/>
      <c r="J410" s="29">
        <v>1</v>
      </c>
      <c r="K410" s="27">
        <v>94021</v>
      </c>
      <c r="L410" s="27">
        <v>1</v>
      </c>
      <c r="N410" s="29">
        <v>11</v>
      </c>
      <c r="O410" s="30"/>
      <c r="P410" s="6" t="s">
        <v>792</v>
      </c>
      <c r="Q410" s="30"/>
      <c r="S410" s="29" t="s">
        <v>803</v>
      </c>
      <c r="T410" s="27"/>
    </row>
    <row r="411" spans="1:20" s="29" customFormat="1" ht="14.25" x14ac:dyDescent="0.15">
      <c r="A411" s="28" t="s">
        <v>8</v>
      </c>
      <c r="B411" s="29">
        <v>34022</v>
      </c>
      <c r="C411" s="29">
        <v>5</v>
      </c>
      <c r="D411" s="30" t="s">
        <v>744</v>
      </c>
      <c r="E411" s="93" t="s">
        <v>774</v>
      </c>
      <c r="F411" s="123" t="s">
        <v>1018</v>
      </c>
      <c r="H411" s="27"/>
      <c r="I411" s="27"/>
      <c r="J411" s="29">
        <v>1</v>
      </c>
      <c r="K411" s="27">
        <v>94022</v>
      </c>
      <c r="L411" s="27">
        <v>2</v>
      </c>
      <c r="N411" s="29">
        <v>11</v>
      </c>
      <c r="O411" s="30"/>
      <c r="P411" s="6" t="s">
        <v>806</v>
      </c>
      <c r="Q411" s="30"/>
      <c r="S411" s="29" t="s">
        <v>803</v>
      </c>
      <c r="T411" s="27"/>
    </row>
    <row r="412" spans="1:20" s="29" customFormat="1" ht="14.25" x14ac:dyDescent="0.15">
      <c r="A412" s="28" t="s">
        <v>8</v>
      </c>
      <c r="B412" s="29">
        <v>34023</v>
      </c>
      <c r="C412" s="29">
        <v>5</v>
      </c>
      <c r="D412" s="30" t="s">
        <v>745</v>
      </c>
      <c r="E412" s="93" t="s">
        <v>774</v>
      </c>
      <c r="F412" s="123" t="s">
        <v>1018</v>
      </c>
      <c r="H412" s="27"/>
      <c r="I412" s="27"/>
      <c r="J412" s="29">
        <v>1</v>
      </c>
      <c r="K412" s="27">
        <v>94023</v>
      </c>
      <c r="L412" s="27">
        <v>3</v>
      </c>
      <c r="N412" s="29">
        <v>11</v>
      </c>
      <c r="O412" s="30"/>
      <c r="P412" s="6" t="s">
        <v>807</v>
      </c>
      <c r="Q412" s="30"/>
      <c r="S412" s="29" t="s">
        <v>803</v>
      </c>
      <c r="T412" s="27"/>
    </row>
    <row r="413" spans="1:20" s="29" customFormat="1" ht="14.25" x14ac:dyDescent="0.15">
      <c r="A413" s="28" t="s">
        <v>8</v>
      </c>
      <c r="B413" s="29">
        <v>34031</v>
      </c>
      <c r="C413" s="29">
        <v>5</v>
      </c>
      <c r="D413" s="30" t="s">
        <v>746</v>
      </c>
      <c r="E413" s="93" t="s">
        <v>775</v>
      </c>
      <c r="F413" s="113" t="s">
        <v>767</v>
      </c>
      <c r="H413" s="27">
        <v>561</v>
      </c>
      <c r="I413" s="27"/>
      <c r="J413" s="27">
        <v>1</v>
      </c>
      <c r="K413" s="27">
        <v>94031</v>
      </c>
      <c r="L413" s="27">
        <v>1</v>
      </c>
      <c r="N413" s="29">
        <v>11</v>
      </c>
      <c r="O413" s="30"/>
      <c r="P413" s="6" t="s">
        <v>792</v>
      </c>
      <c r="Q413" s="30"/>
      <c r="S413" s="29" t="s">
        <v>803</v>
      </c>
      <c r="T413" s="27"/>
    </row>
    <row r="414" spans="1:20" s="29" customFormat="1" ht="14.25" x14ac:dyDescent="0.15">
      <c r="A414" s="28" t="s">
        <v>8</v>
      </c>
      <c r="B414" s="29">
        <v>34032</v>
      </c>
      <c r="C414" s="29">
        <v>5</v>
      </c>
      <c r="D414" s="30" t="s">
        <v>747</v>
      </c>
      <c r="E414" s="93" t="s">
        <v>775</v>
      </c>
      <c r="F414" s="123" t="s">
        <v>767</v>
      </c>
      <c r="H414" s="27"/>
      <c r="I414" s="27"/>
      <c r="J414" s="27">
        <v>1</v>
      </c>
      <c r="K414" s="27">
        <v>94032</v>
      </c>
      <c r="L414" s="27">
        <v>2</v>
      </c>
      <c r="N414" s="29">
        <v>11</v>
      </c>
      <c r="O414" s="30"/>
      <c r="P414" s="6" t="s">
        <v>806</v>
      </c>
      <c r="Q414" s="30"/>
      <c r="S414" s="29" t="s">
        <v>803</v>
      </c>
      <c r="T414" s="27"/>
    </row>
    <row r="415" spans="1:20" s="29" customFormat="1" ht="14.25" x14ac:dyDescent="0.15">
      <c r="A415" s="28" t="s">
        <v>8</v>
      </c>
      <c r="B415" s="29">
        <v>34033</v>
      </c>
      <c r="C415" s="29">
        <v>5</v>
      </c>
      <c r="D415" s="30" t="s">
        <v>748</v>
      </c>
      <c r="E415" s="93" t="s">
        <v>775</v>
      </c>
      <c r="F415" s="123" t="s">
        <v>767</v>
      </c>
      <c r="H415" s="27"/>
      <c r="I415" s="27"/>
      <c r="J415" s="27">
        <v>1</v>
      </c>
      <c r="K415" s="27">
        <v>94033</v>
      </c>
      <c r="L415" s="27">
        <v>3</v>
      </c>
      <c r="N415" s="29">
        <v>11</v>
      </c>
      <c r="O415" s="30"/>
      <c r="P415" s="6" t="s">
        <v>807</v>
      </c>
      <c r="Q415" s="30"/>
      <c r="S415" s="29" t="s">
        <v>803</v>
      </c>
      <c r="T415" s="27"/>
    </row>
    <row r="416" spans="1:20" s="29" customFormat="1" ht="14.25" x14ac:dyDescent="0.15">
      <c r="A416" s="28" t="s">
        <v>8</v>
      </c>
      <c r="B416" s="29">
        <v>34041</v>
      </c>
      <c r="C416" s="29">
        <v>5</v>
      </c>
      <c r="D416" s="30" t="s">
        <v>749</v>
      </c>
      <c r="E416" s="93" t="s">
        <v>679</v>
      </c>
      <c r="F416" s="113" t="s">
        <v>1019</v>
      </c>
      <c r="H416" s="27">
        <v>1411</v>
      </c>
      <c r="I416" s="27"/>
      <c r="J416" s="27">
        <v>1</v>
      </c>
      <c r="K416" s="27">
        <v>94041</v>
      </c>
      <c r="L416" s="27">
        <v>1</v>
      </c>
      <c r="N416" s="29">
        <v>11</v>
      </c>
      <c r="O416" s="30"/>
      <c r="P416" s="6" t="s">
        <v>792</v>
      </c>
      <c r="Q416" s="30"/>
      <c r="S416" s="29" t="s">
        <v>803</v>
      </c>
      <c r="T416" s="27"/>
    </row>
    <row r="417" spans="1:20" s="29" customFormat="1" ht="14.25" x14ac:dyDescent="0.15">
      <c r="A417" s="28" t="s">
        <v>8</v>
      </c>
      <c r="B417" s="29">
        <v>34042</v>
      </c>
      <c r="C417" s="29">
        <v>5</v>
      </c>
      <c r="D417" s="30" t="s">
        <v>750</v>
      </c>
      <c r="E417" s="93" t="s">
        <v>679</v>
      </c>
      <c r="F417" s="123" t="s">
        <v>1019</v>
      </c>
      <c r="H417" s="27"/>
      <c r="I417" s="27"/>
      <c r="J417" s="27">
        <v>1</v>
      </c>
      <c r="K417" s="27">
        <v>94042</v>
      </c>
      <c r="L417" s="27">
        <v>2</v>
      </c>
      <c r="N417" s="29">
        <v>11</v>
      </c>
      <c r="O417" s="30"/>
      <c r="P417" s="6" t="s">
        <v>806</v>
      </c>
      <c r="Q417" s="30"/>
      <c r="S417" s="29" t="s">
        <v>803</v>
      </c>
      <c r="T417" s="27"/>
    </row>
    <row r="418" spans="1:20" s="29" customFormat="1" ht="14.25" x14ac:dyDescent="0.15">
      <c r="A418" s="28" t="s">
        <v>8</v>
      </c>
      <c r="B418" s="29">
        <v>34043</v>
      </c>
      <c r="C418" s="29">
        <v>5</v>
      </c>
      <c r="D418" s="30" t="s">
        <v>751</v>
      </c>
      <c r="E418" s="93" t="s">
        <v>679</v>
      </c>
      <c r="F418" s="123" t="s">
        <v>1019</v>
      </c>
      <c r="H418" s="27"/>
      <c r="I418" s="27"/>
      <c r="J418" s="27">
        <v>1</v>
      </c>
      <c r="K418" s="27">
        <v>94043</v>
      </c>
      <c r="L418" s="27">
        <v>3</v>
      </c>
      <c r="N418" s="29">
        <v>11</v>
      </c>
      <c r="O418" s="30"/>
      <c r="P418" s="6" t="s">
        <v>807</v>
      </c>
      <c r="Q418" s="30"/>
      <c r="S418" s="29" t="s">
        <v>803</v>
      </c>
      <c r="T418" s="27"/>
    </row>
    <row r="419" spans="1:20" s="29" customFormat="1" ht="14.25" x14ac:dyDescent="0.15">
      <c r="A419" s="28" t="s">
        <v>8</v>
      </c>
      <c r="B419" s="29">
        <v>34051</v>
      </c>
      <c r="C419" s="29">
        <v>5</v>
      </c>
      <c r="D419" s="30" t="s">
        <v>1394</v>
      </c>
      <c r="E419" s="93" t="s">
        <v>1420</v>
      </c>
      <c r="F419" s="123" t="s">
        <v>1435</v>
      </c>
      <c r="H419" s="27">
        <v>1053</v>
      </c>
      <c r="I419" s="27"/>
      <c r="J419" s="27">
        <v>1</v>
      </c>
      <c r="K419" s="27">
        <v>94051</v>
      </c>
      <c r="L419" s="27">
        <v>1</v>
      </c>
      <c r="N419" s="29">
        <v>11</v>
      </c>
      <c r="O419" s="30"/>
      <c r="P419" s="6" t="s">
        <v>792</v>
      </c>
      <c r="Q419" s="30"/>
      <c r="S419" s="29" t="s">
        <v>803</v>
      </c>
      <c r="T419" s="27"/>
    </row>
    <row r="420" spans="1:20" s="29" customFormat="1" ht="14.25" x14ac:dyDescent="0.15">
      <c r="A420" s="28" t="s">
        <v>8</v>
      </c>
      <c r="B420" s="29">
        <v>34052</v>
      </c>
      <c r="C420" s="29">
        <v>5</v>
      </c>
      <c r="D420" s="30" t="s">
        <v>1395</v>
      </c>
      <c r="E420" s="93" t="s">
        <v>1420</v>
      </c>
      <c r="F420" s="123" t="s">
        <v>1435</v>
      </c>
      <c r="H420" s="27"/>
      <c r="I420" s="27"/>
      <c r="J420" s="27">
        <v>1</v>
      </c>
      <c r="K420" s="27">
        <v>94052</v>
      </c>
      <c r="L420" s="27">
        <v>2</v>
      </c>
      <c r="N420" s="29">
        <v>11</v>
      </c>
      <c r="O420" s="30"/>
      <c r="P420" s="6" t="s">
        <v>806</v>
      </c>
      <c r="Q420" s="30"/>
      <c r="S420" s="29" t="s">
        <v>803</v>
      </c>
      <c r="T420" s="27"/>
    </row>
    <row r="421" spans="1:20" s="29" customFormat="1" ht="14.25" x14ac:dyDescent="0.15">
      <c r="A421" s="28" t="s">
        <v>8</v>
      </c>
      <c r="B421" s="29">
        <v>34053</v>
      </c>
      <c r="C421" s="29">
        <v>5</v>
      </c>
      <c r="D421" s="30" t="s">
        <v>1396</v>
      </c>
      <c r="E421" s="93" t="s">
        <v>1420</v>
      </c>
      <c r="F421" s="123" t="s">
        <v>1435</v>
      </c>
      <c r="H421" s="27"/>
      <c r="I421" s="27"/>
      <c r="J421" s="27">
        <v>1</v>
      </c>
      <c r="K421" s="27">
        <v>94053</v>
      </c>
      <c r="L421" s="27">
        <v>3</v>
      </c>
      <c r="N421" s="29">
        <v>11</v>
      </c>
      <c r="O421" s="30"/>
      <c r="P421" s="6" t="s">
        <v>807</v>
      </c>
      <c r="Q421" s="30"/>
      <c r="S421" s="29" t="s">
        <v>803</v>
      </c>
      <c r="T421" s="27"/>
    </row>
    <row r="422" spans="1:20" s="29" customFormat="1" ht="14.25" x14ac:dyDescent="0.15">
      <c r="A422" s="28" t="s">
        <v>8</v>
      </c>
      <c r="B422" s="29">
        <v>34061</v>
      </c>
      <c r="C422" s="29">
        <v>5</v>
      </c>
      <c r="D422" s="30" t="s">
        <v>1397</v>
      </c>
      <c r="E422" s="93" t="s">
        <v>1421</v>
      </c>
      <c r="F422" s="113" t="s">
        <v>1436</v>
      </c>
      <c r="H422" s="27">
        <v>68</v>
      </c>
      <c r="I422" s="27"/>
      <c r="J422" s="27">
        <v>1</v>
      </c>
      <c r="K422" s="27">
        <v>94061</v>
      </c>
      <c r="L422" s="27">
        <v>1</v>
      </c>
      <c r="N422" s="29">
        <v>11</v>
      </c>
      <c r="O422" s="30"/>
      <c r="P422" s="6" t="s">
        <v>792</v>
      </c>
      <c r="Q422" s="30"/>
      <c r="S422" s="29" t="s">
        <v>803</v>
      </c>
      <c r="T422" s="27"/>
    </row>
    <row r="423" spans="1:20" s="29" customFormat="1" ht="14.25" x14ac:dyDescent="0.15">
      <c r="A423" s="28" t="s">
        <v>8</v>
      </c>
      <c r="B423" s="29">
        <v>34062</v>
      </c>
      <c r="C423" s="29">
        <v>5</v>
      </c>
      <c r="D423" s="30" t="s">
        <v>1398</v>
      </c>
      <c r="E423" s="93" t="s">
        <v>1421</v>
      </c>
      <c r="F423" s="113" t="s">
        <v>1436</v>
      </c>
      <c r="H423" s="27"/>
      <c r="I423" s="27"/>
      <c r="J423" s="27">
        <v>1</v>
      </c>
      <c r="K423" s="27">
        <v>94062</v>
      </c>
      <c r="L423" s="27">
        <v>2</v>
      </c>
      <c r="N423" s="29">
        <v>11</v>
      </c>
      <c r="O423" s="30"/>
      <c r="P423" s="6" t="s">
        <v>806</v>
      </c>
      <c r="Q423" s="30"/>
      <c r="S423" s="29" t="s">
        <v>803</v>
      </c>
      <c r="T423" s="27"/>
    </row>
    <row r="424" spans="1:20" s="29" customFormat="1" ht="14.25" x14ac:dyDescent="0.15">
      <c r="A424" s="28" t="s">
        <v>8</v>
      </c>
      <c r="B424" s="29">
        <v>34063</v>
      </c>
      <c r="C424" s="29">
        <v>5</v>
      </c>
      <c r="D424" s="30" t="s">
        <v>1399</v>
      </c>
      <c r="E424" s="93" t="s">
        <v>1421</v>
      </c>
      <c r="F424" s="113" t="s">
        <v>1436</v>
      </c>
      <c r="H424" s="27"/>
      <c r="I424" s="27"/>
      <c r="J424" s="27">
        <v>1</v>
      </c>
      <c r="K424" s="27">
        <v>94063</v>
      </c>
      <c r="L424" s="27">
        <v>3</v>
      </c>
      <c r="N424" s="29">
        <v>11</v>
      </c>
      <c r="O424" s="30"/>
      <c r="P424" s="6" t="s">
        <v>807</v>
      </c>
      <c r="Q424" s="30"/>
      <c r="S424" s="29" t="s">
        <v>803</v>
      </c>
      <c r="T424" s="27"/>
    </row>
    <row r="425" spans="1:20" s="27" customFormat="1" ht="14.25" x14ac:dyDescent="0.15">
      <c r="A425" s="20" t="s">
        <v>8</v>
      </c>
      <c r="B425" s="27">
        <v>35011</v>
      </c>
      <c r="C425" s="27">
        <v>5</v>
      </c>
      <c r="D425" s="44" t="s">
        <v>752</v>
      </c>
      <c r="E425" s="100" t="s">
        <v>1694</v>
      </c>
      <c r="F425" s="114" t="s">
        <v>1020</v>
      </c>
      <c r="H425" s="27">
        <v>615</v>
      </c>
      <c r="J425" s="27">
        <v>1</v>
      </c>
      <c r="K425" s="27">
        <v>95011</v>
      </c>
      <c r="L425" s="27">
        <v>1</v>
      </c>
      <c r="N425" s="27">
        <v>12</v>
      </c>
      <c r="O425" s="30"/>
      <c r="P425" s="6" t="s">
        <v>792</v>
      </c>
      <c r="Q425" s="30"/>
      <c r="R425" s="29"/>
      <c r="S425" s="29" t="s">
        <v>803</v>
      </c>
    </row>
    <row r="426" spans="1:20" s="27" customFormat="1" ht="14.25" x14ac:dyDescent="0.15">
      <c r="A426" s="20" t="s">
        <v>8</v>
      </c>
      <c r="B426" s="27">
        <v>35012</v>
      </c>
      <c r="C426" s="27">
        <v>5</v>
      </c>
      <c r="D426" s="44" t="s">
        <v>753</v>
      </c>
      <c r="E426" s="100" t="s">
        <v>1694</v>
      </c>
      <c r="F426" s="122" t="s">
        <v>1020</v>
      </c>
      <c r="J426" s="27">
        <v>1</v>
      </c>
      <c r="K426" s="27">
        <v>95012</v>
      </c>
      <c r="L426" s="27">
        <v>2</v>
      </c>
      <c r="N426" s="27">
        <v>12</v>
      </c>
      <c r="O426" s="30"/>
      <c r="P426" s="6" t="s">
        <v>806</v>
      </c>
      <c r="Q426" s="30"/>
      <c r="R426" s="29"/>
      <c r="S426" s="29" t="s">
        <v>803</v>
      </c>
    </row>
    <row r="427" spans="1:20" s="27" customFormat="1" ht="14.25" x14ac:dyDescent="0.15">
      <c r="A427" s="20" t="s">
        <v>8</v>
      </c>
      <c r="B427" s="27">
        <v>35013</v>
      </c>
      <c r="C427" s="27">
        <v>5</v>
      </c>
      <c r="D427" s="44" t="s">
        <v>754</v>
      </c>
      <c r="E427" s="100" t="s">
        <v>1694</v>
      </c>
      <c r="F427" s="122" t="s">
        <v>1020</v>
      </c>
      <c r="J427" s="27">
        <v>1</v>
      </c>
      <c r="K427" s="27">
        <v>95013</v>
      </c>
      <c r="L427" s="27">
        <v>3</v>
      </c>
      <c r="N427" s="27">
        <v>12</v>
      </c>
      <c r="O427" s="30"/>
      <c r="P427" s="6" t="s">
        <v>807</v>
      </c>
      <c r="Q427" s="30"/>
      <c r="R427" s="29"/>
      <c r="S427" s="29" t="s">
        <v>803</v>
      </c>
    </row>
    <row r="428" spans="1:20" s="27" customFormat="1" ht="14.25" x14ac:dyDescent="0.15">
      <c r="A428" s="20" t="s">
        <v>8</v>
      </c>
      <c r="B428" s="27">
        <v>35021</v>
      </c>
      <c r="C428" s="27">
        <v>5</v>
      </c>
      <c r="D428" s="44" t="s">
        <v>1021</v>
      </c>
      <c r="E428" s="100" t="s">
        <v>1320</v>
      </c>
      <c r="F428" s="114" t="s">
        <v>1022</v>
      </c>
      <c r="H428" s="27">
        <v>5400</v>
      </c>
      <c r="J428" s="27">
        <v>1</v>
      </c>
      <c r="K428" s="27">
        <v>95021</v>
      </c>
      <c r="L428" s="27">
        <v>1</v>
      </c>
      <c r="N428" s="27">
        <v>12</v>
      </c>
      <c r="O428" s="30"/>
      <c r="P428" s="6" t="s">
        <v>792</v>
      </c>
      <c r="Q428" s="30"/>
      <c r="R428" s="29"/>
      <c r="S428" s="29" t="s">
        <v>803</v>
      </c>
    </row>
    <row r="429" spans="1:20" s="27" customFormat="1" ht="14.25" x14ac:dyDescent="0.15">
      <c r="A429" s="20" t="s">
        <v>8</v>
      </c>
      <c r="B429" s="27">
        <v>35022</v>
      </c>
      <c r="C429" s="27">
        <v>5</v>
      </c>
      <c r="D429" s="44" t="s">
        <v>1023</v>
      </c>
      <c r="E429" s="100" t="s">
        <v>1320</v>
      </c>
      <c r="F429" s="122" t="s">
        <v>1022</v>
      </c>
      <c r="J429" s="27">
        <v>1</v>
      </c>
      <c r="K429" s="27">
        <v>95022</v>
      </c>
      <c r="L429" s="27">
        <v>2</v>
      </c>
      <c r="N429" s="27">
        <v>12</v>
      </c>
      <c r="O429" s="30"/>
      <c r="P429" s="6" t="s">
        <v>806</v>
      </c>
      <c r="Q429" s="30"/>
      <c r="R429" s="29"/>
      <c r="S429" s="29" t="s">
        <v>803</v>
      </c>
    </row>
    <row r="430" spans="1:20" s="27" customFormat="1" ht="14.25" x14ac:dyDescent="0.15">
      <c r="A430" s="20" t="s">
        <v>8</v>
      </c>
      <c r="B430" s="27">
        <v>35023</v>
      </c>
      <c r="C430" s="27">
        <v>5</v>
      </c>
      <c r="D430" s="44" t="s">
        <v>1024</v>
      </c>
      <c r="E430" s="100" t="s">
        <v>1320</v>
      </c>
      <c r="F430" s="122" t="s">
        <v>1022</v>
      </c>
      <c r="J430" s="27">
        <v>1</v>
      </c>
      <c r="K430" s="27">
        <v>95023</v>
      </c>
      <c r="L430" s="27">
        <v>3</v>
      </c>
      <c r="N430" s="27">
        <v>12</v>
      </c>
      <c r="O430" s="30"/>
      <c r="P430" s="6" t="s">
        <v>807</v>
      </c>
      <c r="Q430" s="30"/>
      <c r="R430" s="29"/>
      <c r="S430" s="29" t="s">
        <v>803</v>
      </c>
    </row>
    <row r="431" spans="1:20" s="27" customFormat="1" ht="14.25" x14ac:dyDescent="0.15">
      <c r="A431" s="20" t="s">
        <v>8</v>
      </c>
      <c r="B431" s="27">
        <v>35031</v>
      </c>
      <c r="C431" s="27">
        <v>5</v>
      </c>
      <c r="D431" s="44" t="s">
        <v>1091</v>
      </c>
      <c r="E431" s="100" t="s">
        <v>1321</v>
      </c>
      <c r="F431" s="114" t="s">
        <v>1174</v>
      </c>
      <c r="H431" s="27">
        <v>7020</v>
      </c>
      <c r="J431" s="27">
        <v>1</v>
      </c>
      <c r="K431" s="27">
        <v>95031</v>
      </c>
      <c r="L431" s="27">
        <v>1</v>
      </c>
      <c r="N431" s="27">
        <v>12</v>
      </c>
      <c r="O431" s="30"/>
      <c r="P431" s="6" t="s">
        <v>792</v>
      </c>
      <c r="Q431" s="30"/>
      <c r="R431" s="29"/>
      <c r="S431" s="29" t="s">
        <v>803</v>
      </c>
    </row>
    <row r="432" spans="1:20" s="27" customFormat="1" ht="14.25" x14ac:dyDescent="0.15">
      <c r="A432" s="20" t="s">
        <v>8</v>
      </c>
      <c r="B432" s="27">
        <v>35032</v>
      </c>
      <c r="C432" s="27">
        <v>5</v>
      </c>
      <c r="D432" s="44" t="s">
        <v>1175</v>
      </c>
      <c r="E432" s="100" t="s">
        <v>1755</v>
      </c>
      <c r="F432" s="114" t="s">
        <v>1174</v>
      </c>
      <c r="J432" s="27">
        <v>1</v>
      </c>
      <c r="K432" s="27">
        <v>95032</v>
      </c>
      <c r="L432" s="27">
        <v>2</v>
      </c>
      <c r="N432" s="27">
        <v>12</v>
      </c>
      <c r="O432" s="30"/>
      <c r="P432" s="6" t="s">
        <v>806</v>
      </c>
      <c r="Q432" s="30"/>
      <c r="R432" s="29"/>
      <c r="S432" s="29" t="s">
        <v>803</v>
      </c>
    </row>
    <row r="433" spans="1:19" s="27" customFormat="1" ht="14.25" x14ac:dyDescent="0.15">
      <c r="A433" s="20" t="s">
        <v>8</v>
      </c>
      <c r="B433" s="27">
        <v>35033</v>
      </c>
      <c r="C433" s="27">
        <v>5</v>
      </c>
      <c r="D433" s="44" t="s">
        <v>1092</v>
      </c>
      <c r="E433" s="100" t="s">
        <v>1756</v>
      </c>
      <c r="F433" s="114" t="s">
        <v>1174</v>
      </c>
      <c r="J433" s="27">
        <v>1</v>
      </c>
      <c r="K433" s="27">
        <v>95033</v>
      </c>
      <c r="L433" s="27">
        <v>3</v>
      </c>
      <c r="N433" s="27">
        <v>12</v>
      </c>
      <c r="O433" s="30"/>
      <c r="P433" s="6" t="s">
        <v>807</v>
      </c>
      <c r="Q433" s="30"/>
      <c r="R433" s="29"/>
      <c r="S433" s="29" t="s">
        <v>803</v>
      </c>
    </row>
    <row r="434" spans="1:19" s="27" customFormat="1" ht="14.25" x14ac:dyDescent="0.15">
      <c r="A434" s="20" t="s">
        <v>8</v>
      </c>
      <c r="B434" s="27">
        <v>35041</v>
      </c>
      <c r="C434" s="27">
        <v>5</v>
      </c>
      <c r="D434" s="44" t="s">
        <v>1176</v>
      </c>
      <c r="E434" s="100" t="s">
        <v>1757</v>
      </c>
      <c r="F434" s="114" t="s">
        <v>1179</v>
      </c>
      <c r="H434" s="27">
        <v>18540</v>
      </c>
      <c r="J434" s="27">
        <v>1</v>
      </c>
      <c r="K434" s="27">
        <v>95041</v>
      </c>
      <c r="L434" s="27">
        <v>1</v>
      </c>
      <c r="N434" s="27">
        <v>12</v>
      </c>
      <c r="O434" s="30"/>
      <c r="P434" s="6" t="s">
        <v>792</v>
      </c>
      <c r="Q434" s="30"/>
      <c r="R434" s="29"/>
      <c r="S434" s="29" t="s">
        <v>803</v>
      </c>
    </row>
    <row r="435" spans="1:19" s="27" customFormat="1" ht="14.25" x14ac:dyDescent="0.15">
      <c r="A435" s="20" t="s">
        <v>8</v>
      </c>
      <c r="B435" s="27">
        <v>35042</v>
      </c>
      <c r="C435" s="27">
        <v>5</v>
      </c>
      <c r="D435" s="44" t="s">
        <v>1177</v>
      </c>
      <c r="E435" s="100" t="s">
        <v>1758</v>
      </c>
      <c r="F435" s="114" t="s">
        <v>1179</v>
      </c>
      <c r="J435" s="27">
        <v>1</v>
      </c>
      <c r="K435" s="27">
        <v>95042</v>
      </c>
      <c r="L435" s="27">
        <v>2</v>
      </c>
      <c r="N435" s="27">
        <v>12</v>
      </c>
      <c r="O435" s="30"/>
      <c r="P435" s="6" t="s">
        <v>806</v>
      </c>
      <c r="Q435" s="30"/>
      <c r="R435" s="29"/>
      <c r="S435" s="29" t="s">
        <v>803</v>
      </c>
    </row>
    <row r="436" spans="1:19" s="27" customFormat="1" ht="14.25" x14ac:dyDescent="0.15">
      <c r="A436" s="20" t="s">
        <v>8</v>
      </c>
      <c r="B436" s="27">
        <v>35043</v>
      </c>
      <c r="C436" s="27">
        <v>5</v>
      </c>
      <c r="D436" s="44" t="s">
        <v>1178</v>
      </c>
      <c r="E436" s="100" t="s">
        <v>1757</v>
      </c>
      <c r="F436" s="114" t="s">
        <v>1179</v>
      </c>
      <c r="J436" s="27">
        <v>1</v>
      </c>
      <c r="K436" s="27">
        <v>95043</v>
      </c>
      <c r="L436" s="27">
        <v>3</v>
      </c>
      <c r="N436" s="27">
        <v>12</v>
      </c>
      <c r="O436" s="30"/>
      <c r="P436" s="6" t="s">
        <v>807</v>
      </c>
      <c r="Q436" s="30"/>
      <c r="R436" s="29"/>
      <c r="S436" s="29" t="s">
        <v>803</v>
      </c>
    </row>
    <row r="437" spans="1:19" s="27" customFormat="1" ht="14.25" x14ac:dyDescent="0.15">
      <c r="A437" s="20" t="s">
        <v>8</v>
      </c>
      <c r="B437" s="27">
        <v>35051</v>
      </c>
      <c r="C437" s="27">
        <v>5</v>
      </c>
      <c r="D437" s="44" t="s">
        <v>1180</v>
      </c>
      <c r="E437" s="100" t="s">
        <v>1759</v>
      </c>
      <c r="F437" s="114" t="s">
        <v>1183</v>
      </c>
      <c r="H437" s="27">
        <v>1125</v>
      </c>
      <c r="J437" s="27">
        <v>1</v>
      </c>
      <c r="K437" s="27">
        <v>95051</v>
      </c>
      <c r="L437" s="27">
        <v>1</v>
      </c>
      <c r="N437" s="27">
        <v>12</v>
      </c>
      <c r="O437" s="30"/>
      <c r="P437" s="6" t="s">
        <v>792</v>
      </c>
      <c r="Q437" s="30"/>
      <c r="R437" s="29"/>
      <c r="S437" s="29" t="s">
        <v>803</v>
      </c>
    </row>
    <row r="438" spans="1:19" s="27" customFormat="1" ht="14.25" x14ac:dyDescent="0.15">
      <c r="A438" s="20" t="s">
        <v>8</v>
      </c>
      <c r="B438" s="27">
        <v>35052</v>
      </c>
      <c r="C438" s="27">
        <v>5</v>
      </c>
      <c r="D438" s="44" t="s">
        <v>1181</v>
      </c>
      <c r="E438" s="100" t="s">
        <v>1760</v>
      </c>
      <c r="F438" s="114" t="s">
        <v>1183</v>
      </c>
      <c r="J438" s="27">
        <v>1</v>
      </c>
      <c r="K438" s="27">
        <v>95052</v>
      </c>
      <c r="L438" s="27">
        <v>2</v>
      </c>
      <c r="N438" s="27">
        <v>12</v>
      </c>
      <c r="O438" s="30"/>
      <c r="P438" s="6" t="s">
        <v>806</v>
      </c>
      <c r="Q438" s="30"/>
      <c r="R438" s="29"/>
      <c r="S438" s="29" t="s">
        <v>803</v>
      </c>
    </row>
    <row r="439" spans="1:19" s="27" customFormat="1" ht="14.25" x14ac:dyDescent="0.15">
      <c r="A439" s="20" t="s">
        <v>8</v>
      </c>
      <c r="B439" s="27">
        <v>35053</v>
      </c>
      <c r="C439" s="27">
        <v>5</v>
      </c>
      <c r="D439" s="44" t="s">
        <v>1182</v>
      </c>
      <c r="E439" s="100" t="s">
        <v>1760</v>
      </c>
      <c r="F439" s="114" t="s">
        <v>1183</v>
      </c>
      <c r="J439" s="27">
        <v>1</v>
      </c>
      <c r="K439" s="27">
        <v>95053</v>
      </c>
      <c r="L439" s="27">
        <v>3</v>
      </c>
      <c r="N439" s="27">
        <v>12</v>
      </c>
      <c r="O439" s="30"/>
      <c r="P439" s="6" t="s">
        <v>807</v>
      </c>
      <c r="Q439" s="30"/>
      <c r="R439" s="29"/>
      <c r="S439" s="29" t="s">
        <v>803</v>
      </c>
    </row>
    <row r="440" spans="1:19" s="27" customFormat="1" ht="14.25" x14ac:dyDescent="0.15">
      <c r="A440" s="20" t="s">
        <v>8</v>
      </c>
      <c r="B440" s="27">
        <v>35061</v>
      </c>
      <c r="C440" s="27">
        <v>5</v>
      </c>
      <c r="D440" s="44" t="s">
        <v>755</v>
      </c>
      <c r="E440" s="100" t="s">
        <v>1322</v>
      </c>
      <c r="F440" s="114" t="s">
        <v>1184</v>
      </c>
      <c r="H440" s="27">
        <v>1276</v>
      </c>
      <c r="J440" s="29">
        <v>1</v>
      </c>
      <c r="K440" s="27">
        <v>95061</v>
      </c>
      <c r="L440" s="27">
        <v>1</v>
      </c>
      <c r="N440" s="27">
        <v>12</v>
      </c>
      <c r="O440" s="30"/>
      <c r="P440" s="6" t="s">
        <v>792</v>
      </c>
      <c r="Q440" s="30"/>
      <c r="R440" s="29"/>
      <c r="S440" s="29" t="s">
        <v>803</v>
      </c>
    </row>
    <row r="441" spans="1:19" s="27" customFormat="1" ht="14.25" x14ac:dyDescent="0.15">
      <c r="A441" s="20" t="s">
        <v>8</v>
      </c>
      <c r="B441" s="27">
        <v>35062</v>
      </c>
      <c r="C441" s="27">
        <v>5</v>
      </c>
      <c r="D441" s="44" t="s">
        <v>756</v>
      </c>
      <c r="E441" s="100" t="s">
        <v>1322</v>
      </c>
      <c r="F441" s="114" t="s">
        <v>1184</v>
      </c>
      <c r="J441" s="29">
        <v>1</v>
      </c>
      <c r="K441" s="27">
        <v>95062</v>
      </c>
      <c r="L441" s="27">
        <v>2</v>
      </c>
      <c r="N441" s="27">
        <v>12</v>
      </c>
      <c r="O441" s="30"/>
      <c r="P441" s="6" t="s">
        <v>806</v>
      </c>
      <c r="Q441" s="30"/>
      <c r="R441" s="29"/>
      <c r="S441" s="29" t="s">
        <v>803</v>
      </c>
    </row>
    <row r="442" spans="1:19" s="27" customFormat="1" ht="14.25" x14ac:dyDescent="0.15">
      <c r="A442" s="20" t="s">
        <v>8</v>
      </c>
      <c r="B442" s="27">
        <v>35063</v>
      </c>
      <c r="C442" s="27">
        <v>5</v>
      </c>
      <c r="D442" s="44" t="s">
        <v>757</v>
      </c>
      <c r="E442" s="100" t="s">
        <v>1322</v>
      </c>
      <c r="F442" s="114" t="s">
        <v>1184</v>
      </c>
      <c r="J442" s="29">
        <v>1</v>
      </c>
      <c r="K442" s="27">
        <v>95063</v>
      </c>
      <c r="L442" s="27">
        <v>3</v>
      </c>
      <c r="N442" s="27">
        <v>12</v>
      </c>
      <c r="O442" s="30"/>
      <c r="P442" s="6" t="s">
        <v>807</v>
      </c>
      <c r="Q442" s="30"/>
      <c r="R442" s="29"/>
      <c r="S442" s="29" t="s">
        <v>803</v>
      </c>
    </row>
    <row r="443" spans="1:19" s="27" customFormat="1" ht="14.25" x14ac:dyDescent="0.15">
      <c r="A443" s="20" t="s">
        <v>8</v>
      </c>
      <c r="B443" s="27">
        <v>35071</v>
      </c>
      <c r="C443" s="27">
        <v>5</v>
      </c>
      <c r="D443" s="44" t="s">
        <v>1400</v>
      </c>
      <c r="E443" s="93" t="s">
        <v>1422</v>
      </c>
      <c r="F443" s="114" t="s">
        <v>1437</v>
      </c>
      <c r="H443" s="27">
        <v>1650</v>
      </c>
      <c r="J443" s="29">
        <v>1</v>
      </c>
      <c r="K443" s="27">
        <v>95071</v>
      </c>
      <c r="L443" s="27">
        <v>1</v>
      </c>
      <c r="N443" s="27">
        <v>12</v>
      </c>
      <c r="O443" s="30"/>
      <c r="P443" s="6" t="s">
        <v>792</v>
      </c>
      <c r="Q443" s="30"/>
      <c r="R443" s="29"/>
      <c r="S443" s="29" t="s">
        <v>803</v>
      </c>
    </row>
    <row r="444" spans="1:19" s="27" customFormat="1" ht="14.25" x14ac:dyDescent="0.15">
      <c r="A444" s="20" t="s">
        <v>8</v>
      </c>
      <c r="B444" s="27">
        <v>35072</v>
      </c>
      <c r="C444" s="27">
        <v>5</v>
      </c>
      <c r="D444" s="44" t="s">
        <v>1401</v>
      </c>
      <c r="E444" s="93" t="s">
        <v>1422</v>
      </c>
      <c r="F444" s="114" t="s">
        <v>1437</v>
      </c>
      <c r="J444" s="29">
        <v>1</v>
      </c>
      <c r="K444" s="27">
        <v>95072</v>
      </c>
      <c r="L444" s="27">
        <v>2</v>
      </c>
      <c r="N444" s="27">
        <v>12</v>
      </c>
      <c r="O444" s="30"/>
      <c r="P444" s="6" t="s">
        <v>806</v>
      </c>
      <c r="Q444" s="30"/>
      <c r="R444" s="29"/>
      <c r="S444" s="29" t="s">
        <v>803</v>
      </c>
    </row>
    <row r="445" spans="1:19" s="27" customFormat="1" ht="14.25" x14ac:dyDescent="0.15">
      <c r="A445" s="20" t="s">
        <v>8</v>
      </c>
      <c r="B445" s="27">
        <v>35073</v>
      </c>
      <c r="C445" s="27">
        <v>5</v>
      </c>
      <c r="D445" s="44" t="s">
        <v>1402</v>
      </c>
      <c r="E445" s="93" t="s">
        <v>1422</v>
      </c>
      <c r="F445" s="114" t="s">
        <v>1437</v>
      </c>
      <c r="J445" s="29">
        <v>1</v>
      </c>
      <c r="K445" s="27">
        <v>95073</v>
      </c>
      <c r="L445" s="27">
        <v>3</v>
      </c>
      <c r="N445" s="27">
        <v>12</v>
      </c>
      <c r="O445" s="30"/>
      <c r="P445" s="6" t="s">
        <v>807</v>
      </c>
      <c r="Q445" s="30"/>
      <c r="R445" s="29"/>
      <c r="S445" s="29" t="s">
        <v>803</v>
      </c>
    </row>
    <row r="446" spans="1:19" s="27" customFormat="1" ht="14.25" x14ac:dyDescent="0.15">
      <c r="A446" s="20" t="s">
        <v>8</v>
      </c>
      <c r="B446" s="27">
        <v>35081</v>
      </c>
      <c r="C446" s="27">
        <v>5</v>
      </c>
      <c r="D446" s="44" t="s">
        <v>1403</v>
      </c>
      <c r="E446" s="93" t="s">
        <v>1423</v>
      </c>
      <c r="F446" s="114" t="s">
        <v>1438</v>
      </c>
      <c r="H446" s="27">
        <v>841</v>
      </c>
      <c r="J446" s="29">
        <v>1</v>
      </c>
      <c r="K446" s="27">
        <v>95081</v>
      </c>
      <c r="L446" s="27">
        <v>1</v>
      </c>
      <c r="N446" s="27">
        <v>12</v>
      </c>
      <c r="O446" s="30"/>
      <c r="P446" s="6" t="s">
        <v>792</v>
      </c>
      <c r="Q446" s="30"/>
      <c r="R446" s="29"/>
      <c r="S446" s="29" t="s">
        <v>803</v>
      </c>
    </row>
    <row r="447" spans="1:19" s="27" customFormat="1" ht="14.25" x14ac:dyDescent="0.15">
      <c r="A447" s="20" t="s">
        <v>8</v>
      </c>
      <c r="B447" s="27">
        <v>35082</v>
      </c>
      <c r="C447" s="27">
        <v>5</v>
      </c>
      <c r="D447" s="44" t="s">
        <v>1404</v>
      </c>
      <c r="E447" s="93" t="s">
        <v>1423</v>
      </c>
      <c r="F447" s="114" t="s">
        <v>1438</v>
      </c>
      <c r="J447" s="29">
        <v>1</v>
      </c>
      <c r="K447" s="27">
        <v>95082</v>
      </c>
      <c r="L447" s="27">
        <v>2</v>
      </c>
      <c r="N447" s="27">
        <v>12</v>
      </c>
      <c r="O447" s="30"/>
      <c r="P447" s="6" t="s">
        <v>806</v>
      </c>
      <c r="Q447" s="30"/>
      <c r="R447" s="29"/>
      <c r="S447" s="29" t="s">
        <v>803</v>
      </c>
    </row>
    <row r="448" spans="1:19" s="27" customFormat="1" ht="14.25" x14ac:dyDescent="0.15">
      <c r="A448" s="20" t="s">
        <v>8</v>
      </c>
      <c r="B448" s="27">
        <v>35083</v>
      </c>
      <c r="C448" s="27">
        <v>5</v>
      </c>
      <c r="D448" s="44" t="s">
        <v>1405</v>
      </c>
      <c r="E448" s="93" t="s">
        <v>1423</v>
      </c>
      <c r="F448" s="114" t="s">
        <v>1438</v>
      </c>
      <c r="J448" s="29">
        <v>1</v>
      </c>
      <c r="K448" s="27">
        <v>95083</v>
      </c>
      <c r="L448" s="27">
        <v>3</v>
      </c>
      <c r="N448" s="27">
        <v>12</v>
      </c>
      <c r="O448" s="30"/>
      <c r="P448" s="6" t="s">
        <v>807</v>
      </c>
      <c r="Q448" s="30"/>
      <c r="R448" s="29"/>
      <c r="S448" s="29" t="s">
        <v>803</v>
      </c>
    </row>
    <row r="449" spans="1:20" s="29" customFormat="1" ht="14.25" x14ac:dyDescent="0.15">
      <c r="A449" s="28" t="s">
        <v>8</v>
      </c>
      <c r="B449" s="29">
        <v>36011</v>
      </c>
      <c r="C449" s="29">
        <v>5</v>
      </c>
      <c r="D449" s="30" t="s">
        <v>1185</v>
      </c>
      <c r="E449" s="100" t="s">
        <v>1761</v>
      </c>
      <c r="F449" s="113" t="s">
        <v>1188</v>
      </c>
      <c r="H449" s="27">
        <v>698</v>
      </c>
      <c r="I449" s="27"/>
      <c r="J449" s="29">
        <v>1</v>
      </c>
      <c r="K449" s="27">
        <v>96011</v>
      </c>
      <c r="L449" s="27">
        <v>1</v>
      </c>
      <c r="N449" s="29">
        <v>13</v>
      </c>
      <c r="O449" s="30"/>
      <c r="P449" s="6" t="s">
        <v>792</v>
      </c>
      <c r="Q449" s="30"/>
      <c r="S449" s="29" t="s">
        <v>803</v>
      </c>
      <c r="T449" s="27"/>
    </row>
    <row r="450" spans="1:20" s="29" customFormat="1" ht="14.25" x14ac:dyDescent="0.15">
      <c r="A450" s="28" t="s">
        <v>8</v>
      </c>
      <c r="B450" s="29">
        <v>36012</v>
      </c>
      <c r="C450" s="29">
        <v>5</v>
      </c>
      <c r="D450" s="30" t="s">
        <v>1186</v>
      </c>
      <c r="E450" s="100" t="s">
        <v>1761</v>
      </c>
      <c r="F450" s="113" t="s">
        <v>1188</v>
      </c>
      <c r="H450" s="27"/>
      <c r="I450" s="27"/>
      <c r="J450" s="29">
        <v>1</v>
      </c>
      <c r="K450" s="27">
        <v>96012</v>
      </c>
      <c r="L450" s="27">
        <v>2</v>
      </c>
      <c r="N450" s="29">
        <v>13</v>
      </c>
      <c r="O450" s="30"/>
      <c r="P450" s="6" t="s">
        <v>806</v>
      </c>
      <c r="Q450" s="30"/>
      <c r="S450" s="29" t="s">
        <v>803</v>
      </c>
      <c r="T450" s="27"/>
    </row>
    <row r="451" spans="1:20" s="29" customFormat="1" ht="14.25" x14ac:dyDescent="0.15">
      <c r="A451" s="28" t="s">
        <v>8</v>
      </c>
      <c r="B451" s="29">
        <v>36013</v>
      </c>
      <c r="C451" s="29">
        <v>5</v>
      </c>
      <c r="D451" s="30" t="s">
        <v>1187</v>
      </c>
      <c r="E451" s="100" t="s">
        <v>1762</v>
      </c>
      <c r="F451" s="113" t="s">
        <v>1188</v>
      </c>
      <c r="H451" s="27"/>
      <c r="I451" s="27"/>
      <c r="J451" s="29">
        <v>1</v>
      </c>
      <c r="K451" s="27">
        <v>96013</v>
      </c>
      <c r="L451" s="27">
        <v>3</v>
      </c>
      <c r="N451" s="29">
        <v>13</v>
      </c>
      <c r="O451" s="30"/>
      <c r="P451" s="6" t="s">
        <v>807</v>
      </c>
      <c r="Q451" s="30"/>
      <c r="S451" s="29" t="s">
        <v>803</v>
      </c>
      <c r="T451" s="27"/>
    </row>
    <row r="452" spans="1:20" s="29" customFormat="1" ht="14.25" x14ac:dyDescent="0.15">
      <c r="A452" s="28" t="s">
        <v>8</v>
      </c>
      <c r="B452" s="29">
        <v>36021</v>
      </c>
      <c r="C452" s="29">
        <v>5</v>
      </c>
      <c r="D452" s="82" t="s">
        <v>1192</v>
      </c>
      <c r="E452" s="93" t="s">
        <v>1323</v>
      </c>
      <c r="F452" s="113" t="s">
        <v>1195</v>
      </c>
      <c r="H452" s="27">
        <v>270</v>
      </c>
      <c r="I452" s="27"/>
      <c r="J452" s="27">
        <v>1</v>
      </c>
      <c r="K452" s="27">
        <v>96021</v>
      </c>
      <c r="L452" s="27">
        <v>1</v>
      </c>
      <c r="N452" s="29">
        <v>13</v>
      </c>
      <c r="O452" s="30"/>
      <c r="P452" s="6" t="s">
        <v>792</v>
      </c>
      <c r="Q452" s="30"/>
      <c r="S452" s="29" t="s">
        <v>803</v>
      </c>
      <c r="T452" s="27"/>
    </row>
    <row r="453" spans="1:20" s="29" customFormat="1" ht="14.25" x14ac:dyDescent="0.15">
      <c r="A453" s="28" t="s">
        <v>8</v>
      </c>
      <c r="B453" s="29">
        <v>36022</v>
      </c>
      <c r="C453" s="29">
        <v>5</v>
      </c>
      <c r="D453" s="82" t="s">
        <v>1193</v>
      </c>
      <c r="E453" s="93" t="s">
        <v>1763</v>
      </c>
      <c r="F453" s="113" t="s">
        <v>1195</v>
      </c>
      <c r="H453" s="27"/>
      <c r="I453" s="27"/>
      <c r="J453" s="27">
        <v>1</v>
      </c>
      <c r="K453" s="27">
        <v>96022</v>
      </c>
      <c r="L453" s="27">
        <v>2</v>
      </c>
      <c r="N453" s="29">
        <v>13</v>
      </c>
      <c r="O453" s="30"/>
      <c r="P453" s="6" t="s">
        <v>806</v>
      </c>
      <c r="Q453" s="30"/>
      <c r="S453" s="29" t="s">
        <v>803</v>
      </c>
      <c r="T453" s="27"/>
    </row>
    <row r="454" spans="1:20" s="29" customFormat="1" ht="14.25" x14ac:dyDescent="0.15">
      <c r="A454" s="28" t="s">
        <v>8</v>
      </c>
      <c r="B454" s="29">
        <v>36023</v>
      </c>
      <c r="C454" s="29">
        <v>5</v>
      </c>
      <c r="D454" s="82" t="s">
        <v>1194</v>
      </c>
      <c r="E454" s="93" t="s">
        <v>1763</v>
      </c>
      <c r="F454" s="113" t="s">
        <v>1195</v>
      </c>
      <c r="H454" s="27"/>
      <c r="I454" s="27"/>
      <c r="J454" s="27">
        <v>1</v>
      </c>
      <c r="K454" s="27">
        <v>96023</v>
      </c>
      <c r="L454" s="27">
        <v>3</v>
      </c>
      <c r="N454" s="29">
        <v>13</v>
      </c>
      <c r="O454" s="30"/>
      <c r="P454" s="6" t="s">
        <v>807</v>
      </c>
      <c r="Q454" s="30"/>
      <c r="S454" s="29" t="s">
        <v>803</v>
      </c>
      <c r="T454" s="27"/>
    </row>
    <row r="455" spans="1:20" s="29" customFormat="1" ht="14.25" x14ac:dyDescent="0.15">
      <c r="A455" s="28" t="s">
        <v>8</v>
      </c>
      <c r="B455" s="29">
        <v>36031</v>
      </c>
      <c r="C455" s="29">
        <v>5</v>
      </c>
      <c r="D455" s="82" t="s">
        <v>1189</v>
      </c>
      <c r="E455" s="93" t="s">
        <v>1764</v>
      </c>
      <c r="F455" s="113" t="s">
        <v>768</v>
      </c>
      <c r="H455" s="27">
        <v>1440</v>
      </c>
      <c r="I455" s="27"/>
      <c r="J455" s="27">
        <v>1</v>
      </c>
      <c r="K455" s="27">
        <v>96031</v>
      </c>
      <c r="L455" s="27">
        <v>1</v>
      </c>
      <c r="N455" s="29">
        <v>13</v>
      </c>
      <c r="O455" s="30"/>
      <c r="P455" s="6" t="s">
        <v>792</v>
      </c>
      <c r="Q455" s="30"/>
      <c r="S455" s="29" t="s">
        <v>803</v>
      </c>
      <c r="T455" s="27"/>
    </row>
    <row r="456" spans="1:20" s="29" customFormat="1" ht="14.25" x14ac:dyDescent="0.15">
      <c r="A456" s="28" t="s">
        <v>8</v>
      </c>
      <c r="B456" s="29">
        <v>36032</v>
      </c>
      <c r="C456" s="29">
        <v>5</v>
      </c>
      <c r="D456" s="82" t="s">
        <v>1190</v>
      </c>
      <c r="E456" s="93" t="s">
        <v>1764</v>
      </c>
      <c r="F456" s="113" t="s">
        <v>768</v>
      </c>
      <c r="H456" s="27"/>
      <c r="I456" s="27"/>
      <c r="J456" s="27">
        <v>1</v>
      </c>
      <c r="K456" s="27">
        <v>96032</v>
      </c>
      <c r="L456" s="27">
        <v>2</v>
      </c>
      <c r="N456" s="29">
        <v>13</v>
      </c>
      <c r="O456" s="30"/>
      <c r="P456" s="6" t="s">
        <v>806</v>
      </c>
      <c r="Q456" s="30"/>
      <c r="S456" s="29" t="s">
        <v>803</v>
      </c>
      <c r="T456" s="27"/>
    </row>
    <row r="457" spans="1:20" s="29" customFormat="1" ht="14.25" x14ac:dyDescent="0.15">
      <c r="A457" s="28" t="s">
        <v>8</v>
      </c>
      <c r="B457" s="29">
        <v>36033</v>
      </c>
      <c r="C457" s="29">
        <v>5</v>
      </c>
      <c r="D457" s="82" t="s">
        <v>1191</v>
      </c>
      <c r="E457" s="93" t="s">
        <v>1765</v>
      </c>
      <c r="F457" s="113" t="s">
        <v>768</v>
      </c>
      <c r="H457" s="27"/>
      <c r="I457" s="27"/>
      <c r="J457" s="27">
        <v>1</v>
      </c>
      <c r="K457" s="27">
        <v>96033</v>
      </c>
      <c r="L457" s="27">
        <v>3</v>
      </c>
      <c r="N457" s="29">
        <v>13</v>
      </c>
      <c r="O457" s="30"/>
      <c r="P457" s="6" t="s">
        <v>807</v>
      </c>
      <c r="Q457" s="30"/>
      <c r="S457" s="29" t="s">
        <v>803</v>
      </c>
      <c r="T457" s="27"/>
    </row>
    <row r="458" spans="1:20" s="29" customFormat="1" ht="14.25" x14ac:dyDescent="0.15">
      <c r="A458" s="28" t="s">
        <v>8</v>
      </c>
      <c r="B458" s="29">
        <v>36041</v>
      </c>
      <c r="C458" s="29">
        <v>5</v>
      </c>
      <c r="D458" s="30" t="s">
        <v>1196</v>
      </c>
      <c r="E458" s="93" t="s">
        <v>1766</v>
      </c>
      <c r="F458" s="113" t="s">
        <v>1199</v>
      </c>
      <c r="H458" s="27">
        <v>16817</v>
      </c>
      <c r="I458" s="27"/>
      <c r="J458" s="27">
        <v>1</v>
      </c>
      <c r="K458" s="27">
        <v>96041</v>
      </c>
      <c r="L458" s="27">
        <v>1</v>
      </c>
      <c r="N458" s="29">
        <v>13</v>
      </c>
      <c r="O458" s="30"/>
      <c r="P458" s="6" t="s">
        <v>792</v>
      </c>
      <c r="Q458" s="30"/>
      <c r="S458" s="29" t="s">
        <v>803</v>
      </c>
      <c r="T458" s="27"/>
    </row>
    <row r="459" spans="1:20" s="29" customFormat="1" ht="14.25" x14ac:dyDescent="0.15">
      <c r="A459" s="28" t="s">
        <v>8</v>
      </c>
      <c r="B459" s="29">
        <v>36042</v>
      </c>
      <c r="C459" s="29">
        <v>5</v>
      </c>
      <c r="D459" s="30" t="s">
        <v>1197</v>
      </c>
      <c r="E459" s="93" t="s">
        <v>1766</v>
      </c>
      <c r="F459" s="113" t="s">
        <v>1199</v>
      </c>
      <c r="H459" s="27"/>
      <c r="I459" s="27"/>
      <c r="J459" s="27">
        <v>1</v>
      </c>
      <c r="K459" s="27">
        <v>96042</v>
      </c>
      <c r="L459" s="27">
        <v>2</v>
      </c>
      <c r="N459" s="29">
        <v>13</v>
      </c>
      <c r="O459" s="30"/>
      <c r="P459" s="6" t="s">
        <v>806</v>
      </c>
      <c r="Q459" s="30"/>
      <c r="S459" s="29" t="s">
        <v>803</v>
      </c>
      <c r="T459" s="27"/>
    </row>
    <row r="460" spans="1:20" s="29" customFormat="1" ht="14.25" x14ac:dyDescent="0.15">
      <c r="A460" s="28" t="s">
        <v>8</v>
      </c>
      <c r="B460" s="29">
        <v>36043</v>
      </c>
      <c r="C460" s="29">
        <v>5</v>
      </c>
      <c r="D460" s="30" t="s">
        <v>1198</v>
      </c>
      <c r="E460" s="93" t="s">
        <v>1766</v>
      </c>
      <c r="F460" s="113" t="s">
        <v>1199</v>
      </c>
      <c r="H460" s="27"/>
      <c r="I460" s="27"/>
      <c r="J460" s="27">
        <v>1</v>
      </c>
      <c r="K460" s="27">
        <v>96043</v>
      </c>
      <c r="L460" s="27">
        <v>3</v>
      </c>
      <c r="N460" s="29">
        <v>13</v>
      </c>
      <c r="O460" s="30"/>
      <c r="P460" s="6" t="s">
        <v>807</v>
      </c>
      <c r="Q460" s="30"/>
      <c r="S460" s="29" t="s">
        <v>803</v>
      </c>
      <c r="T460" s="27"/>
    </row>
    <row r="461" spans="1:20" s="29" customFormat="1" ht="14.25" x14ac:dyDescent="0.15">
      <c r="A461" s="28" t="s">
        <v>8</v>
      </c>
      <c r="B461" s="29">
        <v>36051</v>
      </c>
      <c r="C461" s="29">
        <v>5</v>
      </c>
      <c r="D461" s="30" t="s">
        <v>1406</v>
      </c>
      <c r="E461" s="93" t="s">
        <v>1424</v>
      </c>
      <c r="F461" s="113" t="s">
        <v>1439</v>
      </c>
      <c r="H461" s="27">
        <v>1031</v>
      </c>
      <c r="I461" s="27"/>
      <c r="J461" s="27">
        <v>1</v>
      </c>
      <c r="K461" s="27">
        <v>96051</v>
      </c>
      <c r="L461" s="27">
        <v>1</v>
      </c>
      <c r="N461" s="29">
        <v>13</v>
      </c>
      <c r="O461" s="30"/>
      <c r="P461" s="6" t="s">
        <v>792</v>
      </c>
      <c r="Q461" s="30"/>
      <c r="S461" s="29" t="s">
        <v>803</v>
      </c>
      <c r="T461" s="27"/>
    </row>
    <row r="462" spans="1:20" s="29" customFormat="1" ht="14.25" x14ac:dyDescent="0.15">
      <c r="A462" s="28" t="s">
        <v>8</v>
      </c>
      <c r="B462" s="29">
        <v>36052</v>
      </c>
      <c r="C462" s="29">
        <v>5</v>
      </c>
      <c r="D462" s="30" t="s">
        <v>1407</v>
      </c>
      <c r="E462" s="93" t="s">
        <v>1424</v>
      </c>
      <c r="F462" s="113" t="s">
        <v>1439</v>
      </c>
      <c r="H462" s="27"/>
      <c r="I462" s="27"/>
      <c r="J462" s="27">
        <v>1</v>
      </c>
      <c r="K462" s="27">
        <v>96052</v>
      </c>
      <c r="L462" s="27">
        <v>2</v>
      </c>
      <c r="N462" s="29">
        <v>13</v>
      </c>
      <c r="O462" s="30"/>
      <c r="P462" s="6" t="s">
        <v>806</v>
      </c>
      <c r="Q462" s="30"/>
      <c r="S462" s="29" t="s">
        <v>803</v>
      </c>
      <c r="T462" s="27"/>
    </row>
    <row r="463" spans="1:20" s="29" customFormat="1" ht="14.25" x14ac:dyDescent="0.15">
      <c r="A463" s="28" t="s">
        <v>8</v>
      </c>
      <c r="B463" s="29">
        <v>36053</v>
      </c>
      <c r="C463" s="29">
        <v>5</v>
      </c>
      <c r="D463" s="30" t="s">
        <v>1408</v>
      </c>
      <c r="E463" s="93" t="s">
        <v>1424</v>
      </c>
      <c r="F463" s="113" t="s">
        <v>1439</v>
      </c>
      <c r="H463" s="27"/>
      <c r="I463" s="27"/>
      <c r="J463" s="27">
        <v>1</v>
      </c>
      <c r="K463" s="27">
        <v>96053</v>
      </c>
      <c r="L463" s="27">
        <v>3</v>
      </c>
      <c r="N463" s="29">
        <v>13</v>
      </c>
      <c r="O463" s="30"/>
      <c r="P463" s="6" t="s">
        <v>807</v>
      </c>
      <c r="Q463" s="30"/>
      <c r="S463" s="29" t="s">
        <v>803</v>
      </c>
      <c r="T463" s="27"/>
    </row>
    <row r="464" spans="1:20" s="29" customFormat="1" ht="14.25" x14ac:dyDescent="0.15">
      <c r="A464" s="28" t="s">
        <v>8</v>
      </c>
      <c r="B464" s="29">
        <v>36061</v>
      </c>
      <c r="C464" s="29">
        <v>5</v>
      </c>
      <c r="D464" s="30" t="s">
        <v>1409</v>
      </c>
      <c r="E464" s="93" t="s">
        <v>1695</v>
      </c>
      <c r="F464" s="113" t="s">
        <v>1440</v>
      </c>
      <c r="H464" s="27">
        <v>4992</v>
      </c>
      <c r="I464" s="27"/>
      <c r="J464" s="27">
        <v>1</v>
      </c>
      <c r="K464" s="27">
        <v>96061</v>
      </c>
      <c r="L464" s="27">
        <v>1</v>
      </c>
      <c r="N464" s="29">
        <v>13</v>
      </c>
      <c r="O464" s="30"/>
      <c r="P464" s="6" t="s">
        <v>792</v>
      </c>
      <c r="Q464" s="30"/>
      <c r="S464" s="29" t="s">
        <v>803</v>
      </c>
      <c r="T464" s="27"/>
    </row>
    <row r="465" spans="1:20" s="29" customFormat="1" ht="14.25" x14ac:dyDescent="0.15">
      <c r="A465" s="28" t="s">
        <v>8</v>
      </c>
      <c r="B465" s="29">
        <v>36062</v>
      </c>
      <c r="C465" s="29">
        <v>5</v>
      </c>
      <c r="D465" s="30" t="s">
        <v>1410</v>
      </c>
      <c r="E465" s="93" t="s">
        <v>1693</v>
      </c>
      <c r="F465" s="113" t="s">
        <v>1440</v>
      </c>
      <c r="H465" s="27"/>
      <c r="I465" s="27"/>
      <c r="J465" s="27">
        <v>1</v>
      </c>
      <c r="K465" s="27">
        <v>96062</v>
      </c>
      <c r="L465" s="27">
        <v>2</v>
      </c>
      <c r="N465" s="29">
        <v>13</v>
      </c>
      <c r="O465" s="30"/>
      <c r="P465" s="6" t="s">
        <v>806</v>
      </c>
      <c r="Q465" s="30"/>
      <c r="S465" s="29" t="s">
        <v>803</v>
      </c>
      <c r="T465" s="27"/>
    </row>
    <row r="466" spans="1:20" s="29" customFormat="1" ht="14.25" x14ac:dyDescent="0.15">
      <c r="A466" s="28" t="s">
        <v>8</v>
      </c>
      <c r="B466" s="29">
        <v>36063</v>
      </c>
      <c r="C466" s="29">
        <v>5</v>
      </c>
      <c r="D466" s="30" t="s">
        <v>1411</v>
      </c>
      <c r="E466" s="93" t="s">
        <v>1695</v>
      </c>
      <c r="F466" s="113" t="s">
        <v>1440</v>
      </c>
      <c r="H466" s="27"/>
      <c r="I466" s="27"/>
      <c r="J466" s="27">
        <v>1</v>
      </c>
      <c r="K466" s="27">
        <v>96063</v>
      </c>
      <c r="L466" s="27">
        <v>3</v>
      </c>
      <c r="N466" s="29">
        <v>13</v>
      </c>
      <c r="O466" s="30"/>
      <c r="P466" s="6" t="s">
        <v>807</v>
      </c>
      <c r="Q466" s="30"/>
      <c r="S466" s="29" t="s">
        <v>803</v>
      </c>
      <c r="T466" s="27"/>
    </row>
    <row r="467" spans="1:20" s="29" customFormat="1" ht="14.25" x14ac:dyDescent="0.15">
      <c r="A467" s="28" t="s">
        <v>8</v>
      </c>
      <c r="B467" s="29">
        <v>36071</v>
      </c>
      <c r="C467" s="29">
        <v>5</v>
      </c>
      <c r="D467" s="30" t="s">
        <v>1412</v>
      </c>
      <c r="E467" s="93" t="s">
        <v>1425</v>
      </c>
      <c r="F467" s="113" t="s">
        <v>1441</v>
      </c>
      <c r="H467" s="27">
        <v>10553</v>
      </c>
      <c r="I467" s="27"/>
      <c r="J467" s="27">
        <v>1</v>
      </c>
      <c r="K467" s="27">
        <v>96071</v>
      </c>
      <c r="L467" s="27">
        <v>1</v>
      </c>
      <c r="N467" s="29">
        <v>13</v>
      </c>
      <c r="O467" s="30"/>
      <c r="P467" s="6" t="s">
        <v>792</v>
      </c>
      <c r="Q467" s="30"/>
      <c r="S467" s="29" t="s">
        <v>803</v>
      </c>
      <c r="T467" s="27"/>
    </row>
    <row r="468" spans="1:20" s="29" customFormat="1" ht="14.25" x14ac:dyDescent="0.15">
      <c r="A468" s="28" t="s">
        <v>8</v>
      </c>
      <c r="B468" s="29">
        <v>36072</v>
      </c>
      <c r="C468" s="29">
        <v>5</v>
      </c>
      <c r="D468" s="30" t="s">
        <v>1413</v>
      </c>
      <c r="E468" s="93" t="s">
        <v>1425</v>
      </c>
      <c r="F468" s="113" t="s">
        <v>1441</v>
      </c>
      <c r="H468" s="27"/>
      <c r="I468" s="27"/>
      <c r="J468" s="27">
        <v>1</v>
      </c>
      <c r="K468" s="27">
        <v>96072</v>
      </c>
      <c r="L468" s="27">
        <v>2</v>
      </c>
      <c r="N468" s="29">
        <v>13</v>
      </c>
      <c r="O468" s="30"/>
      <c r="P468" s="6" t="s">
        <v>806</v>
      </c>
      <c r="Q468" s="30"/>
      <c r="S468" s="29" t="s">
        <v>803</v>
      </c>
      <c r="T468" s="27"/>
    </row>
    <row r="469" spans="1:20" s="29" customFormat="1" ht="14.25" x14ac:dyDescent="0.15">
      <c r="A469" s="28" t="s">
        <v>8</v>
      </c>
      <c r="B469" s="29">
        <v>36073</v>
      </c>
      <c r="C469" s="29">
        <v>5</v>
      </c>
      <c r="D469" s="30" t="s">
        <v>1414</v>
      </c>
      <c r="E469" s="93" t="s">
        <v>1425</v>
      </c>
      <c r="F469" s="113" t="s">
        <v>1441</v>
      </c>
      <c r="H469" s="27"/>
      <c r="I469" s="27"/>
      <c r="J469" s="27">
        <v>1</v>
      </c>
      <c r="K469" s="27">
        <v>96073</v>
      </c>
      <c r="L469" s="27">
        <v>3</v>
      </c>
      <c r="N469" s="29">
        <v>13</v>
      </c>
      <c r="O469" s="30"/>
      <c r="P469" s="6" t="s">
        <v>807</v>
      </c>
      <c r="Q469" s="30"/>
      <c r="S469" s="29" t="s">
        <v>803</v>
      </c>
      <c r="T469" s="27"/>
    </row>
    <row r="470" spans="1:20" s="27" customFormat="1" ht="14.25" x14ac:dyDescent="0.15">
      <c r="A470" s="20" t="s">
        <v>8</v>
      </c>
      <c r="B470" s="27">
        <v>37011</v>
      </c>
      <c r="C470" s="27">
        <v>5</v>
      </c>
      <c r="D470" s="44" t="s">
        <v>758</v>
      </c>
      <c r="E470" s="100" t="s">
        <v>1324</v>
      </c>
      <c r="F470" s="114" t="s">
        <v>1200</v>
      </c>
      <c r="H470" s="27">
        <v>180</v>
      </c>
      <c r="J470" s="29">
        <v>1</v>
      </c>
      <c r="K470" s="27">
        <v>97011</v>
      </c>
      <c r="L470" s="27">
        <v>1</v>
      </c>
      <c r="N470" s="27">
        <v>21</v>
      </c>
      <c r="O470" s="30"/>
      <c r="P470" s="6" t="s">
        <v>792</v>
      </c>
      <c r="Q470" s="30"/>
      <c r="S470" s="27" t="s">
        <v>804</v>
      </c>
    </row>
    <row r="471" spans="1:20" s="27" customFormat="1" ht="14.25" x14ac:dyDescent="0.15">
      <c r="A471" s="20" t="s">
        <v>8</v>
      </c>
      <c r="B471" s="27">
        <v>37012</v>
      </c>
      <c r="C471" s="27">
        <v>5</v>
      </c>
      <c r="D471" s="44" t="s">
        <v>759</v>
      </c>
      <c r="E471" s="100" t="s">
        <v>1324</v>
      </c>
      <c r="F471" s="114" t="s">
        <v>1200</v>
      </c>
      <c r="J471" s="29">
        <v>1</v>
      </c>
      <c r="K471" s="27">
        <v>97012</v>
      </c>
      <c r="L471" s="27">
        <v>2</v>
      </c>
      <c r="N471" s="27">
        <v>21</v>
      </c>
      <c r="O471" s="30"/>
      <c r="P471" s="6" t="s">
        <v>806</v>
      </c>
      <c r="Q471" s="30"/>
      <c r="S471" s="27" t="s">
        <v>769</v>
      </c>
    </row>
    <row r="472" spans="1:20" s="27" customFormat="1" ht="14.25" x14ac:dyDescent="0.15">
      <c r="A472" s="20" t="s">
        <v>8</v>
      </c>
      <c r="B472" s="27">
        <v>37013</v>
      </c>
      <c r="C472" s="27">
        <v>5</v>
      </c>
      <c r="D472" s="44" t="s">
        <v>760</v>
      </c>
      <c r="E472" s="100" t="s">
        <v>1324</v>
      </c>
      <c r="F472" s="114" t="s">
        <v>1200</v>
      </c>
      <c r="J472" s="29">
        <v>1</v>
      </c>
      <c r="K472" s="27">
        <v>97013</v>
      </c>
      <c r="L472" s="27">
        <v>3</v>
      </c>
      <c r="N472" s="27">
        <v>21</v>
      </c>
      <c r="O472" s="30"/>
      <c r="P472" s="6" t="s">
        <v>807</v>
      </c>
      <c r="Q472" s="30"/>
      <c r="S472" s="27" t="s">
        <v>769</v>
      </c>
    </row>
    <row r="473" spans="1:20" s="27" customFormat="1" ht="14.25" x14ac:dyDescent="0.15">
      <c r="A473" s="20" t="s">
        <v>8</v>
      </c>
      <c r="B473" s="27">
        <v>37021</v>
      </c>
      <c r="C473" s="27">
        <v>5</v>
      </c>
      <c r="D473" s="44" t="s">
        <v>761</v>
      </c>
      <c r="E473" s="100" t="s">
        <v>1325</v>
      </c>
      <c r="F473" s="114" t="s">
        <v>1201</v>
      </c>
      <c r="H473" s="27">
        <v>322</v>
      </c>
      <c r="J473" s="29">
        <v>1</v>
      </c>
      <c r="K473" s="27">
        <v>97021</v>
      </c>
      <c r="L473" s="27">
        <v>1</v>
      </c>
      <c r="N473" s="27">
        <v>21</v>
      </c>
      <c r="O473" s="30"/>
      <c r="P473" s="6" t="s">
        <v>792</v>
      </c>
      <c r="Q473" s="30"/>
      <c r="S473" s="27" t="s">
        <v>804</v>
      </c>
    </row>
    <row r="474" spans="1:20" s="27" customFormat="1" ht="14.25" x14ac:dyDescent="0.15">
      <c r="A474" s="20" t="s">
        <v>8</v>
      </c>
      <c r="B474" s="27">
        <v>37022</v>
      </c>
      <c r="C474" s="27">
        <v>5</v>
      </c>
      <c r="D474" s="44" t="s">
        <v>762</v>
      </c>
      <c r="E474" s="100" t="s">
        <v>1325</v>
      </c>
      <c r="F474" s="114" t="s">
        <v>1201</v>
      </c>
      <c r="J474" s="29">
        <v>1</v>
      </c>
      <c r="K474" s="27">
        <v>97022</v>
      </c>
      <c r="L474" s="27">
        <v>2</v>
      </c>
      <c r="N474" s="27">
        <v>21</v>
      </c>
      <c r="O474" s="30"/>
      <c r="P474" s="6" t="s">
        <v>806</v>
      </c>
      <c r="Q474" s="30"/>
      <c r="S474" s="27" t="s">
        <v>769</v>
      </c>
    </row>
    <row r="475" spans="1:20" s="27" customFormat="1" ht="14.25" x14ac:dyDescent="0.15">
      <c r="A475" s="20" t="s">
        <v>8</v>
      </c>
      <c r="B475" s="27">
        <v>37023</v>
      </c>
      <c r="C475" s="27">
        <v>5</v>
      </c>
      <c r="D475" s="44" t="s">
        <v>763</v>
      </c>
      <c r="E475" s="100" t="s">
        <v>1325</v>
      </c>
      <c r="F475" s="114" t="s">
        <v>1201</v>
      </c>
      <c r="J475" s="29">
        <v>1</v>
      </c>
      <c r="K475" s="27">
        <v>97023</v>
      </c>
      <c r="L475" s="27">
        <v>3</v>
      </c>
      <c r="N475" s="27">
        <v>21</v>
      </c>
      <c r="O475" s="30"/>
      <c r="P475" s="6" t="s">
        <v>807</v>
      </c>
      <c r="Q475" s="30"/>
      <c r="S475" s="27" t="s">
        <v>769</v>
      </c>
    </row>
    <row r="476" spans="1:20" s="27" customFormat="1" ht="14.25" x14ac:dyDescent="0.15">
      <c r="A476" s="20" t="s">
        <v>8</v>
      </c>
      <c r="B476" s="27">
        <v>37031</v>
      </c>
      <c r="C476" s="27">
        <v>5</v>
      </c>
      <c r="D476" s="44" t="s">
        <v>1202</v>
      </c>
      <c r="E476" s="100" t="s">
        <v>1326</v>
      </c>
      <c r="F476" s="114" t="s">
        <v>1205</v>
      </c>
      <c r="H476" s="27">
        <v>1170</v>
      </c>
      <c r="J476" s="27">
        <v>1</v>
      </c>
      <c r="K476" s="27">
        <v>97031</v>
      </c>
      <c r="L476" s="27">
        <v>1</v>
      </c>
      <c r="N476" s="27">
        <v>21</v>
      </c>
      <c r="O476" s="30"/>
      <c r="P476" s="6" t="s">
        <v>792</v>
      </c>
      <c r="Q476" s="30"/>
      <c r="S476" s="27" t="s">
        <v>804</v>
      </c>
    </row>
    <row r="477" spans="1:20" s="27" customFormat="1" ht="14.25" x14ac:dyDescent="0.15">
      <c r="A477" s="20" t="s">
        <v>8</v>
      </c>
      <c r="B477" s="27">
        <v>37032</v>
      </c>
      <c r="C477" s="27">
        <v>5</v>
      </c>
      <c r="D477" s="44" t="s">
        <v>1203</v>
      </c>
      <c r="E477" s="100" t="s">
        <v>1767</v>
      </c>
      <c r="F477" s="114" t="s">
        <v>1205</v>
      </c>
      <c r="J477" s="27">
        <v>1</v>
      </c>
      <c r="K477" s="27">
        <v>97032</v>
      </c>
      <c r="L477" s="27">
        <v>2</v>
      </c>
      <c r="N477" s="27">
        <v>21</v>
      </c>
      <c r="O477" s="30"/>
      <c r="P477" s="6" t="s">
        <v>806</v>
      </c>
      <c r="Q477" s="30"/>
      <c r="S477" s="27" t="s">
        <v>769</v>
      </c>
    </row>
    <row r="478" spans="1:20" s="27" customFormat="1" ht="14.25" x14ac:dyDescent="0.15">
      <c r="A478" s="20" t="s">
        <v>8</v>
      </c>
      <c r="B478" s="27">
        <v>37033</v>
      </c>
      <c r="C478" s="27">
        <v>5</v>
      </c>
      <c r="D478" s="44" t="s">
        <v>1204</v>
      </c>
      <c r="E478" s="100" t="s">
        <v>1768</v>
      </c>
      <c r="F478" s="114" t="s">
        <v>1205</v>
      </c>
      <c r="J478" s="27">
        <v>1</v>
      </c>
      <c r="K478" s="27">
        <v>97033</v>
      </c>
      <c r="L478" s="27">
        <v>3</v>
      </c>
      <c r="N478" s="27">
        <v>21</v>
      </c>
      <c r="O478" s="30"/>
      <c r="P478" s="6" t="s">
        <v>807</v>
      </c>
      <c r="Q478" s="30"/>
      <c r="S478" s="27" t="s">
        <v>769</v>
      </c>
    </row>
    <row r="479" spans="1:20" s="27" customFormat="1" ht="14.25" x14ac:dyDescent="0.15">
      <c r="A479" s="20" t="s">
        <v>8</v>
      </c>
      <c r="B479" s="27">
        <v>37041</v>
      </c>
      <c r="C479" s="27">
        <v>5</v>
      </c>
      <c r="D479" s="44" t="s">
        <v>1208</v>
      </c>
      <c r="E479" s="100" t="s">
        <v>1769</v>
      </c>
      <c r="F479" s="114" t="s">
        <v>1209</v>
      </c>
      <c r="H479" s="27">
        <v>5115</v>
      </c>
      <c r="J479" s="27">
        <v>1</v>
      </c>
      <c r="K479" s="27">
        <v>97041</v>
      </c>
      <c r="L479" s="27">
        <v>1</v>
      </c>
      <c r="N479" s="27">
        <v>21</v>
      </c>
      <c r="O479" s="30"/>
      <c r="P479" s="6" t="s">
        <v>792</v>
      </c>
      <c r="Q479" s="30"/>
      <c r="S479" s="27" t="s">
        <v>805</v>
      </c>
    </row>
    <row r="480" spans="1:20" s="27" customFormat="1" ht="14.25" x14ac:dyDescent="0.15">
      <c r="A480" s="20" t="s">
        <v>8</v>
      </c>
      <c r="B480" s="27">
        <v>37042</v>
      </c>
      <c r="C480" s="27">
        <v>5</v>
      </c>
      <c r="D480" s="44" t="s">
        <v>1207</v>
      </c>
      <c r="E480" s="100" t="s">
        <v>1770</v>
      </c>
      <c r="F480" s="114" t="s">
        <v>1209</v>
      </c>
      <c r="J480" s="27">
        <v>1</v>
      </c>
      <c r="K480" s="27">
        <v>97042</v>
      </c>
      <c r="L480" s="27">
        <v>2</v>
      </c>
      <c r="N480" s="27">
        <v>21</v>
      </c>
      <c r="O480" s="30"/>
      <c r="P480" s="6" t="s">
        <v>806</v>
      </c>
      <c r="Q480" s="30"/>
      <c r="S480" s="27" t="s">
        <v>769</v>
      </c>
    </row>
    <row r="481" spans="1:20" s="27" customFormat="1" ht="14.25" x14ac:dyDescent="0.15">
      <c r="A481" s="20" t="s">
        <v>8</v>
      </c>
      <c r="B481" s="27">
        <v>37043</v>
      </c>
      <c r="C481" s="27">
        <v>5</v>
      </c>
      <c r="D481" s="44" t="s">
        <v>1206</v>
      </c>
      <c r="E481" s="100" t="s">
        <v>1769</v>
      </c>
      <c r="F481" s="114" t="s">
        <v>1209</v>
      </c>
      <c r="J481" s="27">
        <v>1</v>
      </c>
      <c r="K481" s="27">
        <v>97043</v>
      </c>
      <c r="L481" s="27">
        <v>3</v>
      </c>
      <c r="N481" s="27">
        <v>21</v>
      </c>
      <c r="O481" s="30"/>
      <c r="P481" s="6" t="s">
        <v>807</v>
      </c>
      <c r="Q481" s="30"/>
      <c r="S481" s="27" t="s">
        <v>769</v>
      </c>
    </row>
    <row r="482" spans="1:20" s="27" customFormat="1" ht="14.25" x14ac:dyDescent="0.15">
      <c r="A482" s="20" t="s">
        <v>8</v>
      </c>
      <c r="B482" s="27">
        <v>37051</v>
      </c>
      <c r="C482" s="27">
        <v>5</v>
      </c>
      <c r="D482" s="44" t="s">
        <v>1093</v>
      </c>
      <c r="E482" s="100" t="s">
        <v>1771</v>
      </c>
      <c r="F482" s="114" t="s">
        <v>1210</v>
      </c>
      <c r="H482" s="27">
        <v>22727</v>
      </c>
      <c r="J482" s="27">
        <v>1</v>
      </c>
      <c r="K482" s="27">
        <v>97051</v>
      </c>
      <c r="L482" s="27">
        <v>1</v>
      </c>
      <c r="N482" s="27">
        <v>21</v>
      </c>
      <c r="O482" s="30"/>
      <c r="P482" s="6" t="s">
        <v>792</v>
      </c>
      <c r="Q482" s="30"/>
      <c r="S482" s="27" t="s">
        <v>805</v>
      </c>
    </row>
    <row r="483" spans="1:20" s="27" customFormat="1" ht="14.25" x14ac:dyDescent="0.15">
      <c r="A483" s="20" t="s">
        <v>8</v>
      </c>
      <c r="B483" s="27">
        <v>37052</v>
      </c>
      <c r="C483" s="27">
        <v>5</v>
      </c>
      <c r="D483" s="44" t="s">
        <v>1094</v>
      </c>
      <c r="E483" s="100" t="s">
        <v>1771</v>
      </c>
      <c r="F483" s="114" t="s">
        <v>1210</v>
      </c>
      <c r="J483" s="27">
        <v>1</v>
      </c>
      <c r="K483" s="27">
        <v>97052</v>
      </c>
      <c r="L483" s="27">
        <v>2</v>
      </c>
      <c r="N483" s="27">
        <v>21</v>
      </c>
      <c r="O483" s="30"/>
      <c r="P483" s="6" t="s">
        <v>806</v>
      </c>
      <c r="Q483" s="30"/>
      <c r="S483" s="27" t="s">
        <v>769</v>
      </c>
    </row>
    <row r="484" spans="1:20" s="27" customFormat="1" ht="14.25" x14ac:dyDescent="0.15">
      <c r="A484" s="20" t="s">
        <v>8</v>
      </c>
      <c r="B484" s="27">
        <v>37053</v>
      </c>
      <c r="C484" s="27">
        <v>5</v>
      </c>
      <c r="D484" s="44" t="s">
        <v>1095</v>
      </c>
      <c r="E484" s="100" t="s">
        <v>1771</v>
      </c>
      <c r="F484" s="114" t="s">
        <v>1210</v>
      </c>
      <c r="J484" s="27">
        <v>1</v>
      </c>
      <c r="K484" s="27">
        <v>97053</v>
      </c>
      <c r="L484" s="27">
        <v>3</v>
      </c>
      <c r="N484" s="27">
        <v>21</v>
      </c>
      <c r="O484" s="30"/>
      <c r="P484" s="6" t="s">
        <v>807</v>
      </c>
      <c r="Q484" s="30"/>
      <c r="S484" s="27" t="s">
        <v>769</v>
      </c>
    </row>
    <row r="485" spans="1:20" s="27" customFormat="1" ht="14.25" x14ac:dyDescent="0.15">
      <c r="A485" s="20" t="s">
        <v>8</v>
      </c>
      <c r="B485" s="27">
        <v>37061</v>
      </c>
      <c r="C485" s="27">
        <v>5</v>
      </c>
      <c r="D485" s="44" t="s">
        <v>1211</v>
      </c>
      <c r="E485" s="100" t="s">
        <v>1096</v>
      </c>
      <c r="F485" s="114" t="s">
        <v>1214</v>
      </c>
      <c r="H485" s="27">
        <v>1683</v>
      </c>
      <c r="J485" s="27">
        <v>1</v>
      </c>
      <c r="K485" s="27">
        <v>97061</v>
      </c>
      <c r="L485" s="27">
        <v>1</v>
      </c>
      <c r="N485" s="27">
        <v>21</v>
      </c>
      <c r="O485" s="30"/>
      <c r="P485" s="6" t="s">
        <v>792</v>
      </c>
      <c r="Q485" s="30"/>
      <c r="S485" s="27" t="s">
        <v>804</v>
      </c>
    </row>
    <row r="486" spans="1:20" s="27" customFormat="1" ht="14.25" x14ac:dyDescent="0.15">
      <c r="A486" s="20" t="s">
        <v>8</v>
      </c>
      <c r="B486" s="27">
        <v>37062</v>
      </c>
      <c r="C486" s="27">
        <v>5</v>
      </c>
      <c r="D486" s="44" t="s">
        <v>1212</v>
      </c>
      <c r="E486" s="100" t="s">
        <v>1772</v>
      </c>
      <c r="F486" s="114" t="s">
        <v>1214</v>
      </c>
      <c r="J486" s="27">
        <v>1</v>
      </c>
      <c r="K486" s="27">
        <v>97062</v>
      </c>
      <c r="L486" s="27">
        <v>2</v>
      </c>
      <c r="N486" s="27">
        <v>21</v>
      </c>
      <c r="O486" s="30"/>
      <c r="P486" s="6" t="s">
        <v>806</v>
      </c>
      <c r="Q486" s="30"/>
      <c r="S486" s="27" t="s">
        <v>769</v>
      </c>
    </row>
    <row r="487" spans="1:20" s="27" customFormat="1" ht="14.25" x14ac:dyDescent="0.15">
      <c r="A487" s="20" t="s">
        <v>8</v>
      </c>
      <c r="B487" s="27">
        <v>37063</v>
      </c>
      <c r="C487" s="27">
        <v>5</v>
      </c>
      <c r="D487" s="44" t="s">
        <v>1213</v>
      </c>
      <c r="E487" s="100" t="s">
        <v>1773</v>
      </c>
      <c r="F487" s="114" t="s">
        <v>1214</v>
      </c>
      <c r="J487" s="27">
        <v>1</v>
      </c>
      <c r="K487" s="27">
        <v>97063</v>
      </c>
      <c r="L487" s="27">
        <v>3</v>
      </c>
      <c r="N487" s="27">
        <v>21</v>
      </c>
      <c r="O487" s="30"/>
      <c r="P487" s="6" t="s">
        <v>807</v>
      </c>
      <c r="Q487" s="30"/>
      <c r="S487" s="27" t="s">
        <v>769</v>
      </c>
    </row>
    <row r="488" spans="1:20" s="29" customFormat="1" ht="14.25" x14ac:dyDescent="0.15">
      <c r="A488" s="28" t="s">
        <v>8</v>
      </c>
      <c r="B488" s="29">
        <v>38011</v>
      </c>
      <c r="C488" s="29">
        <v>5</v>
      </c>
      <c r="D488" s="30" t="s">
        <v>1215</v>
      </c>
      <c r="E488" s="93" t="s">
        <v>1327</v>
      </c>
      <c r="F488" s="113" t="s">
        <v>1218</v>
      </c>
      <c r="H488" s="27">
        <v>12420</v>
      </c>
      <c r="I488" s="27"/>
      <c r="J488" s="29">
        <v>1</v>
      </c>
      <c r="K488" s="27">
        <v>98011</v>
      </c>
      <c r="L488" s="27">
        <v>1</v>
      </c>
      <c r="N488" s="29">
        <v>22</v>
      </c>
      <c r="O488" s="30"/>
      <c r="P488" s="6" t="s">
        <v>792</v>
      </c>
      <c r="Q488" s="30"/>
      <c r="R488" s="27"/>
      <c r="S488" s="27" t="s">
        <v>804</v>
      </c>
      <c r="T488" s="27"/>
    </row>
    <row r="489" spans="1:20" s="29" customFormat="1" ht="14.25" x14ac:dyDescent="0.15">
      <c r="A489" s="28" t="s">
        <v>8</v>
      </c>
      <c r="B489" s="29">
        <v>38012</v>
      </c>
      <c r="C489" s="29">
        <v>5</v>
      </c>
      <c r="D489" s="30" t="s">
        <v>1216</v>
      </c>
      <c r="E489" s="93" t="s">
        <v>1774</v>
      </c>
      <c r="F489" s="113" t="s">
        <v>1218</v>
      </c>
      <c r="H489" s="27"/>
      <c r="I489" s="27"/>
      <c r="J489" s="29">
        <v>1</v>
      </c>
      <c r="K489" s="27">
        <v>98012</v>
      </c>
      <c r="L489" s="27">
        <v>2</v>
      </c>
      <c r="N489" s="29">
        <v>22</v>
      </c>
      <c r="O489" s="30"/>
      <c r="P489" s="6" t="s">
        <v>806</v>
      </c>
      <c r="Q489" s="30"/>
      <c r="R489" s="27"/>
      <c r="S489" s="27" t="s">
        <v>769</v>
      </c>
      <c r="T489" s="27"/>
    </row>
    <row r="490" spans="1:20" s="29" customFormat="1" ht="14.25" x14ac:dyDescent="0.15">
      <c r="A490" s="28" t="s">
        <v>8</v>
      </c>
      <c r="B490" s="29">
        <v>38013</v>
      </c>
      <c r="C490" s="29">
        <v>5</v>
      </c>
      <c r="D490" s="30" t="s">
        <v>1217</v>
      </c>
      <c r="E490" s="93" t="s">
        <v>1774</v>
      </c>
      <c r="F490" s="113" t="s">
        <v>1218</v>
      </c>
      <c r="H490" s="27"/>
      <c r="I490" s="27"/>
      <c r="J490" s="29">
        <v>1</v>
      </c>
      <c r="K490" s="27">
        <v>98013</v>
      </c>
      <c r="L490" s="27">
        <v>3</v>
      </c>
      <c r="N490" s="29">
        <v>22</v>
      </c>
      <c r="O490" s="30"/>
      <c r="P490" s="6" t="s">
        <v>807</v>
      </c>
      <c r="Q490" s="30"/>
      <c r="R490" s="27"/>
      <c r="S490" s="27" t="s">
        <v>769</v>
      </c>
      <c r="T490" s="27"/>
    </row>
    <row r="491" spans="1:20" s="29" customFormat="1" ht="14.25" x14ac:dyDescent="0.15">
      <c r="A491" s="28" t="s">
        <v>8</v>
      </c>
      <c r="B491" s="29">
        <v>38021</v>
      </c>
      <c r="C491" s="29">
        <v>5</v>
      </c>
      <c r="D491" s="30" t="s">
        <v>764</v>
      </c>
      <c r="E491" s="93" t="s">
        <v>1328</v>
      </c>
      <c r="F491" s="113" t="s">
        <v>1219</v>
      </c>
      <c r="H491" s="27">
        <v>999</v>
      </c>
      <c r="I491" s="27"/>
      <c r="J491" s="27">
        <v>1</v>
      </c>
      <c r="K491" s="27">
        <v>98021</v>
      </c>
      <c r="L491" s="27">
        <v>1</v>
      </c>
      <c r="N491" s="29">
        <v>22</v>
      </c>
      <c r="O491" s="30"/>
      <c r="P491" s="6" t="s">
        <v>792</v>
      </c>
      <c r="Q491" s="30"/>
      <c r="R491" s="27"/>
      <c r="S491" s="27" t="s">
        <v>805</v>
      </c>
      <c r="T491" s="27"/>
    </row>
    <row r="492" spans="1:20" s="29" customFormat="1" ht="14.25" x14ac:dyDescent="0.15">
      <c r="A492" s="28" t="s">
        <v>8</v>
      </c>
      <c r="B492" s="29">
        <v>38022</v>
      </c>
      <c r="C492" s="29">
        <v>5</v>
      </c>
      <c r="D492" s="30" t="s">
        <v>765</v>
      </c>
      <c r="E492" s="93" t="s">
        <v>1328</v>
      </c>
      <c r="F492" s="113" t="s">
        <v>1219</v>
      </c>
      <c r="H492" s="27"/>
      <c r="I492" s="27"/>
      <c r="J492" s="27">
        <v>1</v>
      </c>
      <c r="K492" s="27">
        <v>98022</v>
      </c>
      <c r="L492" s="27">
        <v>2</v>
      </c>
      <c r="N492" s="29">
        <v>22</v>
      </c>
      <c r="O492" s="30"/>
      <c r="P492" s="6" t="s">
        <v>806</v>
      </c>
      <c r="Q492" s="30"/>
      <c r="R492" s="27"/>
      <c r="S492" s="27" t="s">
        <v>769</v>
      </c>
      <c r="T492" s="27"/>
    </row>
    <row r="493" spans="1:20" s="29" customFormat="1" ht="14.25" x14ac:dyDescent="0.15">
      <c r="A493" s="28" t="s">
        <v>8</v>
      </c>
      <c r="B493" s="29">
        <v>38023</v>
      </c>
      <c r="C493" s="29">
        <v>5</v>
      </c>
      <c r="D493" s="30" t="s">
        <v>766</v>
      </c>
      <c r="E493" s="93" t="s">
        <v>1328</v>
      </c>
      <c r="F493" s="113" t="s">
        <v>1219</v>
      </c>
      <c r="H493" s="27"/>
      <c r="I493" s="27"/>
      <c r="J493" s="27">
        <v>1</v>
      </c>
      <c r="K493" s="27">
        <v>98023</v>
      </c>
      <c r="L493" s="27">
        <v>3</v>
      </c>
      <c r="N493" s="29">
        <v>22</v>
      </c>
      <c r="O493" s="30"/>
      <c r="P493" s="6" t="s">
        <v>807</v>
      </c>
      <c r="Q493" s="30"/>
      <c r="R493" s="27"/>
      <c r="S493" s="27" t="s">
        <v>769</v>
      </c>
      <c r="T493" s="27"/>
    </row>
    <row r="494" spans="1:20" s="29" customFormat="1" ht="14.25" x14ac:dyDescent="0.15">
      <c r="A494" s="28" t="s">
        <v>8</v>
      </c>
      <c r="B494" s="29">
        <v>38031</v>
      </c>
      <c r="C494" s="29">
        <v>5</v>
      </c>
      <c r="D494" s="30" t="s">
        <v>1220</v>
      </c>
      <c r="E494" s="93" t="s">
        <v>1775</v>
      </c>
      <c r="F494" s="113" t="s">
        <v>1223</v>
      </c>
      <c r="H494" s="27">
        <v>10395</v>
      </c>
      <c r="I494" s="27"/>
      <c r="J494" s="27">
        <v>1</v>
      </c>
      <c r="K494" s="27">
        <v>98031</v>
      </c>
      <c r="L494" s="27">
        <v>1</v>
      </c>
      <c r="N494" s="29">
        <v>22</v>
      </c>
      <c r="O494" s="30"/>
      <c r="P494" s="6" t="s">
        <v>792</v>
      </c>
      <c r="Q494" s="30"/>
      <c r="R494" s="27"/>
      <c r="S494" s="27" t="s">
        <v>804</v>
      </c>
      <c r="T494" s="27"/>
    </row>
    <row r="495" spans="1:20" s="29" customFormat="1" ht="14.25" x14ac:dyDescent="0.15">
      <c r="A495" s="28" t="s">
        <v>8</v>
      </c>
      <c r="B495" s="29">
        <v>38032</v>
      </c>
      <c r="C495" s="29">
        <v>5</v>
      </c>
      <c r="D495" s="30" t="s">
        <v>1221</v>
      </c>
      <c r="E495" s="93" t="s">
        <v>1775</v>
      </c>
      <c r="F495" s="113" t="s">
        <v>1223</v>
      </c>
      <c r="H495" s="27"/>
      <c r="I495" s="27"/>
      <c r="J495" s="27">
        <v>1</v>
      </c>
      <c r="K495" s="27">
        <v>98032</v>
      </c>
      <c r="L495" s="27">
        <v>2</v>
      </c>
      <c r="N495" s="29">
        <v>22</v>
      </c>
      <c r="O495" s="30"/>
      <c r="P495" s="6" t="s">
        <v>806</v>
      </c>
      <c r="Q495" s="30"/>
      <c r="R495" s="27"/>
      <c r="S495" s="27" t="s">
        <v>769</v>
      </c>
      <c r="T495" s="27"/>
    </row>
    <row r="496" spans="1:20" s="29" customFormat="1" ht="14.25" x14ac:dyDescent="0.15">
      <c r="A496" s="28" t="s">
        <v>8</v>
      </c>
      <c r="B496" s="29">
        <v>38033</v>
      </c>
      <c r="C496" s="29">
        <v>5</v>
      </c>
      <c r="D496" s="30" t="s">
        <v>1222</v>
      </c>
      <c r="E496" s="93" t="s">
        <v>1775</v>
      </c>
      <c r="F496" s="113" t="s">
        <v>1223</v>
      </c>
      <c r="H496" s="27"/>
      <c r="I496" s="27"/>
      <c r="J496" s="27">
        <v>1</v>
      </c>
      <c r="K496" s="27">
        <v>98033</v>
      </c>
      <c r="L496" s="27">
        <v>3</v>
      </c>
      <c r="N496" s="29">
        <v>22</v>
      </c>
      <c r="O496" s="30"/>
      <c r="P496" s="6" t="s">
        <v>807</v>
      </c>
      <c r="Q496" s="30"/>
      <c r="R496" s="27"/>
      <c r="S496" s="27" t="s">
        <v>769</v>
      </c>
      <c r="T496" s="27"/>
    </row>
    <row r="497" spans="1:19" s="27" customFormat="1" ht="14.25" x14ac:dyDescent="0.15">
      <c r="A497" s="20" t="s">
        <v>8</v>
      </c>
      <c r="B497" s="27">
        <v>39011</v>
      </c>
      <c r="C497" s="27">
        <v>5</v>
      </c>
      <c r="D497" s="44" t="s">
        <v>1224</v>
      </c>
      <c r="E497" s="93" t="s">
        <v>1329</v>
      </c>
      <c r="F497" s="114" t="s">
        <v>1227</v>
      </c>
      <c r="H497" s="27">
        <v>4914</v>
      </c>
      <c r="J497" s="29">
        <v>1</v>
      </c>
      <c r="K497" s="27">
        <v>99011</v>
      </c>
      <c r="L497" s="27">
        <v>1</v>
      </c>
      <c r="N497" s="27">
        <v>23</v>
      </c>
      <c r="O497" s="30"/>
      <c r="P497" s="6" t="s">
        <v>792</v>
      </c>
      <c r="Q497" s="30"/>
      <c r="S497" s="27" t="s">
        <v>804</v>
      </c>
    </row>
    <row r="498" spans="1:19" s="27" customFormat="1" ht="14.25" x14ac:dyDescent="0.15">
      <c r="A498" s="20" t="s">
        <v>8</v>
      </c>
      <c r="B498" s="27">
        <v>39012</v>
      </c>
      <c r="C498" s="27">
        <v>5</v>
      </c>
      <c r="D498" s="44" t="s">
        <v>1225</v>
      </c>
      <c r="E498" s="93" t="s">
        <v>1776</v>
      </c>
      <c r="F498" s="114" t="s">
        <v>1227</v>
      </c>
      <c r="J498" s="29">
        <v>1</v>
      </c>
      <c r="K498" s="27">
        <v>99012</v>
      </c>
      <c r="L498" s="27">
        <v>2</v>
      </c>
      <c r="N498" s="27">
        <v>23</v>
      </c>
      <c r="O498" s="30"/>
      <c r="P498" s="6" t="s">
        <v>806</v>
      </c>
      <c r="Q498" s="30"/>
      <c r="S498" s="27" t="s">
        <v>769</v>
      </c>
    </row>
    <row r="499" spans="1:19" s="27" customFormat="1" ht="14.25" x14ac:dyDescent="0.15">
      <c r="A499" s="20" t="s">
        <v>8</v>
      </c>
      <c r="B499" s="27">
        <v>39013</v>
      </c>
      <c r="C499" s="27">
        <v>5</v>
      </c>
      <c r="D499" s="44" t="s">
        <v>1226</v>
      </c>
      <c r="E499" s="93" t="s">
        <v>1776</v>
      </c>
      <c r="F499" s="114" t="s">
        <v>1227</v>
      </c>
      <c r="J499" s="29">
        <v>1</v>
      </c>
      <c r="K499" s="27">
        <v>99013</v>
      </c>
      <c r="L499" s="27">
        <v>3</v>
      </c>
      <c r="N499" s="27">
        <v>23</v>
      </c>
      <c r="O499" s="30"/>
      <c r="P499" s="6" t="s">
        <v>807</v>
      </c>
      <c r="Q499" s="30"/>
      <c r="S499" s="27" t="s">
        <v>769</v>
      </c>
    </row>
    <row r="500" spans="1:19" s="27" customFormat="1" ht="14.25" x14ac:dyDescent="0.15">
      <c r="A500" s="20" t="s">
        <v>8</v>
      </c>
      <c r="B500" s="27">
        <v>39021</v>
      </c>
      <c r="C500" s="27">
        <v>5</v>
      </c>
      <c r="D500" s="44" t="s">
        <v>1228</v>
      </c>
      <c r="E500" s="93" t="s">
        <v>1330</v>
      </c>
      <c r="F500" s="114" t="s">
        <v>1231</v>
      </c>
      <c r="H500" s="27">
        <v>17100</v>
      </c>
      <c r="J500" s="27">
        <v>1</v>
      </c>
      <c r="K500" s="27">
        <v>99021</v>
      </c>
      <c r="L500" s="27">
        <v>1</v>
      </c>
      <c r="N500" s="27">
        <v>23</v>
      </c>
      <c r="O500" s="30"/>
      <c r="P500" s="6" t="s">
        <v>792</v>
      </c>
      <c r="Q500" s="30"/>
      <c r="S500" s="27" t="s">
        <v>804</v>
      </c>
    </row>
    <row r="501" spans="1:19" s="27" customFormat="1" ht="14.25" x14ac:dyDescent="0.15">
      <c r="A501" s="20" t="s">
        <v>8</v>
      </c>
      <c r="B501" s="27">
        <v>39022</v>
      </c>
      <c r="C501" s="27">
        <v>5</v>
      </c>
      <c r="D501" s="44" t="s">
        <v>1229</v>
      </c>
      <c r="E501" s="93" t="s">
        <v>1777</v>
      </c>
      <c r="F501" s="114" t="s">
        <v>1231</v>
      </c>
      <c r="J501" s="27">
        <v>1</v>
      </c>
      <c r="K501" s="27">
        <v>99022</v>
      </c>
      <c r="L501" s="27">
        <v>2</v>
      </c>
      <c r="N501" s="27">
        <v>23</v>
      </c>
      <c r="O501" s="30"/>
      <c r="P501" s="6" t="s">
        <v>806</v>
      </c>
      <c r="Q501" s="30"/>
      <c r="S501" s="27" t="s">
        <v>769</v>
      </c>
    </row>
    <row r="502" spans="1:19" s="27" customFormat="1" ht="14.25" x14ac:dyDescent="0.15">
      <c r="A502" s="20" t="s">
        <v>8</v>
      </c>
      <c r="B502" s="27">
        <v>39023</v>
      </c>
      <c r="C502" s="27">
        <v>5</v>
      </c>
      <c r="D502" s="44" t="s">
        <v>1230</v>
      </c>
      <c r="E502" s="93" t="s">
        <v>1778</v>
      </c>
      <c r="F502" s="114" t="s">
        <v>1231</v>
      </c>
      <c r="J502" s="27">
        <v>1</v>
      </c>
      <c r="K502" s="27">
        <v>99023</v>
      </c>
      <c r="L502" s="27">
        <v>3</v>
      </c>
      <c r="N502" s="27">
        <v>23</v>
      </c>
      <c r="O502" s="30"/>
      <c r="P502" s="6" t="s">
        <v>807</v>
      </c>
      <c r="Q502" s="30"/>
      <c r="S502" s="27" t="s">
        <v>769</v>
      </c>
    </row>
    <row r="503" spans="1:19" s="27" customFormat="1" ht="14.25" x14ac:dyDescent="0.15">
      <c r="A503" s="20" t="s">
        <v>8</v>
      </c>
      <c r="B503" s="27">
        <v>39031</v>
      </c>
      <c r="C503" s="27">
        <v>5</v>
      </c>
      <c r="D503" s="44" t="s">
        <v>1232</v>
      </c>
      <c r="E503" s="100" t="s">
        <v>1696</v>
      </c>
      <c r="F503" s="114" t="s">
        <v>1233</v>
      </c>
      <c r="H503" s="27">
        <v>1013</v>
      </c>
      <c r="J503" s="27">
        <v>1</v>
      </c>
      <c r="K503" s="27">
        <v>99031</v>
      </c>
      <c r="L503" s="27">
        <v>1</v>
      </c>
      <c r="N503" s="27">
        <v>23</v>
      </c>
      <c r="O503" s="30"/>
      <c r="P503" s="6" t="s">
        <v>792</v>
      </c>
      <c r="Q503" s="30"/>
      <c r="S503" s="27" t="s">
        <v>804</v>
      </c>
    </row>
    <row r="504" spans="1:19" s="27" customFormat="1" ht="14.25" x14ac:dyDescent="0.15">
      <c r="A504" s="20" t="s">
        <v>8</v>
      </c>
      <c r="B504" s="27">
        <v>39032</v>
      </c>
      <c r="C504" s="27">
        <v>5</v>
      </c>
      <c r="D504" s="44" t="s">
        <v>1234</v>
      </c>
      <c r="E504" s="100" t="s">
        <v>1779</v>
      </c>
      <c r="F504" s="114" t="s">
        <v>1233</v>
      </c>
      <c r="J504" s="27">
        <v>1</v>
      </c>
      <c r="K504" s="27">
        <v>99032</v>
      </c>
      <c r="L504" s="27">
        <v>2</v>
      </c>
      <c r="N504" s="27">
        <v>23</v>
      </c>
      <c r="O504" s="30"/>
      <c r="P504" s="6" t="s">
        <v>806</v>
      </c>
      <c r="Q504" s="30"/>
      <c r="S504" s="27" t="s">
        <v>769</v>
      </c>
    </row>
    <row r="505" spans="1:19" s="27" customFormat="1" ht="14.25" x14ac:dyDescent="0.15">
      <c r="A505" s="20" t="s">
        <v>8</v>
      </c>
      <c r="B505" s="27">
        <v>39033</v>
      </c>
      <c r="C505" s="27">
        <v>5</v>
      </c>
      <c r="D505" s="44" t="s">
        <v>1235</v>
      </c>
      <c r="E505" s="100" t="s">
        <v>1779</v>
      </c>
      <c r="F505" s="114" t="s">
        <v>1233</v>
      </c>
      <c r="J505" s="27">
        <v>1</v>
      </c>
      <c r="K505" s="27">
        <v>99033</v>
      </c>
      <c r="L505" s="27">
        <v>3</v>
      </c>
      <c r="N505" s="27">
        <v>23</v>
      </c>
      <c r="O505" s="30"/>
      <c r="P505" s="6" t="s">
        <v>807</v>
      </c>
      <c r="Q505" s="30"/>
      <c r="S505" s="27" t="s">
        <v>769</v>
      </c>
    </row>
    <row r="506" spans="1:19" s="27" customFormat="1" ht="14.25" x14ac:dyDescent="0.15">
      <c r="A506" s="20" t="s">
        <v>8</v>
      </c>
      <c r="B506" s="27">
        <v>39041</v>
      </c>
      <c r="C506" s="27">
        <v>5</v>
      </c>
      <c r="D506" s="44" t="s">
        <v>1236</v>
      </c>
      <c r="E506" s="93" t="s">
        <v>1331</v>
      </c>
      <c r="F506" s="114" t="s">
        <v>1239</v>
      </c>
      <c r="H506" s="27">
        <v>8798</v>
      </c>
      <c r="J506" s="27">
        <v>1</v>
      </c>
      <c r="K506" s="27">
        <v>99041</v>
      </c>
      <c r="L506" s="27">
        <v>1</v>
      </c>
      <c r="N506" s="27">
        <v>23</v>
      </c>
      <c r="O506" s="30"/>
      <c r="P506" s="6" t="s">
        <v>792</v>
      </c>
      <c r="Q506" s="30"/>
      <c r="S506" s="27" t="s">
        <v>804</v>
      </c>
    </row>
    <row r="507" spans="1:19" s="27" customFormat="1" ht="14.25" x14ac:dyDescent="0.15">
      <c r="A507" s="20" t="s">
        <v>8</v>
      </c>
      <c r="B507" s="27">
        <v>39042</v>
      </c>
      <c r="C507" s="27">
        <v>5</v>
      </c>
      <c r="D507" s="44" t="s">
        <v>1237</v>
      </c>
      <c r="E507" s="93" t="s">
        <v>1780</v>
      </c>
      <c r="F507" s="114" t="s">
        <v>1239</v>
      </c>
      <c r="J507" s="27">
        <v>1</v>
      </c>
      <c r="K507" s="27">
        <v>99042</v>
      </c>
      <c r="L507" s="27">
        <v>2</v>
      </c>
      <c r="N507" s="27">
        <v>23</v>
      </c>
      <c r="O507" s="30"/>
      <c r="P507" s="6" t="s">
        <v>806</v>
      </c>
      <c r="Q507" s="30"/>
      <c r="S507" s="27" t="s">
        <v>769</v>
      </c>
    </row>
    <row r="508" spans="1:19" s="27" customFormat="1" ht="14.25" x14ac:dyDescent="0.15">
      <c r="A508" s="20" t="s">
        <v>8</v>
      </c>
      <c r="B508" s="27">
        <v>39043</v>
      </c>
      <c r="C508" s="27">
        <v>5</v>
      </c>
      <c r="D508" s="44" t="s">
        <v>1238</v>
      </c>
      <c r="E508" s="93" t="s">
        <v>1780</v>
      </c>
      <c r="F508" s="114" t="s">
        <v>1239</v>
      </c>
      <c r="J508" s="27">
        <v>1</v>
      </c>
      <c r="K508" s="27">
        <v>99043</v>
      </c>
      <c r="L508" s="27">
        <v>3</v>
      </c>
      <c r="N508" s="27">
        <v>23</v>
      </c>
      <c r="O508" s="30"/>
      <c r="P508" s="6" t="s">
        <v>807</v>
      </c>
      <c r="Q508" s="30"/>
      <c r="S508" s="27" t="s">
        <v>769</v>
      </c>
    </row>
    <row r="509" spans="1:19" s="27" customFormat="1" ht="14.25" x14ac:dyDescent="0.15">
      <c r="A509" s="20"/>
      <c r="B509" s="27">
        <v>39999</v>
      </c>
      <c r="D509" s="44" t="s">
        <v>572</v>
      </c>
      <c r="E509" s="100"/>
      <c r="F509" s="114"/>
      <c r="O509" s="30"/>
      <c r="P509" s="6" t="s">
        <v>794</v>
      </c>
      <c r="Q509" s="30"/>
      <c r="S509" s="4"/>
    </row>
    <row r="510" spans="1:19" s="29" customFormat="1" ht="14.25" x14ac:dyDescent="0.15">
      <c r="A510" s="28"/>
      <c r="B510" s="29">
        <v>40051</v>
      </c>
      <c r="C510" s="29">
        <v>22</v>
      </c>
      <c r="D510" s="30" t="s">
        <v>576</v>
      </c>
      <c r="E510" s="93" t="s">
        <v>1060</v>
      </c>
      <c r="F510" s="113" t="s">
        <v>602</v>
      </c>
      <c r="I510" s="27"/>
      <c r="O510" s="30"/>
      <c r="P510" s="29" t="s">
        <v>794</v>
      </c>
      <c r="Q510" s="30"/>
      <c r="S510" s="4"/>
    </row>
    <row r="511" spans="1:19" s="29" customFormat="1" ht="14.25" x14ac:dyDescent="0.15">
      <c r="A511" s="28"/>
      <c r="B511" s="29">
        <v>40052</v>
      </c>
      <c r="C511" s="29">
        <v>22</v>
      </c>
      <c r="D511" s="30" t="s">
        <v>577</v>
      </c>
      <c r="E511" s="93" t="s">
        <v>1060</v>
      </c>
      <c r="F511" s="113" t="s">
        <v>603</v>
      </c>
      <c r="I511" s="27"/>
      <c r="O511" s="30"/>
      <c r="P511" s="29" t="s">
        <v>794</v>
      </c>
      <c r="Q511" s="30"/>
      <c r="S511" s="4"/>
    </row>
    <row r="512" spans="1:19" s="29" customFormat="1" ht="14.25" x14ac:dyDescent="0.15">
      <c r="A512" s="28"/>
      <c r="B512" s="29">
        <v>40053</v>
      </c>
      <c r="C512" s="29">
        <v>22</v>
      </c>
      <c r="D512" s="30" t="s">
        <v>578</v>
      </c>
      <c r="E512" s="93" t="s">
        <v>1060</v>
      </c>
      <c r="F512" s="113" t="s">
        <v>604</v>
      </c>
      <c r="I512" s="27"/>
      <c r="O512" s="30"/>
      <c r="P512" s="29" t="s">
        <v>794</v>
      </c>
      <c r="Q512" s="30"/>
      <c r="S512" s="4"/>
    </row>
    <row r="513" spans="1:19" s="29" customFormat="1" ht="14.25" x14ac:dyDescent="0.15">
      <c r="A513" s="28"/>
      <c r="B513" s="29">
        <v>40054</v>
      </c>
      <c r="C513" s="29">
        <v>22</v>
      </c>
      <c r="D513" s="30" t="s">
        <v>579</v>
      </c>
      <c r="E513" s="93" t="s">
        <v>1060</v>
      </c>
      <c r="F513" s="113" t="s">
        <v>605</v>
      </c>
      <c r="I513" s="27"/>
      <c r="O513" s="30"/>
      <c r="P513" s="29" t="s">
        <v>794</v>
      </c>
      <c r="Q513" s="30"/>
      <c r="S513" s="4"/>
    </row>
    <row r="514" spans="1:19" s="29" customFormat="1" ht="14.25" x14ac:dyDescent="0.15">
      <c r="A514" s="28"/>
      <c r="B514" s="29">
        <v>40055</v>
      </c>
      <c r="C514" s="29">
        <v>22</v>
      </c>
      <c r="D514" s="30" t="s">
        <v>580</v>
      </c>
      <c r="E514" s="93" t="s">
        <v>1060</v>
      </c>
      <c r="F514" s="113" t="s">
        <v>606</v>
      </c>
      <c r="I514" s="27"/>
      <c r="O514" s="30"/>
      <c r="P514" s="29" t="s">
        <v>794</v>
      </c>
      <c r="Q514" s="30"/>
      <c r="S514" s="4"/>
    </row>
    <row r="515" spans="1:19" s="29" customFormat="1" ht="14.25" x14ac:dyDescent="0.15">
      <c r="A515" s="28"/>
      <c r="B515" s="29">
        <v>40056</v>
      </c>
      <c r="C515" s="29">
        <v>22</v>
      </c>
      <c r="D515" s="30" t="s">
        <v>581</v>
      </c>
      <c r="E515" s="93" t="s">
        <v>1060</v>
      </c>
      <c r="F515" s="113" t="s">
        <v>607</v>
      </c>
      <c r="O515" s="30"/>
      <c r="P515" s="29" t="s">
        <v>794</v>
      </c>
      <c r="Q515" s="30"/>
      <c r="S515" s="4"/>
    </row>
    <row r="516" spans="1:19" s="29" customFormat="1" ht="14.25" x14ac:dyDescent="0.15">
      <c r="A516" s="28"/>
      <c r="B516" s="29">
        <v>40057</v>
      </c>
      <c r="C516" s="29">
        <v>22</v>
      </c>
      <c r="D516" s="30" t="s">
        <v>582</v>
      </c>
      <c r="E516" s="93" t="s">
        <v>1060</v>
      </c>
      <c r="F516" s="113" t="s">
        <v>608</v>
      </c>
      <c r="O516" s="30"/>
      <c r="P516" s="29" t="s">
        <v>794</v>
      </c>
      <c r="Q516" s="30"/>
      <c r="S516" s="4"/>
    </row>
    <row r="517" spans="1:19" s="29" customFormat="1" ht="14.25" x14ac:dyDescent="0.15">
      <c r="A517" s="28"/>
      <c r="B517" s="29">
        <v>40058</v>
      </c>
      <c r="C517" s="29">
        <v>22</v>
      </c>
      <c r="D517" s="30" t="s">
        <v>583</v>
      </c>
      <c r="E517" s="93" t="s">
        <v>1060</v>
      </c>
      <c r="F517" s="113" t="s">
        <v>609</v>
      </c>
      <c r="O517" s="30"/>
      <c r="P517" s="29" t="s">
        <v>794</v>
      </c>
      <c r="Q517" s="30"/>
      <c r="S517" s="4"/>
    </row>
    <row r="518" spans="1:19" s="29" customFormat="1" ht="14.25" x14ac:dyDescent="0.15">
      <c r="A518" s="28"/>
      <c r="B518" s="29">
        <v>40059</v>
      </c>
      <c r="C518" s="29">
        <v>22</v>
      </c>
      <c r="D518" s="30" t="s">
        <v>584</v>
      </c>
      <c r="E518" s="93" t="s">
        <v>1060</v>
      </c>
      <c r="F518" s="113" t="s">
        <v>610</v>
      </c>
      <c r="O518" s="30"/>
      <c r="P518" s="29" t="s">
        <v>794</v>
      </c>
      <c r="Q518" s="30"/>
      <c r="S518" s="4"/>
    </row>
    <row r="519" spans="1:19" s="29" customFormat="1" ht="14.25" x14ac:dyDescent="0.15">
      <c r="A519" s="28"/>
      <c r="B519" s="29">
        <v>40060</v>
      </c>
      <c r="C519" s="29">
        <v>22</v>
      </c>
      <c r="D519" s="30" t="s">
        <v>585</v>
      </c>
      <c r="E519" s="93" t="s">
        <v>1060</v>
      </c>
      <c r="F519" s="113" t="s">
        <v>611</v>
      </c>
      <c r="O519" s="30"/>
      <c r="P519" s="29" t="s">
        <v>794</v>
      </c>
      <c r="Q519" s="30"/>
      <c r="S519" s="4"/>
    </row>
    <row r="520" spans="1:19" s="29" customFormat="1" ht="14.25" x14ac:dyDescent="0.15">
      <c r="A520" s="28"/>
      <c r="B520" s="29">
        <v>40061</v>
      </c>
      <c r="C520" s="29">
        <v>22</v>
      </c>
      <c r="D520" s="30" t="s">
        <v>586</v>
      </c>
      <c r="E520" s="93" t="s">
        <v>1060</v>
      </c>
      <c r="F520" s="113" t="s">
        <v>612</v>
      </c>
      <c r="O520" s="30"/>
      <c r="P520" s="29" t="s">
        <v>794</v>
      </c>
      <c r="Q520" s="30"/>
      <c r="S520" s="4"/>
    </row>
    <row r="521" spans="1:19" s="29" customFormat="1" ht="14.25" x14ac:dyDescent="0.15">
      <c r="A521" s="28"/>
      <c r="B521" s="29">
        <v>40062</v>
      </c>
      <c r="C521" s="29">
        <v>22</v>
      </c>
      <c r="D521" s="30" t="s">
        <v>587</v>
      </c>
      <c r="E521" s="93" t="s">
        <v>1060</v>
      </c>
      <c r="F521" s="113" t="s">
        <v>613</v>
      </c>
      <c r="O521" s="30"/>
      <c r="P521" s="29" t="s">
        <v>794</v>
      </c>
      <c r="Q521" s="30"/>
      <c r="S521" s="4"/>
    </row>
    <row r="522" spans="1:19" s="29" customFormat="1" ht="14.25" x14ac:dyDescent="0.15">
      <c r="A522" s="28"/>
      <c r="B522" s="29">
        <v>40063</v>
      </c>
      <c r="C522" s="29">
        <v>22</v>
      </c>
      <c r="D522" s="30" t="s">
        <v>588</v>
      </c>
      <c r="E522" s="93" t="s">
        <v>1060</v>
      </c>
      <c r="F522" s="113" t="s">
        <v>614</v>
      </c>
      <c r="O522" s="30"/>
      <c r="P522" s="29" t="s">
        <v>794</v>
      </c>
      <c r="Q522" s="30"/>
      <c r="S522" s="4"/>
    </row>
    <row r="523" spans="1:19" s="29" customFormat="1" ht="14.25" x14ac:dyDescent="0.15">
      <c r="A523" s="28"/>
      <c r="B523" s="29">
        <v>40064</v>
      </c>
      <c r="C523" s="29">
        <v>22</v>
      </c>
      <c r="D523" s="30" t="s">
        <v>589</v>
      </c>
      <c r="E523" s="93" t="s">
        <v>1060</v>
      </c>
      <c r="F523" s="113" t="s">
        <v>615</v>
      </c>
      <c r="O523" s="30"/>
      <c r="P523" s="29" t="s">
        <v>794</v>
      </c>
      <c r="Q523" s="30"/>
      <c r="S523" s="4"/>
    </row>
    <row r="524" spans="1:19" s="29" customFormat="1" ht="14.25" x14ac:dyDescent="0.15">
      <c r="A524" s="28"/>
      <c r="B524" s="29">
        <v>40065</v>
      </c>
      <c r="C524" s="29">
        <v>22</v>
      </c>
      <c r="D524" s="30" t="s">
        <v>590</v>
      </c>
      <c r="E524" s="93" t="s">
        <v>1060</v>
      </c>
      <c r="F524" s="113" t="s">
        <v>616</v>
      </c>
      <c r="O524" s="30"/>
      <c r="P524" s="29" t="s">
        <v>794</v>
      </c>
      <c r="Q524" s="30"/>
      <c r="S524" s="4"/>
    </row>
    <row r="525" spans="1:19" s="29" customFormat="1" ht="14.25" x14ac:dyDescent="0.15">
      <c r="A525" s="28"/>
      <c r="B525" s="29">
        <v>40066</v>
      </c>
      <c r="C525" s="29">
        <v>22</v>
      </c>
      <c r="D525" s="30" t="s">
        <v>591</v>
      </c>
      <c r="E525" s="93" t="s">
        <v>1060</v>
      </c>
      <c r="F525" s="113" t="s">
        <v>617</v>
      </c>
      <c r="O525" s="30"/>
      <c r="P525" s="29" t="s">
        <v>794</v>
      </c>
      <c r="Q525" s="30"/>
      <c r="S525" s="4"/>
    </row>
    <row r="526" spans="1:19" s="29" customFormat="1" ht="14.25" x14ac:dyDescent="0.15">
      <c r="A526" s="28"/>
      <c r="B526" s="29">
        <v>40067</v>
      </c>
      <c r="C526" s="29">
        <v>22</v>
      </c>
      <c r="D526" s="30" t="s">
        <v>592</v>
      </c>
      <c r="E526" s="93" t="s">
        <v>1060</v>
      </c>
      <c r="F526" s="113" t="s">
        <v>618</v>
      </c>
      <c r="O526" s="30"/>
      <c r="P526" s="29" t="s">
        <v>794</v>
      </c>
      <c r="Q526" s="30"/>
      <c r="S526" s="4"/>
    </row>
    <row r="527" spans="1:19" s="29" customFormat="1" ht="14.25" x14ac:dyDescent="0.15">
      <c r="A527" s="28"/>
      <c r="B527" s="29">
        <v>40068</v>
      </c>
      <c r="C527" s="29">
        <v>22</v>
      </c>
      <c r="D527" s="30" t="s">
        <v>593</v>
      </c>
      <c r="E527" s="93" t="s">
        <v>1060</v>
      </c>
      <c r="F527" s="113" t="s">
        <v>619</v>
      </c>
      <c r="O527" s="30"/>
      <c r="P527" s="29" t="s">
        <v>794</v>
      </c>
      <c r="Q527" s="30"/>
      <c r="S527" s="4"/>
    </row>
    <row r="528" spans="1:19" s="29" customFormat="1" ht="14.25" x14ac:dyDescent="0.15">
      <c r="A528" s="28"/>
      <c r="B528" s="29">
        <v>40069</v>
      </c>
      <c r="C528" s="29">
        <v>22</v>
      </c>
      <c r="D528" s="30" t="s">
        <v>594</v>
      </c>
      <c r="E528" s="93" t="s">
        <v>1060</v>
      </c>
      <c r="F528" s="113" t="s">
        <v>620</v>
      </c>
      <c r="O528" s="30"/>
      <c r="P528" s="29" t="s">
        <v>794</v>
      </c>
      <c r="Q528" s="30"/>
      <c r="S528" s="4"/>
    </row>
    <row r="529" spans="1:20" s="29" customFormat="1" ht="14.25" x14ac:dyDescent="0.15">
      <c r="A529" s="28"/>
      <c r="B529" s="29">
        <v>40070</v>
      </c>
      <c r="C529" s="29">
        <v>22</v>
      </c>
      <c r="D529" s="30" t="s">
        <v>595</v>
      </c>
      <c r="E529" s="93" t="s">
        <v>1060</v>
      </c>
      <c r="F529" s="113" t="s">
        <v>621</v>
      </c>
      <c r="O529" s="30"/>
      <c r="P529" s="29" t="s">
        <v>794</v>
      </c>
      <c r="Q529" s="30"/>
      <c r="S529" s="4"/>
    </row>
    <row r="530" spans="1:20" s="29" customFormat="1" ht="14.25" x14ac:dyDescent="0.15">
      <c r="A530" s="28"/>
      <c r="B530" s="29">
        <v>40071</v>
      </c>
      <c r="C530" s="29">
        <v>22</v>
      </c>
      <c r="D530" s="30" t="s">
        <v>596</v>
      </c>
      <c r="E530" s="93" t="s">
        <v>1060</v>
      </c>
      <c r="F530" s="113" t="s">
        <v>622</v>
      </c>
      <c r="O530" s="30"/>
      <c r="P530" s="29" t="s">
        <v>794</v>
      </c>
      <c r="Q530" s="30"/>
      <c r="S530" s="4"/>
    </row>
    <row r="531" spans="1:20" s="29" customFormat="1" ht="14.25" x14ac:dyDescent="0.15">
      <c r="A531" s="28"/>
      <c r="B531" s="29">
        <v>40072</v>
      </c>
      <c r="C531" s="29">
        <v>22</v>
      </c>
      <c r="D531" s="30" t="s">
        <v>597</v>
      </c>
      <c r="E531" s="93" t="s">
        <v>1060</v>
      </c>
      <c r="F531" s="113" t="s">
        <v>623</v>
      </c>
      <c r="O531" s="30"/>
      <c r="P531" s="29" t="s">
        <v>794</v>
      </c>
      <c r="Q531" s="30"/>
      <c r="S531" s="4"/>
    </row>
    <row r="532" spans="1:20" s="29" customFormat="1" ht="14.25" x14ac:dyDescent="0.15">
      <c r="A532" s="28"/>
      <c r="B532" s="29">
        <v>40073</v>
      </c>
      <c r="C532" s="29">
        <v>22</v>
      </c>
      <c r="D532" s="30" t="s">
        <v>598</v>
      </c>
      <c r="E532" s="93" t="s">
        <v>1060</v>
      </c>
      <c r="F532" s="113" t="s">
        <v>624</v>
      </c>
      <c r="O532" s="30"/>
      <c r="P532" s="29" t="s">
        <v>794</v>
      </c>
      <c r="Q532" s="30"/>
      <c r="S532" s="4"/>
    </row>
    <row r="533" spans="1:20" s="29" customFormat="1" ht="14.25" x14ac:dyDescent="0.15">
      <c r="A533" s="28"/>
      <c r="B533" s="29">
        <v>40074</v>
      </c>
      <c r="C533" s="29">
        <v>22</v>
      </c>
      <c r="D533" s="30" t="s">
        <v>599</v>
      </c>
      <c r="E533" s="93" t="s">
        <v>1060</v>
      </c>
      <c r="F533" s="113" t="s">
        <v>625</v>
      </c>
      <c r="O533" s="30"/>
      <c r="P533" s="29" t="s">
        <v>794</v>
      </c>
      <c r="Q533" s="30"/>
      <c r="S533" s="4"/>
    </row>
    <row r="534" spans="1:20" s="29" customFormat="1" ht="14.25" x14ac:dyDescent="0.15">
      <c r="A534" s="28"/>
      <c r="B534" s="29">
        <v>40075</v>
      </c>
      <c r="C534" s="29">
        <v>22</v>
      </c>
      <c r="D534" s="30" t="s">
        <v>600</v>
      </c>
      <c r="E534" s="93" t="s">
        <v>1060</v>
      </c>
      <c r="F534" s="113" t="s">
        <v>626</v>
      </c>
      <c r="O534" s="30"/>
      <c r="P534" s="29" t="s">
        <v>794</v>
      </c>
      <c r="Q534" s="30"/>
      <c r="S534" s="4"/>
    </row>
    <row r="535" spans="1:20" s="29" customFormat="1" ht="14.25" x14ac:dyDescent="0.15">
      <c r="A535" s="28"/>
      <c r="B535" s="29">
        <v>40076</v>
      </c>
      <c r="C535" s="29">
        <v>22</v>
      </c>
      <c r="D535" s="30" t="s">
        <v>601</v>
      </c>
      <c r="E535" s="93" t="s">
        <v>1060</v>
      </c>
      <c r="F535" s="113" t="s">
        <v>627</v>
      </c>
      <c r="O535" s="30"/>
      <c r="P535" s="29" t="s">
        <v>794</v>
      </c>
      <c r="Q535" s="30"/>
      <c r="S535" s="4"/>
    </row>
    <row r="536" spans="1:20" s="29" customFormat="1" ht="14.25" x14ac:dyDescent="0.15">
      <c r="A536" s="28"/>
      <c r="B536" s="29">
        <v>40501</v>
      </c>
      <c r="C536" s="29">
        <v>24</v>
      </c>
      <c r="D536" s="30" t="s">
        <v>629</v>
      </c>
      <c r="E536" s="93"/>
      <c r="F536" s="113"/>
      <c r="O536" s="30"/>
      <c r="P536" s="29" t="s">
        <v>794</v>
      </c>
      <c r="Q536" s="30"/>
      <c r="S536" s="4"/>
    </row>
    <row r="537" spans="1:20" s="29" customFormat="1" ht="14.25" x14ac:dyDescent="0.15">
      <c r="A537" s="28"/>
      <c r="B537" s="29">
        <v>50000</v>
      </c>
      <c r="C537" s="29">
        <v>24</v>
      </c>
      <c r="D537" s="30" t="s">
        <v>630</v>
      </c>
      <c r="E537" s="93"/>
      <c r="F537" s="113"/>
      <c r="O537" s="30"/>
      <c r="P537" s="29" t="s">
        <v>794</v>
      </c>
      <c r="Q537" s="30"/>
      <c r="S537" s="4"/>
    </row>
    <row r="538" spans="1:20" ht="14.25" x14ac:dyDescent="0.15">
      <c r="A538" s="4" t="s">
        <v>1115</v>
      </c>
      <c r="B538" s="6">
        <v>50001</v>
      </c>
      <c r="C538" s="6">
        <v>6</v>
      </c>
      <c r="D538" s="6" t="s">
        <v>1116</v>
      </c>
      <c r="E538" s="93" t="s">
        <v>1738</v>
      </c>
      <c r="F538" s="109" t="s">
        <v>1117</v>
      </c>
      <c r="H538" s="6">
        <v>0</v>
      </c>
      <c r="J538" s="6">
        <v>0</v>
      </c>
      <c r="L538" s="4">
        <v>5</v>
      </c>
      <c r="M538" s="4">
        <v>2</v>
      </c>
      <c r="N538" s="4">
        <v>101</v>
      </c>
      <c r="O538" s="24"/>
      <c r="P538" s="6" t="s">
        <v>793</v>
      </c>
    </row>
    <row r="539" spans="1:20" ht="14.25" x14ac:dyDescent="0.15">
      <c r="A539" s="4" t="s">
        <v>1115</v>
      </c>
      <c r="B539" s="6">
        <v>50002</v>
      </c>
      <c r="C539" s="6">
        <v>6</v>
      </c>
      <c r="D539" s="6" t="s">
        <v>1118</v>
      </c>
      <c r="E539" s="93" t="s">
        <v>1738</v>
      </c>
      <c r="F539" s="109" t="s">
        <v>1119</v>
      </c>
      <c r="H539" s="6">
        <v>0</v>
      </c>
      <c r="J539" s="6">
        <v>0</v>
      </c>
      <c r="L539" s="4">
        <v>5</v>
      </c>
      <c r="M539" s="4">
        <v>2</v>
      </c>
      <c r="N539" s="4">
        <v>101</v>
      </c>
      <c r="O539" s="24"/>
      <c r="P539" s="6" t="s">
        <v>793</v>
      </c>
    </row>
    <row r="540" spans="1:20" ht="14.25" x14ac:dyDescent="0.15">
      <c r="A540" s="4" t="s">
        <v>1115</v>
      </c>
      <c r="B540" s="6">
        <v>50003</v>
      </c>
      <c r="C540" s="6">
        <v>6</v>
      </c>
      <c r="D540" s="6" t="s">
        <v>1120</v>
      </c>
      <c r="E540" s="93" t="s">
        <v>1737</v>
      </c>
      <c r="F540" s="109" t="s">
        <v>1121</v>
      </c>
      <c r="H540" s="6">
        <v>0</v>
      </c>
      <c r="J540" s="6">
        <v>0</v>
      </c>
      <c r="L540" s="4">
        <v>5</v>
      </c>
      <c r="M540" s="4">
        <v>2</v>
      </c>
      <c r="N540" s="4">
        <v>101</v>
      </c>
      <c r="O540" s="24"/>
      <c r="P540" s="6" t="s">
        <v>793</v>
      </c>
    </row>
    <row r="541" spans="1:20" ht="14.25" x14ac:dyDescent="0.15">
      <c r="A541" s="4" t="s">
        <v>1122</v>
      </c>
      <c r="B541" s="6">
        <v>50004</v>
      </c>
      <c r="C541" s="6">
        <v>6</v>
      </c>
      <c r="D541" s="6" t="s">
        <v>1123</v>
      </c>
      <c r="E541" s="93" t="s">
        <v>1060</v>
      </c>
      <c r="F541" s="109" t="s">
        <v>1124</v>
      </c>
      <c r="H541" s="6">
        <v>0</v>
      </c>
      <c r="J541" s="6">
        <v>0</v>
      </c>
      <c r="L541" s="4">
        <v>5</v>
      </c>
      <c r="M541" s="4">
        <v>2</v>
      </c>
      <c r="N541" s="4">
        <v>102</v>
      </c>
      <c r="O541" s="24"/>
      <c r="P541" s="6" t="s">
        <v>793</v>
      </c>
    </row>
    <row r="542" spans="1:20" ht="14.25" x14ac:dyDescent="0.15">
      <c r="A542" s="4" t="s">
        <v>1115</v>
      </c>
      <c r="B542" s="6">
        <v>50005</v>
      </c>
      <c r="C542" s="6">
        <v>6</v>
      </c>
      <c r="D542" s="6" t="s">
        <v>1125</v>
      </c>
      <c r="E542" s="93" t="s">
        <v>1060</v>
      </c>
      <c r="F542" s="109" t="s">
        <v>1126</v>
      </c>
      <c r="H542" s="6">
        <v>0</v>
      </c>
      <c r="J542" s="6">
        <v>0</v>
      </c>
      <c r="L542" s="4">
        <v>5</v>
      </c>
      <c r="M542" s="4">
        <v>2</v>
      </c>
      <c r="N542" s="4">
        <v>103</v>
      </c>
      <c r="O542" s="24"/>
      <c r="P542" s="6" t="s">
        <v>793</v>
      </c>
    </row>
    <row r="543" spans="1:20" ht="14.25" x14ac:dyDescent="0.15">
      <c r="A543" s="4" t="s">
        <v>1104</v>
      </c>
      <c r="B543" s="6">
        <v>50006</v>
      </c>
      <c r="C543" s="6">
        <v>6</v>
      </c>
      <c r="D543" s="6" t="s">
        <v>1468</v>
      </c>
      <c r="E543" s="93" t="s">
        <v>1781</v>
      </c>
      <c r="F543" s="109" t="s">
        <v>1469</v>
      </c>
      <c r="H543" s="6">
        <v>0</v>
      </c>
      <c r="J543" s="6">
        <v>0</v>
      </c>
      <c r="L543" s="4">
        <v>2</v>
      </c>
      <c r="M543" s="4">
        <v>2</v>
      </c>
      <c r="N543" s="4">
        <v>103</v>
      </c>
      <c r="O543" s="24"/>
      <c r="P543" s="6" t="s">
        <v>792</v>
      </c>
    </row>
    <row r="544" spans="1:20" ht="14.25" x14ac:dyDescent="0.15">
      <c r="A544" s="4" t="s">
        <v>13</v>
      </c>
      <c r="B544" s="6">
        <v>50007</v>
      </c>
      <c r="C544" s="6">
        <v>6</v>
      </c>
      <c r="D544" s="6" t="s">
        <v>1580</v>
      </c>
      <c r="E544" s="93" t="s">
        <v>2034</v>
      </c>
      <c r="F544" s="109" t="s">
        <v>1581</v>
      </c>
      <c r="H544" s="6">
        <v>0</v>
      </c>
      <c r="J544" s="6">
        <v>0</v>
      </c>
      <c r="L544" s="4">
        <v>2</v>
      </c>
      <c r="M544" s="4">
        <v>2</v>
      </c>
      <c r="N544" s="4">
        <v>104</v>
      </c>
      <c r="O544" s="24"/>
      <c r="P544" s="6" t="s">
        <v>792</v>
      </c>
      <c r="T544" s="4" t="s">
        <v>1585</v>
      </c>
    </row>
    <row r="545" spans="1:20" ht="14.25" x14ac:dyDescent="0.15">
      <c r="A545" s="4" t="s">
        <v>81</v>
      </c>
      <c r="B545" s="6">
        <v>50008</v>
      </c>
      <c r="C545" s="6">
        <v>6</v>
      </c>
      <c r="D545" s="6" t="s">
        <v>2038</v>
      </c>
      <c r="E545" s="93" t="s">
        <v>1781</v>
      </c>
      <c r="F545" s="109" t="s">
        <v>2023</v>
      </c>
      <c r="H545" s="6">
        <v>0</v>
      </c>
      <c r="J545" s="6">
        <v>0</v>
      </c>
      <c r="L545" s="4">
        <v>2</v>
      </c>
      <c r="M545" s="4">
        <v>1</v>
      </c>
      <c r="N545" s="4">
        <v>101</v>
      </c>
      <c r="O545" s="24"/>
      <c r="P545" s="6" t="s">
        <v>792</v>
      </c>
      <c r="T545" s="4" t="s">
        <v>2043</v>
      </c>
    </row>
    <row r="546" spans="1:20" ht="14.25" x14ac:dyDescent="0.15">
      <c r="A546" s="4" t="s">
        <v>13</v>
      </c>
      <c r="B546" s="6">
        <v>50009</v>
      </c>
      <c r="C546" s="6">
        <v>6</v>
      </c>
      <c r="D546" s="6" t="s">
        <v>2019</v>
      </c>
      <c r="E546" s="93" t="s">
        <v>1781</v>
      </c>
      <c r="F546" s="109" t="s">
        <v>2023</v>
      </c>
      <c r="H546" s="6">
        <v>0</v>
      </c>
      <c r="J546" s="6">
        <v>0</v>
      </c>
      <c r="L546" s="4">
        <v>2</v>
      </c>
      <c r="M546" s="4">
        <v>1</v>
      </c>
      <c r="N546" s="4">
        <v>101</v>
      </c>
      <c r="O546" s="24"/>
      <c r="P546" s="6" t="s">
        <v>792</v>
      </c>
      <c r="T546" s="4" t="s">
        <v>2027</v>
      </c>
    </row>
    <row r="547" spans="1:20" ht="14.25" x14ac:dyDescent="0.15">
      <c r="A547" s="4" t="s">
        <v>81</v>
      </c>
      <c r="B547" s="6">
        <v>50010</v>
      </c>
      <c r="C547" s="6">
        <v>6</v>
      </c>
      <c r="D547" s="6" t="s">
        <v>2020</v>
      </c>
      <c r="E547" s="93" t="s">
        <v>1781</v>
      </c>
      <c r="F547" s="109" t="s">
        <v>2023</v>
      </c>
      <c r="H547" s="6">
        <v>0</v>
      </c>
      <c r="J547" s="6">
        <v>0</v>
      </c>
      <c r="L547" s="4">
        <v>2</v>
      </c>
      <c r="M547" s="4">
        <v>1</v>
      </c>
      <c r="N547" s="4">
        <v>101</v>
      </c>
      <c r="O547" s="24"/>
      <c r="P547" s="6" t="s">
        <v>792</v>
      </c>
      <c r="T547" s="4" t="s">
        <v>2028</v>
      </c>
    </row>
    <row r="548" spans="1:20" ht="14.25" x14ac:dyDescent="0.15">
      <c r="A548" s="4" t="s">
        <v>13</v>
      </c>
      <c r="B548" s="6">
        <v>50011</v>
      </c>
      <c r="C548" s="6">
        <v>6</v>
      </c>
      <c r="D548" s="6" t="s">
        <v>2021</v>
      </c>
      <c r="E548" s="93" t="s">
        <v>1781</v>
      </c>
      <c r="F548" s="109" t="s">
        <v>2023</v>
      </c>
      <c r="H548" s="6">
        <v>0</v>
      </c>
      <c r="J548" s="6">
        <v>0</v>
      </c>
      <c r="L548" s="4">
        <v>2</v>
      </c>
      <c r="M548" s="4">
        <v>1</v>
      </c>
      <c r="N548" s="4">
        <v>101</v>
      </c>
      <c r="O548" s="24"/>
      <c r="P548" s="6" t="s">
        <v>792</v>
      </c>
      <c r="T548" s="4" t="s">
        <v>2029</v>
      </c>
    </row>
    <row r="549" spans="1:20" ht="14.25" x14ac:dyDescent="0.15">
      <c r="A549" s="4" t="s">
        <v>81</v>
      </c>
      <c r="B549" s="6">
        <v>50012</v>
      </c>
      <c r="C549" s="6">
        <v>6</v>
      </c>
      <c r="D549" s="6" t="s">
        <v>2022</v>
      </c>
      <c r="E549" s="93" t="s">
        <v>1781</v>
      </c>
      <c r="F549" s="109" t="s">
        <v>2023</v>
      </c>
      <c r="H549" s="6">
        <v>0</v>
      </c>
      <c r="J549" s="6">
        <v>0</v>
      </c>
      <c r="L549" s="4">
        <v>2</v>
      </c>
      <c r="M549" s="4">
        <v>1</v>
      </c>
      <c r="N549" s="4">
        <v>101</v>
      </c>
      <c r="O549" s="24"/>
      <c r="P549" s="6" t="s">
        <v>792</v>
      </c>
      <c r="T549" s="4" t="s">
        <v>2030</v>
      </c>
    </row>
    <row r="550" spans="1:20" x14ac:dyDescent="0.15">
      <c r="A550" s="4" t="s">
        <v>13</v>
      </c>
      <c r="B550" s="6">
        <v>50013</v>
      </c>
      <c r="C550" s="6">
        <v>6</v>
      </c>
      <c r="D550" s="6" t="s">
        <v>2037</v>
      </c>
      <c r="E550" s="93" t="s">
        <v>2034</v>
      </c>
      <c r="F550" s="109" t="s">
        <v>2039</v>
      </c>
      <c r="H550" s="6">
        <v>0</v>
      </c>
      <c r="I550" s="23"/>
      <c r="J550" s="6">
        <v>0</v>
      </c>
      <c r="L550" s="4">
        <v>5</v>
      </c>
      <c r="M550" s="4">
        <v>2</v>
      </c>
      <c r="N550" s="4">
        <v>103</v>
      </c>
      <c r="P550" s="6" t="s">
        <v>793</v>
      </c>
      <c r="T550" s="4" t="s">
        <v>2041</v>
      </c>
    </row>
    <row r="551" spans="1:20" x14ac:dyDescent="0.15">
      <c r="A551" s="4" t="s">
        <v>13</v>
      </c>
      <c r="B551" s="6">
        <v>50014</v>
      </c>
      <c r="C551" s="6">
        <v>6</v>
      </c>
      <c r="D551" s="6" t="s">
        <v>2120</v>
      </c>
      <c r="E551" s="93" t="s">
        <v>2034</v>
      </c>
      <c r="F551" s="109" t="s">
        <v>2127</v>
      </c>
      <c r="H551" s="6">
        <v>0</v>
      </c>
      <c r="I551" s="23"/>
      <c r="J551" s="6">
        <v>0</v>
      </c>
      <c r="L551" s="4">
        <v>5</v>
      </c>
      <c r="M551" s="4">
        <v>2</v>
      </c>
      <c r="N551" s="4">
        <v>103</v>
      </c>
      <c r="P551" s="6" t="s">
        <v>793</v>
      </c>
      <c r="T551" s="4" t="s">
        <v>2126</v>
      </c>
    </row>
    <row r="552" spans="1:20" x14ac:dyDescent="0.15">
      <c r="A552" s="4" t="s">
        <v>13</v>
      </c>
      <c r="B552" s="6">
        <v>50090</v>
      </c>
      <c r="C552" s="6">
        <v>6</v>
      </c>
      <c r="D552" s="6" t="s">
        <v>2142</v>
      </c>
      <c r="E552" s="93" t="s">
        <v>2034</v>
      </c>
      <c r="F552" s="109" t="s">
        <v>2140</v>
      </c>
      <c r="H552" s="6">
        <v>0</v>
      </c>
      <c r="I552" s="23"/>
      <c r="J552" s="6">
        <v>0</v>
      </c>
      <c r="L552" s="4">
        <v>5</v>
      </c>
      <c r="M552" s="4">
        <v>2</v>
      </c>
      <c r="N552" s="4">
        <v>101</v>
      </c>
      <c r="P552" s="6" t="s">
        <v>793</v>
      </c>
      <c r="T552" s="4" t="s">
        <v>2129</v>
      </c>
    </row>
    <row r="553" spans="1:20" x14ac:dyDescent="0.15">
      <c r="A553" s="4" t="s">
        <v>13</v>
      </c>
      <c r="B553" s="6">
        <v>50091</v>
      </c>
      <c r="C553" s="6">
        <v>6</v>
      </c>
      <c r="D553" s="6" t="s">
        <v>2116</v>
      </c>
      <c r="E553" s="93" t="s">
        <v>2034</v>
      </c>
      <c r="F553" s="109" t="s">
        <v>2139</v>
      </c>
      <c r="H553" s="6">
        <v>0</v>
      </c>
      <c r="I553" s="23"/>
      <c r="J553" s="6">
        <v>0</v>
      </c>
      <c r="L553" s="4">
        <v>5</v>
      </c>
      <c r="M553" s="4">
        <v>2</v>
      </c>
      <c r="N553" s="4">
        <v>101</v>
      </c>
      <c r="P553" s="6" t="s">
        <v>793</v>
      </c>
      <c r="T553" s="4" t="s">
        <v>2130</v>
      </c>
    </row>
    <row r="554" spans="1:20" x14ac:dyDescent="0.15">
      <c r="A554" s="4" t="s">
        <v>13</v>
      </c>
      <c r="B554" s="6">
        <v>50092</v>
      </c>
      <c r="C554" s="6">
        <v>6</v>
      </c>
      <c r="D554" s="6" t="s">
        <v>2118</v>
      </c>
      <c r="E554" s="93" t="s">
        <v>2034</v>
      </c>
      <c r="F554" s="109" t="s">
        <v>2141</v>
      </c>
      <c r="H554" s="6">
        <v>0</v>
      </c>
      <c r="I554" s="23"/>
      <c r="J554" s="6">
        <v>0</v>
      </c>
      <c r="L554" s="4">
        <v>5</v>
      </c>
      <c r="M554" s="4">
        <v>2</v>
      </c>
      <c r="N554" s="4">
        <v>101</v>
      </c>
      <c r="P554" s="6" t="s">
        <v>793</v>
      </c>
      <c r="T554" s="4" t="s">
        <v>2131</v>
      </c>
    </row>
    <row r="555" spans="1:20" x14ac:dyDescent="0.15">
      <c r="A555" s="4" t="s">
        <v>13</v>
      </c>
      <c r="B555" s="6">
        <v>50100</v>
      </c>
      <c r="C555" s="6">
        <v>6</v>
      </c>
      <c r="D555" s="6" t="s">
        <v>2044</v>
      </c>
      <c r="E555" s="93" t="s">
        <v>2034</v>
      </c>
      <c r="F555" s="109" t="s">
        <v>2045</v>
      </c>
      <c r="H555" s="6">
        <v>0</v>
      </c>
      <c r="I555" s="23"/>
      <c r="J555" s="6">
        <v>0</v>
      </c>
      <c r="L555" s="4">
        <v>5</v>
      </c>
      <c r="M555" s="4">
        <v>2</v>
      </c>
      <c r="N555" s="4">
        <v>101</v>
      </c>
      <c r="P555" s="6" t="s">
        <v>793</v>
      </c>
      <c r="T555" s="4" t="s">
        <v>2076</v>
      </c>
    </row>
    <row r="556" spans="1:20" x14ac:dyDescent="0.15">
      <c r="A556" s="4" t="s">
        <v>13</v>
      </c>
      <c r="B556" s="6">
        <v>50101</v>
      </c>
      <c r="C556" s="6">
        <v>6</v>
      </c>
      <c r="D556" s="6" t="s">
        <v>2044</v>
      </c>
      <c r="E556" s="93" t="s">
        <v>2034</v>
      </c>
      <c r="F556" s="109" t="s">
        <v>2050</v>
      </c>
      <c r="H556" s="6">
        <v>0</v>
      </c>
      <c r="I556" s="23"/>
      <c r="J556" s="6">
        <v>0</v>
      </c>
      <c r="L556" s="4">
        <v>5</v>
      </c>
      <c r="M556" s="4">
        <v>2</v>
      </c>
      <c r="N556" s="4">
        <v>101</v>
      </c>
      <c r="P556" s="6" t="s">
        <v>793</v>
      </c>
      <c r="T556" s="4" t="s">
        <v>2077</v>
      </c>
    </row>
    <row r="557" spans="1:20" x14ac:dyDescent="0.15">
      <c r="A557" s="4" t="s">
        <v>13</v>
      </c>
      <c r="B557" s="6">
        <v>50102</v>
      </c>
      <c r="C557" s="6">
        <v>6</v>
      </c>
      <c r="D557" s="6" t="s">
        <v>2044</v>
      </c>
      <c r="E557" s="93" t="s">
        <v>2034</v>
      </c>
      <c r="F557" s="109" t="s">
        <v>2051</v>
      </c>
      <c r="H557" s="6">
        <v>0</v>
      </c>
      <c r="I557" s="23"/>
      <c r="J557" s="6">
        <v>0</v>
      </c>
      <c r="L557" s="4">
        <v>5</v>
      </c>
      <c r="M557" s="4">
        <v>2</v>
      </c>
      <c r="N557" s="4">
        <v>101</v>
      </c>
      <c r="P557" s="6" t="s">
        <v>793</v>
      </c>
      <c r="T557" s="4" t="s">
        <v>2078</v>
      </c>
    </row>
    <row r="558" spans="1:20" x14ac:dyDescent="0.15">
      <c r="A558" s="4" t="s">
        <v>13</v>
      </c>
      <c r="B558" s="6">
        <v>50103</v>
      </c>
      <c r="C558" s="6">
        <v>6</v>
      </c>
      <c r="D558" s="6" t="s">
        <v>2044</v>
      </c>
      <c r="E558" s="93" t="s">
        <v>2034</v>
      </c>
      <c r="F558" s="109" t="s">
        <v>2052</v>
      </c>
      <c r="H558" s="6">
        <v>0</v>
      </c>
      <c r="I558" s="23"/>
      <c r="J558" s="6">
        <v>0</v>
      </c>
      <c r="L558" s="4">
        <v>5</v>
      </c>
      <c r="M558" s="4">
        <v>2</v>
      </c>
      <c r="N558" s="4">
        <v>101</v>
      </c>
      <c r="P558" s="6" t="s">
        <v>793</v>
      </c>
      <c r="T558" s="4" t="s">
        <v>2079</v>
      </c>
    </row>
    <row r="559" spans="1:20" x14ac:dyDescent="0.15">
      <c r="A559" s="4" t="s">
        <v>13</v>
      </c>
      <c r="B559" s="6">
        <v>50104</v>
      </c>
      <c r="C559" s="6">
        <v>6</v>
      </c>
      <c r="D559" s="6" t="s">
        <v>2044</v>
      </c>
      <c r="E559" s="93" t="s">
        <v>2034</v>
      </c>
      <c r="F559" s="109" t="s">
        <v>2053</v>
      </c>
      <c r="H559" s="6">
        <v>0</v>
      </c>
      <c r="I559" s="23"/>
      <c r="J559" s="6">
        <v>0</v>
      </c>
      <c r="L559" s="4">
        <v>5</v>
      </c>
      <c r="M559" s="4">
        <v>2</v>
      </c>
      <c r="N559" s="4">
        <v>101</v>
      </c>
      <c r="P559" s="6" t="s">
        <v>793</v>
      </c>
      <c r="T559" s="4" t="s">
        <v>2080</v>
      </c>
    </row>
    <row r="560" spans="1:20" x14ac:dyDescent="0.15">
      <c r="A560" s="4" t="s">
        <v>13</v>
      </c>
      <c r="B560" s="6">
        <v>50105</v>
      </c>
      <c r="C560" s="6">
        <v>6</v>
      </c>
      <c r="D560" s="6" t="s">
        <v>2044</v>
      </c>
      <c r="E560" s="93" t="s">
        <v>2034</v>
      </c>
      <c r="F560" s="109" t="s">
        <v>2054</v>
      </c>
      <c r="H560" s="6">
        <v>0</v>
      </c>
      <c r="I560" s="23"/>
      <c r="J560" s="6">
        <v>0</v>
      </c>
      <c r="L560" s="4">
        <v>5</v>
      </c>
      <c r="M560" s="4">
        <v>2</v>
      </c>
      <c r="N560" s="4">
        <v>101</v>
      </c>
      <c r="P560" s="6" t="s">
        <v>793</v>
      </c>
      <c r="T560" s="4">
        <v>1051</v>
      </c>
    </row>
    <row r="561" spans="1:20" x14ac:dyDescent="0.15">
      <c r="A561" s="4" t="s">
        <v>13</v>
      </c>
      <c r="B561" s="6">
        <v>50200</v>
      </c>
      <c r="C561" s="6">
        <v>6</v>
      </c>
      <c r="D561" s="6" t="s">
        <v>2068</v>
      </c>
      <c r="E561" s="93" t="s">
        <v>2034</v>
      </c>
      <c r="F561" s="109" t="s">
        <v>2071</v>
      </c>
      <c r="H561" s="6">
        <v>0</v>
      </c>
      <c r="I561" s="23"/>
      <c r="J561" s="6">
        <v>0</v>
      </c>
      <c r="L561" s="4">
        <v>5</v>
      </c>
      <c r="M561" s="4">
        <v>2</v>
      </c>
      <c r="N561" s="4">
        <v>101</v>
      </c>
      <c r="P561" s="6" t="s">
        <v>793</v>
      </c>
      <c r="T561" s="4" t="s">
        <v>2081</v>
      </c>
    </row>
    <row r="562" spans="1:20" x14ac:dyDescent="0.15">
      <c r="A562" s="4" t="s">
        <v>13</v>
      </c>
      <c r="B562" s="6">
        <v>50201</v>
      </c>
      <c r="C562" s="6">
        <v>6</v>
      </c>
      <c r="D562" s="6" t="s">
        <v>2070</v>
      </c>
      <c r="E562" s="93" t="s">
        <v>2034</v>
      </c>
      <c r="F562" s="109" t="s">
        <v>2072</v>
      </c>
      <c r="H562" s="6">
        <v>0</v>
      </c>
      <c r="I562" s="23"/>
      <c r="J562" s="6">
        <v>0</v>
      </c>
      <c r="L562" s="4">
        <v>5</v>
      </c>
      <c r="M562" s="4">
        <v>2</v>
      </c>
      <c r="N562" s="4">
        <v>101</v>
      </c>
      <c r="P562" s="6" t="s">
        <v>793</v>
      </c>
      <c r="T562" s="4" t="s">
        <v>2082</v>
      </c>
    </row>
    <row r="563" spans="1:20" x14ac:dyDescent="0.15">
      <c r="A563" s="4" t="s">
        <v>13</v>
      </c>
      <c r="B563" s="6">
        <v>50211</v>
      </c>
      <c r="C563" s="6">
        <v>6</v>
      </c>
      <c r="D563" s="6" t="s">
        <v>2083</v>
      </c>
      <c r="E563" s="93" t="s">
        <v>2034</v>
      </c>
      <c r="F563" s="109" t="s">
        <v>2084</v>
      </c>
      <c r="H563" s="6">
        <v>0</v>
      </c>
      <c r="I563" s="23"/>
      <c r="J563" s="6">
        <v>0</v>
      </c>
      <c r="L563" s="4">
        <v>5</v>
      </c>
      <c r="M563" s="4">
        <v>2</v>
      </c>
      <c r="N563" s="4">
        <v>101</v>
      </c>
      <c r="P563" s="6" t="s">
        <v>793</v>
      </c>
      <c r="T563" s="4">
        <v>2111</v>
      </c>
    </row>
    <row r="564" spans="1:20" x14ac:dyDescent="0.15">
      <c r="A564" s="4" t="s">
        <v>13</v>
      </c>
      <c r="B564" s="6">
        <v>50300</v>
      </c>
      <c r="C564" s="6">
        <v>6</v>
      </c>
      <c r="D564" s="6" t="s">
        <v>2087</v>
      </c>
      <c r="E564" s="93" t="s">
        <v>2034</v>
      </c>
      <c r="F564" s="109" t="s">
        <v>2088</v>
      </c>
      <c r="H564" s="6">
        <v>0</v>
      </c>
      <c r="I564" s="23"/>
      <c r="J564" s="6">
        <v>0</v>
      </c>
      <c r="L564" s="4">
        <v>5</v>
      </c>
      <c r="M564" s="4">
        <v>2</v>
      </c>
      <c r="N564" s="4">
        <v>104</v>
      </c>
      <c r="P564" s="6" t="s">
        <v>793</v>
      </c>
      <c r="T564" s="4" t="s">
        <v>2089</v>
      </c>
    </row>
    <row r="565" spans="1:20" x14ac:dyDescent="0.15">
      <c r="A565" s="4" t="s">
        <v>13</v>
      </c>
      <c r="B565" s="6">
        <v>50304</v>
      </c>
      <c r="C565" s="6">
        <v>6</v>
      </c>
      <c r="D565" s="6" t="s">
        <v>2096</v>
      </c>
      <c r="E565" s="93" t="s">
        <v>2034</v>
      </c>
      <c r="F565" s="109" t="s">
        <v>2097</v>
      </c>
      <c r="H565" s="6">
        <v>0</v>
      </c>
      <c r="I565" s="23"/>
      <c r="J565" s="6">
        <v>0</v>
      </c>
      <c r="L565" s="4">
        <v>5</v>
      </c>
      <c r="M565" s="4">
        <v>2</v>
      </c>
      <c r="N565" s="4">
        <v>103</v>
      </c>
      <c r="P565" s="6" t="s">
        <v>793</v>
      </c>
      <c r="T565" s="4" t="s">
        <v>2113</v>
      </c>
    </row>
    <row r="566" spans="1:20" x14ac:dyDescent="0.15">
      <c r="E566" s="93"/>
      <c r="I566" s="23"/>
    </row>
    <row r="567" spans="1:20" ht="14.25" x14ac:dyDescent="0.15">
      <c r="B567" s="6">
        <v>54999</v>
      </c>
      <c r="D567" s="6" t="s">
        <v>561</v>
      </c>
      <c r="E567" s="23"/>
      <c r="O567" s="24"/>
      <c r="P567" s="6" t="s">
        <v>794</v>
      </c>
    </row>
    <row r="568" spans="1:20" ht="14.25" x14ac:dyDescent="0.15">
      <c r="B568" s="6">
        <v>55000</v>
      </c>
      <c r="C568" s="6">
        <v>33</v>
      </c>
      <c r="D568" s="6" t="s">
        <v>1240</v>
      </c>
      <c r="E568" s="88"/>
      <c r="L568" s="4">
        <v>3</v>
      </c>
      <c r="O568" s="24"/>
      <c r="P568" s="6" t="s">
        <v>1130</v>
      </c>
    </row>
    <row r="569" spans="1:20" ht="14.25" x14ac:dyDescent="0.15">
      <c r="B569" s="6">
        <v>55999</v>
      </c>
      <c r="C569" s="6">
        <v>33</v>
      </c>
      <c r="D569" s="6" t="s">
        <v>1129</v>
      </c>
      <c r="E569" s="88"/>
      <c r="O569" s="24"/>
    </row>
    <row r="570" spans="1:20" x14ac:dyDescent="0.15">
      <c r="B570" s="6">
        <v>60001</v>
      </c>
      <c r="C570" s="6">
        <v>7</v>
      </c>
      <c r="D570" s="6" t="s">
        <v>150</v>
      </c>
      <c r="E570" s="93" t="s">
        <v>1737</v>
      </c>
      <c r="F570" s="109" t="s">
        <v>195</v>
      </c>
      <c r="H570" s="6">
        <v>0</v>
      </c>
      <c r="I570" s="23"/>
      <c r="J570" s="6">
        <v>0</v>
      </c>
      <c r="L570" s="4">
        <v>1</v>
      </c>
      <c r="P570" s="6" t="s">
        <v>792</v>
      </c>
    </row>
    <row r="571" spans="1:20" x14ac:dyDescent="0.15">
      <c r="B571" s="6">
        <v>60002</v>
      </c>
      <c r="C571" s="6">
        <v>7</v>
      </c>
      <c r="D571" s="6" t="s">
        <v>151</v>
      </c>
      <c r="E571" s="93" t="s">
        <v>1737</v>
      </c>
      <c r="F571" s="109" t="s">
        <v>103</v>
      </c>
      <c r="H571" s="6">
        <v>0</v>
      </c>
      <c r="I571" s="23"/>
      <c r="L571" s="4">
        <v>2</v>
      </c>
      <c r="P571" s="6" t="s">
        <v>796</v>
      </c>
    </row>
    <row r="572" spans="1:20" x14ac:dyDescent="0.15">
      <c r="B572" s="6">
        <v>60003</v>
      </c>
      <c r="C572" s="6">
        <v>7</v>
      </c>
      <c r="D572" s="6" t="s">
        <v>152</v>
      </c>
      <c r="E572" s="93" t="s">
        <v>1737</v>
      </c>
      <c r="F572" s="109" t="s">
        <v>103</v>
      </c>
      <c r="H572" s="6">
        <v>0</v>
      </c>
      <c r="I572" s="23"/>
      <c r="L572" s="4">
        <v>3</v>
      </c>
      <c r="P572" s="6" t="s">
        <v>797</v>
      </c>
    </row>
    <row r="573" spans="1:20" x14ac:dyDescent="0.15">
      <c r="B573" s="6">
        <v>60004</v>
      </c>
      <c r="C573" s="6">
        <v>7</v>
      </c>
      <c r="D573" s="6" t="s">
        <v>106</v>
      </c>
      <c r="E573" s="93" t="s">
        <v>1737</v>
      </c>
      <c r="F573" s="109" t="s">
        <v>103</v>
      </c>
      <c r="H573" s="6">
        <v>0</v>
      </c>
      <c r="I573" s="23"/>
      <c r="L573" s="4">
        <v>4</v>
      </c>
      <c r="P573" s="6" t="s">
        <v>795</v>
      </c>
    </row>
    <row r="574" spans="1:20" x14ac:dyDescent="0.15">
      <c r="B574" s="6">
        <v>60005</v>
      </c>
      <c r="C574" s="6">
        <v>7</v>
      </c>
      <c r="D574" s="6" t="s">
        <v>105</v>
      </c>
      <c r="E574" s="93" t="s">
        <v>1737</v>
      </c>
      <c r="F574" s="109" t="s">
        <v>103</v>
      </c>
      <c r="H574" s="6">
        <v>0</v>
      </c>
      <c r="I574" s="23"/>
      <c r="L574" s="4">
        <v>5</v>
      </c>
      <c r="P574" s="6" t="s">
        <v>793</v>
      </c>
    </row>
    <row r="575" spans="1:20" x14ac:dyDescent="0.15">
      <c r="B575" s="6">
        <v>60006</v>
      </c>
      <c r="C575" s="6">
        <v>7</v>
      </c>
      <c r="D575" s="6" t="s">
        <v>107</v>
      </c>
      <c r="E575" s="93" t="s">
        <v>1737</v>
      </c>
      <c r="F575" s="109" t="s">
        <v>103</v>
      </c>
      <c r="H575" s="6">
        <v>0</v>
      </c>
      <c r="I575" s="23"/>
      <c r="L575" s="4">
        <v>5</v>
      </c>
      <c r="P575" s="6" t="s">
        <v>793</v>
      </c>
    </row>
    <row r="576" spans="1:20" x14ac:dyDescent="0.15">
      <c r="B576" s="6">
        <v>60008</v>
      </c>
      <c r="C576" s="6">
        <v>7</v>
      </c>
      <c r="I576" s="23"/>
      <c r="L576" s="4">
        <v>5</v>
      </c>
      <c r="P576" s="6" t="s">
        <v>793</v>
      </c>
    </row>
    <row r="577" spans="2:16" x14ac:dyDescent="0.15">
      <c r="B577" s="6">
        <v>60009</v>
      </c>
      <c r="C577" s="6">
        <v>7</v>
      </c>
      <c r="I577" s="23"/>
      <c r="L577" s="4">
        <v>5</v>
      </c>
      <c r="P577" s="6" t="s">
        <v>793</v>
      </c>
    </row>
    <row r="578" spans="2:16" x14ac:dyDescent="0.15">
      <c r="B578" s="6">
        <v>60010</v>
      </c>
      <c r="C578" s="6">
        <v>7</v>
      </c>
      <c r="I578" s="23"/>
      <c r="L578" s="4">
        <v>5</v>
      </c>
      <c r="P578" s="6" t="s">
        <v>793</v>
      </c>
    </row>
    <row r="579" spans="2:16" x14ac:dyDescent="0.15">
      <c r="B579" s="6">
        <v>60011</v>
      </c>
      <c r="C579" s="6">
        <v>7</v>
      </c>
      <c r="I579" s="23"/>
      <c r="L579" s="4">
        <v>5</v>
      </c>
      <c r="P579" s="6" t="s">
        <v>793</v>
      </c>
    </row>
    <row r="580" spans="2:16" x14ac:dyDescent="0.15">
      <c r="B580" s="6">
        <v>60012</v>
      </c>
      <c r="C580" s="6">
        <v>7</v>
      </c>
      <c r="I580" s="23"/>
      <c r="L580" s="4">
        <v>5</v>
      </c>
      <c r="P580" s="6" t="s">
        <v>793</v>
      </c>
    </row>
    <row r="581" spans="2:16" x14ac:dyDescent="0.15">
      <c r="B581" s="6">
        <v>60013</v>
      </c>
      <c r="C581" s="6">
        <v>7</v>
      </c>
      <c r="I581" s="23"/>
      <c r="L581" s="4">
        <v>5</v>
      </c>
      <c r="P581" s="6" t="s">
        <v>793</v>
      </c>
    </row>
    <row r="582" spans="2:16" x14ac:dyDescent="0.15">
      <c r="B582" s="6">
        <v>60014</v>
      </c>
      <c r="C582" s="6">
        <v>7</v>
      </c>
      <c r="I582" s="23"/>
      <c r="L582" s="4">
        <v>5</v>
      </c>
      <c r="P582" s="6" t="s">
        <v>793</v>
      </c>
    </row>
    <row r="583" spans="2:16" x14ac:dyDescent="0.15">
      <c r="B583" s="6">
        <v>60015</v>
      </c>
      <c r="C583" s="6">
        <v>7</v>
      </c>
      <c r="I583" s="23"/>
      <c r="L583" s="4">
        <v>5</v>
      </c>
      <c r="P583" s="6" t="s">
        <v>793</v>
      </c>
    </row>
    <row r="584" spans="2:16" x14ac:dyDescent="0.15">
      <c r="B584" s="6">
        <v>60016</v>
      </c>
      <c r="C584" s="6">
        <v>7</v>
      </c>
      <c r="I584" s="23"/>
      <c r="L584" s="4">
        <v>5</v>
      </c>
      <c r="P584" s="6" t="s">
        <v>793</v>
      </c>
    </row>
    <row r="585" spans="2:16" x14ac:dyDescent="0.15">
      <c r="B585" s="6">
        <v>60017</v>
      </c>
      <c r="C585" s="6">
        <v>7</v>
      </c>
      <c r="I585" s="23"/>
      <c r="L585" s="4">
        <v>5</v>
      </c>
      <c r="P585" s="6" t="s">
        <v>793</v>
      </c>
    </row>
    <row r="586" spans="2:16" x14ac:dyDescent="0.15">
      <c r="B586" s="6">
        <v>60018</v>
      </c>
      <c r="C586" s="6">
        <v>7</v>
      </c>
      <c r="I586" s="23"/>
      <c r="L586" s="4">
        <v>5</v>
      </c>
      <c r="P586" s="6" t="s">
        <v>793</v>
      </c>
    </row>
    <row r="587" spans="2:16" x14ac:dyDescent="0.15">
      <c r="B587" s="6">
        <v>60019</v>
      </c>
      <c r="C587" s="6">
        <v>7</v>
      </c>
      <c r="I587" s="23"/>
      <c r="L587" s="4">
        <v>5</v>
      </c>
      <c r="P587" s="6" t="s">
        <v>793</v>
      </c>
    </row>
    <row r="588" spans="2:16" x14ac:dyDescent="0.15">
      <c r="B588" s="6">
        <v>60020</v>
      </c>
      <c r="C588" s="6">
        <v>7</v>
      </c>
      <c r="I588" s="23"/>
      <c r="L588" s="4">
        <v>5</v>
      </c>
      <c r="P588" s="6" t="s">
        <v>793</v>
      </c>
    </row>
    <row r="589" spans="2:16" x14ac:dyDescent="0.15">
      <c r="B589" s="6">
        <v>60021</v>
      </c>
      <c r="C589" s="6">
        <v>7</v>
      </c>
      <c r="I589" s="23"/>
      <c r="L589" s="4">
        <v>5</v>
      </c>
      <c r="P589" s="6" t="s">
        <v>793</v>
      </c>
    </row>
    <row r="590" spans="2:16" x14ac:dyDescent="0.15">
      <c r="B590" s="6">
        <v>60022</v>
      </c>
      <c r="C590" s="6">
        <v>7</v>
      </c>
      <c r="I590" s="23"/>
      <c r="L590" s="4">
        <v>5</v>
      </c>
      <c r="P590" s="6" t="s">
        <v>793</v>
      </c>
    </row>
    <row r="591" spans="2:16" x14ac:dyDescent="0.15">
      <c r="B591" s="6">
        <v>60023</v>
      </c>
      <c r="C591" s="6">
        <v>7</v>
      </c>
      <c r="I591" s="23"/>
      <c r="L591" s="4">
        <v>5</v>
      </c>
      <c r="P591" s="6" t="s">
        <v>793</v>
      </c>
    </row>
    <row r="592" spans="2:16" x14ac:dyDescent="0.15">
      <c r="B592" s="6">
        <v>60024</v>
      </c>
      <c r="C592" s="6">
        <v>7</v>
      </c>
      <c r="I592" s="23"/>
      <c r="L592" s="4">
        <v>5</v>
      </c>
      <c r="P592" s="6" t="s">
        <v>793</v>
      </c>
    </row>
    <row r="593" spans="2:16" x14ac:dyDescent="0.15">
      <c r="B593" s="6">
        <v>60025</v>
      </c>
      <c r="C593" s="6">
        <v>7</v>
      </c>
      <c r="I593" s="23"/>
      <c r="L593" s="4">
        <v>5</v>
      </c>
      <c r="P593" s="6" t="s">
        <v>793</v>
      </c>
    </row>
    <row r="594" spans="2:16" x14ac:dyDescent="0.15">
      <c r="B594" s="6">
        <v>60026</v>
      </c>
      <c r="C594" s="6">
        <v>7</v>
      </c>
      <c r="I594" s="23"/>
      <c r="L594" s="4">
        <v>5</v>
      </c>
      <c r="P594" s="6" t="s">
        <v>793</v>
      </c>
    </row>
    <row r="595" spans="2:16" x14ac:dyDescent="0.15">
      <c r="B595" s="6">
        <v>60027</v>
      </c>
      <c r="C595" s="6">
        <v>7</v>
      </c>
      <c r="I595" s="23"/>
      <c r="L595" s="4">
        <v>5</v>
      </c>
      <c r="P595" s="6" t="s">
        <v>793</v>
      </c>
    </row>
    <row r="596" spans="2:16" x14ac:dyDescent="0.15">
      <c r="B596" s="6">
        <v>60028</v>
      </c>
      <c r="C596" s="6">
        <v>7</v>
      </c>
      <c r="I596" s="23"/>
      <c r="L596" s="4">
        <v>5</v>
      </c>
      <c r="P596" s="6" t="s">
        <v>793</v>
      </c>
    </row>
    <row r="597" spans="2:16" x14ac:dyDescent="0.15">
      <c r="B597" s="6">
        <v>60029</v>
      </c>
      <c r="C597" s="6">
        <v>7</v>
      </c>
      <c r="I597" s="23"/>
      <c r="L597" s="4">
        <v>5</v>
      </c>
      <c r="P597" s="6" t="s">
        <v>793</v>
      </c>
    </row>
    <row r="598" spans="2:16" x14ac:dyDescent="0.15">
      <c r="B598" s="6">
        <v>60030</v>
      </c>
      <c r="C598" s="6">
        <v>7</v>
      </c>
      <c r="D598" s="6" t="s">
        <v>108</v>
      </c>
      <c r="F598" s="109" t="s">
        <v>103</v>
      </c>
      <c r="H598" s="6">
        <v>0</v>
      </c>
      <c r="I598" s="23"/>
      <c r="L598" s="4">
        <v>5</v>
      </c>
      <c r="P598" s="6" t="s">
        <v>793</v>
      </c>
    </row>
    <row r="599" spans="2:16" x14ac:dyDescent="0.15">
      <c r="B599" s="6">
        <v>69999</v>
      </c>
      <c r="D599" s="6" t="s">
        <v>562</v>
      </c>
      <c r="F599" s="109" t="s">
        <v>103</v>
      </c>
      <c r="H599" s="6">
        <v>0</v>
      </c>
      <c r="I599" s="23"/>
      <c r="J599" s="6">
        <v>0</v>
      </c>
      <c r="L599" s="4">
        <v>5</v>
      </c>
      <c r="P599" s="6" t="s">
        <v>793</v>
      </c>
    </row>
    <row r="600" spans="2:16" ht="14.25" x14ac:dyDescent="0.15">
      <c r="B600" s="49">
        <v>70001</v>
      </c>
      <c r="C600" s="6">
        <v>8</v>
      </c>
      <c r="F600" s="109" t="s">
        <v>104</v>
      </c>
      <c r="L600" s="4">
        <v>5</v>
      </c>
      <c r="P600" s="6" t="s">
        <v>793</v>
      </c>
    </row>
    <row r="601" spans="2:16" ht="14.25" x14ac:dyDescent="0.15">
      <c r="B601" s="49">
        <v>70002</v>
      </c>
      <c r="C601" s="6">
        <v>8</v>
      </c>
      <c r="F601" s="109" t="s">
        <v>104</v>
      </c>
      <c r="L601" s="4">
        <v>5</v>
      </c>
      <c r="P601" s="6" t="s">
        <v>793</v>
      </c>
    </row>
    <row r="602" spans="2:16" ht="14.25" x14ac:dyDescent="0.15">
      <c r="B602" s="49">
        <v>70003</v>
      </c>
      <c r="C602" s="6">
        <v>8</v>
      </c>
      <c r="F602" s="109" t="s">
        <v>104</v>
      </c>
      <c r="L602" s="4">
        <v>5</v>
      </c>
      <c r="P602" s="6" t="s">
        <v>793</v>
      </c>
    </row>
    <row r="603" spans="2:16" ht="14.25" x14ac:dyDescent="0.15">
      <c r="B603" s="49">
        <v>70004</v>
      </c>
      <c r="C603" s="6">
        <v>8</v>
      </c>
      <c r="F603" s="109" t="s">
        <v>104</v>
      </c>
      <c r="L603" s="4">
        <v>5</v>
      </c>
      <c r="P603" s="6" t="s">
        <v>793</v>
      </c>
    </row>
    <row r="604" spans="2:16" ht="14.25" x14ac:dyDescent="0.15">
      <c r="B604" s="49">
        <v>70005</v>
      </c>
      <c r="C604" s="6">
        <v>8</v>
      </c>
      <c r="F604" s="109" t="s">
        <v>104</v>
      </c>
      <c r="L604" s="4">
        <v>5</v>
      </c>
      <c r="P604" s="6" t="s">
        <v>793</v>
      </c>
    </row>
    <row r="605" spans="2:16" ht="14.25" x14ac:dyDescent="0.15">
      <c r="B605" s="49">
        <v>70006</v>
      </c>
      <c r="C605" s="6">
        <v>8</v>
      </c>
      <c r="F605" s="109" t="s">
        <v>104</v>
      </c>
      <c r="L605" s="4">
        <v>5</v>
      </c>
      <c r="P605" s="6" t="s">
        <v>793</v>
      </c>
    </row>
    <row r="606" spans="2:16" ht="14.25" x14ac:dyDescent="0.15">
      <c r="B606" s="49">
        <v>70007</v>
      </c>
      <c r="C606" s="6">
        <v>8</v>
      </c>
      <c r="F606" s="109" t="s">
        <v>104</v>
      </c>
      <c r="L606" s="4">
        <v>5</v>
      </c>
      <c r="P606" s="6" t="s">
        <v>793</v>
      </c>
    </row>
    <row r="607" spans="2:16" ht="14.25" x14ac:dyDescent="0.15">
      <c r="B607" s="49">
        <v>70008</v>
      </c>
      <c r="C607" s="6">
        <v>8</v>
      </c>
      <c r="F607" s="109" t="s">
        <v>104</v>
      </c>
      <c r="L607" s="4">
        <v>5</v>
      </c>
      <c r="P607" s="6" t="s">
        <v>793</v>
      </c>
    </row>
    <row r="608" spans="2:16" ht="14.25" x14ac:dyDescent="0.15">
      <c r="B608" s="49">
        <v>70009</v>
      </c>
      <c r="C608" s="6">
        <v>8</v>
      </c>
      <c r="F608" s="109" t="s">
        <v>104</v>
      </c>
      <c r="L608" s="4">
        <v>5</v>
      </c>
      <c r="P608" s="6" t="s">
        <v>793</v>
      </c>
    </row>
    <row r="609" spans="2:16" ht="14.25" x14ac:dyDescent="0.15">
      <c r="B609" s="49">
        <v>70010</v>
      </c>
      <c r="C609" s="6">
        <v>8</v>
      </c>
      <c r="L609" s="4">
        <v>5</v>
      </c>
      <c r="P609" s="6" t="s">
        <v>793</v>
      </c>
    </row>
    <row r="610" spans="2:16" ht="14.25" x14ac:dyDescent="0.15">
      <c r="B610" s="49">
        <v>70011</v>
      </c>
      <c r="C610" s="6">
        <v>8</v>
      </c>
      <c r="L610" s="4">
        <v>5</v>
      </c>
      <c r="P610" s="6" t="s">
        <v>793</v>
      </c>
    </row>
    <row r="611" spans="2:16" ht="14.25" x14ac:dyDescent="0.15">
      <c r="B611" s="49">
        <v>70012</v>
      </c>
      <c r="C611" s="6">
        <v>8</v>
      </c>
      <c r="L611" s="4">
        <v>5</v>
      </c>
      <c r="P611" s="6" t="s">
        <v>793</v>
      </c>
    </row>
    <row r="612" spans="2:16" ht="14.25" x14ac:dyDescent="0.15">
      <c r="B612" s="49">
        <v>70013</v>
      </c>
      <c r="C612" s="6">
        <v>8</v>
      </c>
      <c r="L612" s="4">
        <v>5</v>
      </c>
      <c r="P612" s="6" t="s">
        <v>793</v>
      </c>
    </row>
    <row r="613" spans="2:16" ht="14.25" x14ac:dyDescent="0.15">
      <c r="B613" s="49">
        <v>70014</v>
      </c>
      <c r="C613" s="6">
        <v>8</v>
      </c>
      <c r="L613" s="4">
        <v>5</v>
      </c>
      <c r="P613" s="6" t="s">
        <v>793</v>
      </c>
    </row>
    <row r="614" spans="2:16" ht="14.25" x14ac:dyDescent="0.15">
      <c r="B614" s="49">
        <v>70015</v>
      </c>
      <c r="C614" s="6">
        <v>8</v>
      </c>
      <c r="L614" s="4">
        <v>5</v>
      </c>
      <c r="P614" s="6" t="s">
        <v>793</v>
      </c>
    </row>
    <row r="615" spans="2:16" ht="14.25" x14ac:dyDescent="0.15">
      <c r="B615" s="49">
        <v>70016</v>
      </c>
      <c r="C615" s="6">
        <v>8</v>
      </c>
      <c r="L615" s="4">
        <v>5</v>
      </c>
      <c r="P615" s="6" t="s">
        <v>793</v>
      </c>
    </row>
    <row r="616" spans="2:16" ht="14.25" x14ac:dyDescent="0.15">
      <c r="B616" s="49">
        <v>70017</v>
      </c>
      <c r="C616" s="6">
        <v>8</v>
      </c>
      <c r="L616" s="4">
        <v>5</v>
      </c>
      <c r="P616" s="6" t="s">
        <v>793</v>
      </c>
    </row>
    <row r="617" spans="2:16" ht="14.25" x14ac:dyDescent="0.15">
      <c r="B617" s="49">
        <v>70018</v>
      </c>
      <c r="C617" s="6">
        <v>8</v>
      </c>
      <c r="L617" s="4">
        <v>5</v>
      </c>
      <c r="P617" s="6" t="s">
        <v>793</v>
      </c>
    </row>
    <row r="618" spans="2:16" ht="14.25" x14ac:dyDescent="0.15">
      <c r="B618" s="49">
        <v>70101</v>
      </c>
      <c r="C618" s="6">
        <v>8</v>
      </c>
      <c r="L618" s="4">
        <v>5</v>
      </c>
      <c r="P618" s="6" t="s">
        <v>793</v>
      </c>
    </row>
    <row r="619" spans="2:16" ht="14.25" x14ac:dyDescent="0.15">
      <c r="B619" s="49">
        <v>70102</v>
      </c>
      <c r="C619" s="6">
        <v>8</v>
      </c>
      <c r="L619" s="4">
        <v>5</v>
      </c>
      <c r="P619" s="6" t="s">
        <v>793</v>
      </c>
    </row>
    <row r="620" spans="2:16" ht="14.25" x14ac:dyDescent="0.15">
      <c r="B620" s="49">
        <v>70103</v>
      </c>
      <c r="C620" s="6">
        <v>8</v>
      </c>
      <c r="L620" s="4">
        <v>5</v>
      </c>
      <c r="P620" s="6" t="s">
        <v>793</v>
      </c>
    </row>
    <row r="621" spans="2:16" ht="14.25" x14ac:dyDescent="0.15">
      <c r="B621" s="49">
        <v>70104</v>
      </c>
      <c r="C621" s="6">
        <v>8</v>
      </c>
      <c r="L621" s="4">
        <v>5</v>
      </c>
      <c r="P621" s="6" t="s">
        <v>793</v>
      </c>
    </row>
    <row r="622" spans="2:16" ht="14.25" x14ac:dyDescent="0.15">
      <c r="B622" s="49">
        <v>70105</v>
      </c>
      <c r="C622" s="6">
        <v>8</v>
      </c>
      <c r="L622" s="4">
        <v>5</v>
      </c>
      <c r="P622" s="6" t="s">
        <v>793</v>
      </c>
    </row>
    <row r="623" spans="2:16" ht="14.25" x14ac:dyDescent="0.15">
      <c r="B623" s="49">
        <v>70106</v>
      </c>
      <c r="C623" s="6">
        <v>8</v>
      </c>
      <c r="L623" s="4">
        <v>5</v>
      </c>
      <c r="P623" s="6" t="s">
        <v>793</v>
      </c>
    </row>
    <row r="624" spans="2:16" ht="14.25" x14ac:dyDescent="0.15">
      <c r="B624" s="49">
        <v>70107</v>
      </c>
      <c r="C624" s="6">
        <v>8</v>
      </c>
      <c r="L624" s="4">
        <v>5</v>
      </c>
      <c r="P624" s="6" t="s">
        <v>793</v>
      </c>
    </row>
    <row r="625" spans="2:16" ht="14.25" x14ac:dyDescent="0.15">
      <c r="B625" s="49">
        <v>70108</v>
      </c>
      <c r="C625" s="6">
        <v>8</v>
      </c>
      <c r="L625" s="4">
        <v>5</v>
      </c>
      <c r="P625" s="6" t="s">
        <v>793</v>
      </c>
    </row>
    <row r="626" spans="2:16" ht="14.25" x14ac:dyDescent="0.15">
      <c r="B626" s="49">
        <v>70109</v>
      </c>
      <c r="C626" s="6">
        <v>8</v>
      </c>
      <c r="L626" s="4">
        <v>5</v>
      </c>
      <c r="P626" s="6" t="s">
        <v>793</v>
      </c>
    </row>
    <row r="627" spans="2:16" ht="14.25" x14ac:dyDescent="0.15">
      <c r="B627" s="49">
        <v>70110</v>
      </c>
      <c r="C627" s="6">
        <v>8</v>
      </c>
      <c r="L627" s="4">
        <v>5</v>
      </c>
      <c r="P627" s="6" t="s">
        <v>793</v>
      </c>
    </row>
    <row r="628" spans="2:16" ht="14.25" x14ac:dyDescent="0.15">
      <c r="B628" s="49">
        <v>70111</v>
      </c>
      <c r="C628" s="6">
        <v>8</v>
      </c>
      <c r="L628" s="4">
        <v>5</v>
      </c>
      <c r="P628" s="6" t="s">
        <v>793</v>
      </c>
    </row>
    <row r="629" spans="2:16" ht="14.25" x14ac:dyDescent="0.15">
      <c r="B629" s="49">
        <v>70112</v>
      </c>
      <c r="C629" s="6">
        <v>8</v>
      </c>
      <c r="L629" s="4">
        <v>5</v>
      </c>
      <c r="P629" s="6" t="s">
        <v>793</v>
      </c>
    </row>
    <row r="630" spans="2:16" ht="14.25" x14ac:dyDescent="0.15">
      <c r="B630" s="49">
        <v>70113</v>
      </c>
      <c r="C630" s="6">
        <v>8</v>
      </c>
      <c r="L630" s="4">
        <v>5</v>
      </c>
      <c r="P630" s="6" t="s">
        <v>793</v>
      </c>
    </row>
    <row r="631" spans="2:16" ht="14.25" x14ac:dyDescent="0.15">
      <c r="B631" s="49">
        <v>70114</v>
      </c>
      <c r="C631" s="6">
        <v>8</v>
      </c>
      <c r="L631" s="4">
        <v>5</v>
      </c>
      <c r="P631" s="6" t="s">
        <v>793</v>
      </c>
    </row>
    <row r="632" spans="2:16" ht="14.25" x14ac:dyDescent="0.15">
      <c r="B632" s="49">
        <v>70115</v>
      </c>
      <c r="C632" s="6">
        <v>8</v>
      </c>
      <c r="L632" s="4">
        <v>5</v>
      </c>
      <c r="P632" s="6" t="s">
        <v>793</v>
      </c>
    </row>
    <row r="633" spans="2:16" ht="14.25" x14ac:dyDescent="0.15">
      <c r="B633" s="49">
        <v>70116</v>
      </c>
      <c r="C633" s="6">
        <v>8</v>
      </c>
      <c r="L633" s="4">
        <v>5</v>
      </c>
      <c r="P633" s="6" t="s">
        <v>793</v>
      </c>
    </row>
    <row r="634" spans="2:16" ht="14.25" x14ac:dyDescent="0.15">
      <c r="B634" s="49">
        <v>70201</v>
      </c>
      <c r="C634" s="6">
        <v>8</v>
      </c>
      <c r="L634" s="4">
        <v>5</v>
      </c>
      <c r="P634" s="6" t="s">
        <v>793</v>
      </c>
    </row>
    <row r="635" spans="2:16" ht="14.25" x14ac:dyDescent="0.15">
      <c r="B635" s="49">
        <v>70202</v>
      </c>
      <c r="C635" s="6">
        <v>8</v>
      </c>
      <c r="L635" s="4">
        <v>5</v>
      </c>
      <c r="P635" s="6" t="s">
        <v>793</v>
      </c>
    </row>
    <row r="636" spans="2:16" ht="14.25" x14ac:dyDescent="0.15">
      <c r="B636" s="49">
        <v>70203</v>
      </c>
      <c r="C636" s="6">
        <v>8</v>
      </c>
      <c r="L636" s="4">
        <v>5</v>
      </c>
      <c r="P636" s="6" t="s">
        <v>793</v>
      </c>
    </row>
    <row r="637" spans="2:16" ht="14.25" x14ac:dyDescent="0.15">
      <c r="B637" s="49">
        <v>70204</v>
      </c>
      <c r="C637" s="6">
        <v>8</v>
      </c>
      <c r="L637" s="4">
        <v>5</v>
      </c>
      <c r="P637" s="6" t="s">
        <v>793</v>
      </c>
    </row>
    <row r="638" spans="2:16" ht="14.25" x14ac:dyDescent="0.15">
      <c r="B638" s="49">
        <v>70205</v>
      </c>
      <c r="C638" s="6">
        <v>8</v>
      </c>
      <c r="L638" s="4">
        <v>5</v>
      </c>
      <c r="P638" s="6" t="s">
        <v>793</v>
      </c>
    </row>
    <row r="639" spans="2:16" ht="14.25" x14ac:dyDescent="0.15">
      <c r="B639" s="49">
        <v>70206</v>
      </c>
      <c r="C639" s="6">
        <v>8</v>
      </c>
      <c r="L639" s="4">
        <v>5</v>
      </c>
      <c r="P639" s="6" t="s">
        <v>793</v>
      </c>
    </row>
    <row r="640" spans="2:16" ht="14.25" x14ac:dyDescent="0.15">
      <c r="B640" s="49">
        <v>70207</v>
      </c>
      <c r="C640" s="6">
        <v>8</v>
      </c>
      <c r="L640" s="4">
        <v>5</v>
      </c>
      <c r="P640" s="6" t="s">
        <v>793</v>
      </c>
    </row>
    <row r="641" spans="2:16" ht="14.25" x14ac:dyDescent="0.15">
      <c r="B641" s="49">
        <v>70208</v>
      </c>
      <c r="C641" s="6">
        <v>8</v>
      </c>
      <c r="L641" s="4">
        <v>5</v>
      </c>
      <c r="P641" s="6" t="s">
        <v>793</v>
      </c>
    </row>
    <row r="642" spans="2:16" ht="14.25" x14ac:dyDescent="0.15">
      <c r="B642" s="49">
        <v>70209</v>
      </c>
      <c r="C642" s="6">
        <v>8</v>
      </c>
      <c r="L642" s="4">
        <v>5</v>
      </c>
      <c r="P642" s="6" t="s">
        <v>793</v>
      </c>
    </row>
    <row r="643" spans="2:16" ht="14.25" x14ac:dyDescent="0.15">
      <c r="B643" s="49">
        <v>70210</v>
      </c>
      <c r="C643" s="6">
        <v>8</v>
      </c>
      <c r="L643" s="4">
        <v>5</v>
      </c>
      <c r="P643" s="6" t="s">
        <v>793</v>
      </c>
    </row>
    <row r="644" spans="2:16" ht="14.25" x14ac:dyDescent="0.15">
      <c r="B644" s="49">
        <v>70211</v>
      </c>
      <c r="C644" s="6">
        <v>8</v>
      </c>
      <c r="L644" s="4">
        <v>5</v>
      </c>
      <c r="P644" s="6" t="s">
        <v>793</v>
      </c>
    </row>
    <row r="645" spans="2:16" ht="14.25" x14ac:dyDescent="0.15">
      <c r="B645" s="49">
        <v>70212</v>
      </c>
      <c r="C645" s="6">
        <v>8</v>
      </c>
      <c r="L645" s="4">
        <v>5</v>
      </c>
      <c r="P645" s="6" t="s">
        <v>793</v>
      </c>
    </row>
    <row r="646" spans="2:16" ht="14.25" x14ac:dyDescent="0.15">
      <c r="B646" s="49">
        <v>70213</v>
      </c>
      <c r="C646" s="6">
        <v>8</v>
      </c>
      <c r="L646" s="4">
        <v>5</v>
      </c>
      <c r="P646" s="6" t="s">
        <v>793</v>
      </c>
    </row>
    <row r="647" spans="2:16" ht="14.25" x14ac:dyDescent="0.15">
      <c r="B647" s="49">
        <v>70214</v>
      </c>
      <c r="C647" s="6">
        <v>8</v>
      </c>
      <c r="L647" s="4">
        <v>5</v>
      </c>
      <c r="P647" s="6" t="s">
        <v>793</v>
      </c>
    </row>
    <row r="648" spans="2:16" ht="14.25" x14ac:dyDescent="0.15">
      <c r="B648" s="49">
        <v>70215</v>
      </c>
      <c r="C648" s="6">
        <v>8</v>
      </c>
      <c r="L648" s="4">
        <v>5</v>
      </c>
      <c r="P648" s="6" t="s">
        <v>793</v>
      </c>
    </row>
    <row r="649" spans="2:16" ht="14.25" x14ac:dyDescent="0.15">
      <c r="B649" s="49">
        <v>70216</v>
      </c>
      <c r="C649" s="6">
        <v>8</v>
      </c>
      <c r="L649" s="4">
        <v>5</v>
      </c>
      <c r="P649" s="6" t="s">
        <v>793</v>
      </c>
    </row>
    <row r="650" spans="2:16" ht="14.25" x14ac:dyDescent="0.15">
      <c r="B650" s="49">
        <v>70217</v>
      </c>
      <c r="C650" s="6">
        <v>8</v>
      </c>
      <c r="L650" s="4">
        <v>5</v>
      </c>
      <c r="P650" s="6" t="s">
        <v>793</v>
      </c>
    </row>
    <row r="651" spans="2:16" ht="14.25" x14ac:dyDescent="0.15">
      <c r="B651" s="49">
        <v>70301</v>
      </c>
      <c r="C651" s="6">
        <v>8</v>
      </c>
      <c r="L651" s="4">
        <v>5</v>
      </c>
      <c r="P651" s="6" t="s">
        <v>793</v>
      </c>
    </row>
    <row r="652" spans="2:16" ht="14.25" x14ac:dyDescent="0.15">
      <c r="B652" s="49">
        <v>70302</v>
      </c>
      <c r="C652" s="6">
        <v>8</v>
      </c>
      <c r="L652" s="4">
        <v>5</v>
      </c>
      <c r="P652" s="6" t="s">
        <v>793</v>
      </c>
    </row>
    <row r="653" spans="2:16" ht="14.25" x14ac:dyDescent="0.15">
      <c r="B653" s="49">
        <v>70303</v>
      </c>
      <c r="C653" s="6">
        <v>8</v>
      </c>
      <c r="L653" s="4">
        <v>5</v>
      </c>
      <c r="P653" s="6" t="s">
        <v>793</v>
      </c>
    </row>
    <row r="654" spans="2:16" ht="14.25" x14ac:dyDescent="0.15">
      <c r="B654" s="49">
        <v>70304</v>
      </c>
      <c r="C654" s="6">
        <v>8</v>
      </c>
      <c r="L654" s="4">
        <v>5</v>
      </c>
      <c r="P654" s="6" t="s">
        <v>793</v>
      </c>
    </row>
    <row r="655" spans="2:16" ht="14.25" x14ac:dyDescent="0.15">
      <c r="B655" s="49">
        <v>70305</v>
      </c>
      <c r="C655" s="6">
        <v>8</v>
      </c>
      <c r="L655" s="4">
        <v>5</v>
      </c>
      <c r="P655" s="6" t="s">
        <v>793</v>
      </c>
    </row>
    <row r="656" spans="2:16" ht="14.25" x14ac:dyDescent="0.15">
      <c r="B656" s="49">
        <v>70306</v>
      </c>
      <c r="C656" s="6">
        <v>8</v>
      </c>
      <c r="L656" s="4">
        <v>5</v>
      </c>
      <c r="P656" s="6" t="s">
        <v>793</v>
      </c>
    </row>
    <row r="657" spans="2:16" ht="14.25" x14ac:dyDescent="0.15">
      <c r="B657" s="49">
        <v>70307</v>
      </c>
      <c r="C657" s="6">
        <v>8</v>
      </c>
      <c r="L657" s="4">
        <v>5</v>
      </c>
      <c r="P657" s="6" t="s">
        <v>793</v>
      </c>
    </row>
    <row r="658" spans="2:16" ht="14.25" x14ac:dyDescent="0.15">
      <c r="B658" s="49">
        <v>70308</v>
      </c>
      <c r="C658" s="6">
        <v>8</v>
      </c>
      <c r="L658" s="4">
        <v>5</v>
      </c>
      <c r="P658" s="6" t="s">
        <v>793</v>
      </c>
    </row>
    <row r="659" spans="2:16" ht="14.25" x14ac:dyDescent="0.15">
      <c r="B659" s="49">
        <v>70309</v>
      </c>
      <c r="C659" s="6">
        <v>8</v>
      </c>
      <c r="L659" s="4">
        <v>5</v>
      </c>
      <c r="P659" s="6" t="s">
        <v>793</v>
      </c>
    </row>
    <row r="660" spans="2:16" ht="14.25" x14ac:dyDescent="0.15">
      <c r="B660" s="49">
        <v>70310</v>
      </c>
      <c r="C660" s="6">
        <v>8</v>
      </c>
      <c r="L660" s="4">
        <v>5</v>
      </c>
      <c r="P660" s="6" t="s">
        <v>793</v>
      </c>
    </row>
    <row r="661" spans="2:16" ht="14.25" x14ac:dyDescent="0.15">
      <c r="B661" s="49">
        <v>70311</v>
      </c>
      <c r="C661" s="6">
        <v>8</v>
      </c>
      <c r="L661" s="4">
        <v>5</v>
      </c>
      <c r="P661" s="6" t="s">
        <v>793</v>
      </c>
    </row>
    <row r="662" spans="2:16" ht="14.25" x14ac:dyDescent="0.15">
      <c r="B662" s="49">
        <v>70312</v>
      </c>
      <c r="C662" s="6">
        <v>8</v>
      </c>
      <c r="L662" s="4">
        <v>5</v>
      </c>
      <c r="P662" s="6" t="s">
        <v>793</v>
      </c>
    </row>
    <row r="663" spans="2:16" ht="14.25" x14ac:dyDescent="0.15">
      <c r="B663" s="49">
        <v>70313</v>
      </c>
      <c r="C663" s="6">
        <v>8</v>
      </c>
      <c r="L663" s="4">
        <v>5</v>
      </c>
      <c r="P663" s="6" t="s">
        <v>793</v>
      </c>
    </row>
    <row r="664" spans="2:16" ht="14.25" x14ac:dyDescent="0.15">
      <c r="B664" s="49">
        <v>70314</v>
      </c>
      <c r="C664" s="6">
        <v>8</v>
      </c>
      <c r="L664" s="4">
        <v>5</v>
      </c>
      <c r="P664" s="6" t="s">
        <v>793</v>
      </c>
    </row>
    <row r="665" spans="2:16" ht="14.25" x14ac:dyDescent="0.15">
      <c r="B665" s="49">
        <v>70315</v>
      </c>
      <c r="C665" s="6">
        <v>8</v>
      </c>
      <c r="L665" s="4">
        <v>5</v>
      </c>
      <c r="P665" s="6" t="s">
        <v>793</v>
      </c>
    </row>
    <row r="666" spans="2:16" ht="14.25" x14ac:dyDescent="0.15">
      <c r="B666" s="49">
        <v>70401</v>
      </c>
      <c r="C666" s="6">
        <v>8</v>
      </c>
      <c r="L666" s="4">
        <v>5</v>
      </c>
      <c r="P666" s="6" t="s">
        <v>793</v>
      </c>
    </row>
    <row r="667" spans="2:16" ht="14.25" x14ac:dyDescent="0.15">
      <c r="B667" s="49">
        <v>70402</v>
      </c>
      <c r="C667" s="6">
        <v>8</v>
      </c>
      <c r="L667" s="4">
        <v>5</v>
      </c>
      <c r="P667" s="6" t="s">
        <v>793</v>
      </c>
    </row>
    <row r="668" spans="2:16" ht="14.25" x14ac:dyDescent="0.15">
      <c r="B668" s="49">
        <v>70403</v>
      </c>
      <c r="C668" s="6">
        <v>8</v>
      </c>
      <c r="L668" s="4">
        <v>5</v>
      </c>
      <c r="P668" s="6" t="s">
        <v>793</v>
      </c>
    </row>
    <row r="669" spans="2:16" ht="14.25" x14ac:dyDescent="0.15">
      <c r="B669" s="49">
        <v>70404</v>
      </c>
      <c r="C669" s="6">
        <v>8</v>
      </c>
      <c r="L669" s="4">
        <v>5</v>
      </c>
      <c r="P669" s="6" t="s">
        <v>793</v>
      </c>
    </row>
    <row r="670" spans="2:16" ht="14.25" x14ac:dyDescent="0.15">
      <c r="B670" s="49">
        <v>70405</v>
      </c>
      <c r="C670" s="6">
        <v>8</v>
      </c>
      <c r="L670" s="4">
        <v>5</v>
      </c>
      <c r="P670" s="6" t="s">
        <v>793</v>
      </c>
    </row>
    <row r="671" spans="2:16" ht="14.25" x14ac:dyDescent="0.15">
      <c r="B671" s="49">
        <v>70406</v>
      </c>
      <c r="C671" s="6">
        <v>8</v>
      </c>
      <c r="L671" s="4">
        <v>5</v>
      </c>
      <c r="P671" s="6" t="s">
        <v>793</v>
      </c>
    </row>
    <row r="672" spans="2:16" ht="14.25" x14ac:dyDescent="0.15">
      <c r="B672" s="49">
        <v>70407</v>
      </c>
      <c r="C672" s="6">
        <v>8</v>
      </c>
      <c r="L672" s="4">
        <v>5</v>
      </c>
      <c r="P672" s="6" t="s">
        <v>793</v>
      </c>
    </row>
    <row r="673" spans="2:17" ht="14.25" x14ac:dyDescent="0.15">
      <c r="B673" s="49">
        <v>70408</v>
      </c>
      <c r="C673" s="6">
        <v>8</v>
      </c>
      <c r="L673" s="4">
        <v>5</v>
      </c>
      <c r="P673" s="6" t="s">
        <v>793</v>
      </c>
    </row>
    <row r="674" spans="2:17" ht="14.25" x14ac:dyDescent="0.15">
      <c r="B674" s="49">
        <v>70409</v>
      </c>
      <c r="C674" s="6">
        <v>8</v>
      </c>
      <c r="L674" s="4">
        <v>5</v>
      </c>
      <c r="P674" s="6" t="s">
        <v>793</v>
      </c>
    </row>
    <row r="675" spans="2:17" ht="14.25" x14ac:dyDescent="0.15">
      <c r="B675" s="49">
        <v>70410</v>
      </c>
      <c r="C675" s="6">
        <v>8</v>
      </c>
      <c r="L675" s="4">
        <v>5</v>
      </c>
      <c r="P675" s="6" t="s">
        <v>793</v>
      </c>
    </row>
    <row r="676" spans="2:17" ht="14.25" x14ac:dyDescent="0.15">
      <c r="B676" s="49">
        <v>70411</v>
      </c>
      <c r="C676" s="6">
        <v>8</v>
      </c>
      <c r="L676" s="4">
        <v>5</v>
      </c>
      <c r="P676" s="6" t="s">
        <v>793</v>
      </c>
    </row>
    <row r="677" spans="2:17" ht="14.25" x14ac:dyDescent="0.15">
      <c r="B677" s="49">
        <v>70412</v>
      </c>
      <c r="C677" s="6">
        <v>8</v>
      </c>
      <c r="L677" s="4">
        <v>5</v>
      </c>
      <c r="P677" s="6" t="s">
        <v>793</v>
      </c>
    </row>
    <row r="678" spans="2:17" ht="14.25" x14ac:dyDescent="0.15">
      <c r="B678" s="49">
        <v>70413</v>
      </c>
      <c r="C678" s="6">
        <v>8</v>
      </c>
      <c r="L678" s="4">
        <v>5</v>
      </c>
      <c r="P678" s="6" t="s">
        <v>793</v>
      </c>
    </row>
    <row r="679" spans="2:17" ht="14.25" x14ac:dyDescent="0.15">
      <c r="B679" s="49">
        <v>70414</v>
      </c>
      <c r="C679" s="6">
        <v>8</v>
      </c>
      <c r="L679" s="4">
        <v>5</v>
      </c>
      <c r="P679" s="6" t="s">
        <v>793</v>
      </c>
    </row>
    <row r="680" spans="2:17" ht="14.25" x14ac:dyDescent="0.15">
      <c r="B680" s="49">
        <v>70415</v>
      </c>
      <c r="C680" s="6">
        <v>8</v>
      </c>
      <c r="L680" s="4">
        <v>5</v>
      </c>
      <c r="P680" s="6" t="s">
        <v>793</v>
      </c>
    </row>
    <row r="681" spans="2:17" x14ac:dyDescent="0.15">
      <c r="B681" s="6">
        <v>79999</v>
      </c>
      <c r="D681" s="6" t="s">
        <v>563</v>
      </c>
      <c r="F681" s="109" t="s">
        <v>104</v>
      </c>
      <c r="L681" s="4">
        <v>5</v>
      </c>
      <c r="P681" s="6" t="s">
        <v>793</v>
      </c>
    </row>
    <row r="682" spans="2:17" x14ac:dyDescent="0.15">
      <c r="B682" s="6">
        <v>88000</v>
      </c>
      <c r="C682" s="6">
        <v>10</v>
      </c>
      <c r="D682" s="6" t="s">
        <v>122</v>
      </c>
      <c r="E682" s="6" t="s">
        <v>149</v>
      </c>
      <c r="F682" s="109" t="s">
        <v>123</v>
      </c>
      <c r="L682" s="4">
        <v>5</v>
      </c>
      <c r="P682" s="6" t="s">
        <v>793</v>
      </c>
      <c r="Q682" s="4">
        <v>3</v>
      </c>
    </row>
    <row r="683" spans="2:17" x14ac:dyDescent="0.15">
      <c r="B683" s="6">
        <v>88001</v>
      </c>
      <c r="C683" s="6">
        <v>10</v>
      </c>
      <c r="D683" s="6" t="s">
        <v>124</v>
      </c>
      <c r="E683" s="6" t="s">
        <v>1782</v>
      </c>
      <c r="F683" s="109" t="s">
        <v>125</v>
      </c>
      <c r="L683" s="4">
        <v>5</v>
      </c>
      <c r="P683" s="6" t="s">
        <v>793</v>
      </c>
      <c r="Q683" s="4">
        <v>5</v>
      </c>
    </row>
    <row r="684" spans="2:17" x14ac:dyDescent="0.15">
      <c r="B684" s="6">
        <v>88002</v>
      </c>
      <c r="C684" s="6">
        <v>10</v>
      </c>
      <c r="D684" s="6" t="s">
        <v>126</v>
      </c>
      <c r="E684" s="6" t="s">
        <v>1783</v>
      </c>
      <c r="F684" s="109" t="s">
        <v>127</v>
      </c>
      <c r="L684" s="4">
        <v>5</v>
      </c>
      <c r="P684" s="6" t="s">
        <v>793</v>
      </c>
      <c r="Q684" s="4">
        <v>5</v>
      </c>
    </row>
    <row r="685" spans="2:17" x14ac:dyDescent="0.15">
      <c r="B685" s="6">
        <v>88003</v>
      </c>
      <c r="C685" s="6">
        <v>10</v>
      </c>
      <c r="D685" s="6" t="s">
        <v>128</v>
      </c>
      <c r="E685" s="6" t="s">
        <v>1784</v>
      </c>
      <c r="F685" s="109" t="s">
        <v>115</v>
      </c>
      <c r="L685" s="4">
        <v>5</v>
      </c>
      <c r="P685" s="6" t="s">
        <v>793</v>
      </c>
      <c r="Q685" s="4">
        <v>2</v>
      </c>
    </row>
    <row r="686" spans="2:17" x14ac:dyDescent="0.15">
      <c r="B686" s="6">
        <v>89999</v>
      </c>
      <c r="D686" s="6" t="s">
        <v>564</v>
      </c>
      <c r="L686" s="4">
        <v>5</v>
      </c>
      <c r="P686" s="6" t="s">
        <v>793</v>
      </c>
    </row>
    <row r="687" spans="2:17" x14ac:dyDescent="0.15">
      <c r="B687" s="6">
        <v>90001</v>
      </c>
      <c r="C687" s="6">
        <v>11</v>
      </c>
      <c r="F687" s="109" t="s">
        <v>109</v>
      </c>
      <c r="L687" s="4">
        <v>5</v>
      </c>
      <c r="P687" s="6" t="s">
        <v>793</v>
      </c>
    </row>
    <row r="688" spans="2:17" x14ac:dyDescent="0.15">
      <c r="B688" s="6">
        <v>90002</v>
      </c>
      <c r="C688" s="6">
        <v>11</v>
      </c>
      <c r="F688" s="109" t="s">
        <v>110</v>
      </c>
      <c r="L688" s="4">
        <v>5</v>
      </c>
      <c r="P688" s="6" t="s">
        <v>793</v>
      </c>
    </row>
    <row r="689" spans="2:16" x14ac:dyDescent="0.15">
      <c r="B689" s="6">
        <v>90003</v>
      </c>
      <c r="C689" s="6">
        <v>11</v>
      </c>
      <c r="F689" s="109" t="s">
        <v>111</v>
      </c>
      <c r="L689" s="4">
        <v>5</v>
      </c>
      <c r="P689" s="6" t="s">
        <v>793</v>
      </c>
    </row>
    <row r="690" spans="2:16" x14ac:dyDescent="0.15">
      <c r="B690" s="6">
        <v>90004</v>
      </c>
      <c r="C690" s="6">
        <v>11</v>
      </c>
      <c r="F690" s="109" t="s">
        <v>112</v>
      </c>
      <c r="L690" s="4">
        <v>5</v>
      </c>
      <c r="P690" s="6" t="s">
        <v>793</v>
      </c>
    </row>
    <row r="691" spans="2:16" x14ac:dyDescent="0.15">
      <c r="B691" s="6">
        <v>90005</v>
      </c>
      <c r="C691" s="6">
        <v>11</v>
      </c>
      <c r="F691" s="109" t="s">
        <v>113</v>
      </c>
      <c r="L691" s="4">
        <v>5</v>
      </c>
      <c r="P691" s="6" t="s">
        <v>793</v>
      </c>
    </row>
    <row r="692" spans="2:16" x14ac:dyDescent="0.15">
      <c r="B692" s="6">
        <v>90006</v>
      </c>
      <c r="C692" s="6">
        <v>11</v>
      </c>
      <c r="F692" s="109" t="s">
        <v>114</v>
      </c>
      <c r="L692" s="4">
        <v>5</v>
      </c>
      <c r="P692" s="6" t="s">
        <v>793</v>
      </c>
    </row>
    <row r="693" spans="2:16" x14ac:dyDescent="0.15">
      <c r="B693" s="6">
        <v>90007</v>
      </c>
      <c r="C693" s="6">
        <v>11</v>
      </c>
      <c r="F693" s="109" t="s">
        <v>115</v>
      </c>
      <c r="L693" s="4">
        <v>5</v>
      </c>
      <c r="P693" s="6" t="s">
        <v>793</v>
      </c>
    </row>
    <row r="694" spans="2:16" x14ac:dyDescent="0.15">
      <c r="B694" s="6">
        <v>90008</v>
      </c>
      <c r="C694" s="6">
        <v>11</v>
      </c>
      <c r="F694" s="109" t="s">
        <v>116</v>
      </c>
      <c r="L694" s="4">
        <v>5</v>
      </c>
      <c r="P694" s="6" t="s">
        <v>793</v>
      </c>
    </row>
    <row r="695" spans="2:16" x14ac:dyDescent="0.15">
      <c r="B695" s="6">
        <v>90009</v>
      </c>
      <c r="C695" s="6">
        <v>11</v>
      </c>
      <c r="F695" s="109" t="s">
        <v>154</v>
      </c>
      <c r="L695" s="4">
        <v>5</v>
      </c>
      <c r="P695" s="6" t="s">
        <v>793</v>
      </c>
    </row>
    <row r="696" spans="2:16" x14ac:dyDescent="0.15">
      <c r="B696" s="6">
        <v>90010</v>
      </c>
      <c r="C696" s="6">
        <v>11</v>
      </c>
      <c r="F696" s="109" t="s">
        <v>201</v>
      </c>
      <c r="L696" s="4">
        <v>5</v>
      </c>
      <c r="P696" s="6" t="s">
        <v>793</v>
      </c>
    </row>
    <row r="697" spans="2:16" x14ac:dyDescent="0.15">
      <c r="B697" s="6">
        <v>90011</v>
      </c>
      <c r="C697" s="6">
        <v>11</v>
      </c>
      <c r="F697" s="109" t="s">
        <v>202</v>
      </c>
      <c r="L697" s="4">
        <v>5</v>
      </c>
      <c r="P697" s="6" t="s">
        <v>793</v>
      </c>
    </row>
    <row r="698" spans="2:16" x14ac:dyDescent="0.15">
      <c r="B698" s="6">
        <v>90012</v>
      </c>
      <c r="C698" s="6">
        <v>11</v>
      </c>
      <c r="F698" s="109" t="s">
        <v>203</v>
      </c>
      <c r="L698" s="4">
        <v>5</v>
      </c>
      <c r="P698" s="6" t="s">
        <v>793</v>
      </c>
    </row>
    <row r="699" spans="2:16" x14ac:dyDescent="0.15">
      <c r="B699" s="6">
        <v>90050</v>
      </c>
      <c r="D699" s="6" t="s">
        <v>565</v>
      </c>
      <c r="P699" s="6" t="s">
        <v>794</v>
      </c>
    </row>
    <row r="700" spans="2:16" x14ac:dyDescent="0.15">
      <c r="B700" s="6">
        <v>90101</v>
      </c>
      <c r="C700" s="6">
        <v>12</v>
      </c>
      <c r="D700" s="27" t="s">
        <v>1374</v>
      </c>
      <c r="E700" s="6" t="s">
        <v>1785</v>
      </c>
      <c r="F700" s="109" t="s">
        <v>171</v>
      </c>
      <c r="L700" s="4">
        <v>1</v>
      </c>
      <c r="P700" s="6" t="s">
        <v>792</v>
      </c>
    </row>
    <row r="701" spans="2:16" x14ac:dyDescent="0.15">
      <c r="B701" s="6">
        <v>92000</v>
      </c>
      <c r="D701" s="6" t="s">
        <v>566</v>
      </c>
      <c r="F701" s="109" t="s">
        <v>172</v>
      </c>
      <c r="L701" s="4">
        <v>1</v>
      </c>
      <c r="P701" s="6" t="s">
        <v>792</v>
      </c>
    </row>
    <row r="702" spans="2:16" x14ac:dyDescent="0.15">
      <c r="N702" s="7"/>
      <c r="P702" s="6" t="s">
        <v>794</v>
      </c>
    </row>
    <row r="703" spans="2:16" ht="14.25" x14ac:dyDescent="0.15">
      <c r="B703" s="46">
        <v>99001</v>
      </c>
      <c r="C703" s="6">
        <v>13</v>
      </c>
      <c r="D703" s="6" t="s">
        <v>155</v>
      </c>
      <c r="E703" s="6" t="s">
        <v>1786</v>
      </c>
      <c r="F703" s="109" t="s">
        <v>161</v>
      </c>
      <c r="J703" s="20">
        <v>0</v>
      </c>
      <c r="K703" s="19"/>
      <c r="L703" s="4">
        <v>5</v>
      </c>
      <c r="N703" s="7"/>
      <c r="O703" s="19"/>
      <c r="P703" s="6" t="s">
        <v>793</v>
      </c>
    </row>
    <row r="704" spans="2:16" ht="14.25" x14ac:dyDescent="0.15">
      <c r="B704" s="46">
        <v>99002</v>
      </c>
      <c r="C704" s="6">
        <v>13</v>
      </c>
      <c r="D704" s="6" t="s">
        <v>156</v>
      </c>
      <c r="E704" s="6" t="s">
        <v>1786</v>
      </c>
      <c r="F704" s="109" t="s">
        <v>162</v>
      </c>
      <c r="J704" s="20">
        <v>0</v>
      </c>
      <c r="K704" s="20"/>
      <c r="L704" s="4">
        <v>5</v>
      </c>
      <c r="N704" s="7"/>
      <c r="O704" s="20"/>
      <c r="P704" s="6" t="s">
        <v>793</v>
      </c>
    </row>
    <row r="705" spans="1:16" ht="14.25" x14ac:dyDescent="0.15">
      <c r="B705" s="46">
        <v>99003</v>
      </c>
      <c r="C705" s="6">
        <v>13</v>
      </c>
      <c r="D705" s="6" t="s">
        <v>157</v>
      </c>
      <c r="E705" s="6" t="s">
        <v>1786</v>
      </c>
      <c r="F705" s="109" t="s">
        <v>163</v>
      </c>
      <c r="J705" s="20">
        <v>0</v>
      </c>
      <c r="K705" s="20"/>
      <c r="L705" s="4">
        <v>5</v>
      </c>
      <c r="N705" s="7"/>
      <c r="O705" s="20"/>
      <c r="P705" s="6" t="s">
        <v>793</v>
      </c>
    </row>
    <row r="706" spans="1:16" ht="14.25" x14ac:dyDescent="0.15">
      <c r="B706" s="46">
        <v>99004</v>
      </c>
      <c r="C706" s="6">
        <v>13</v>
      </c>
      <c r="D706" s="6" t="s">
        <v>158</v>
      </c>
      <c r="E706" s="6" t="s">
        <v>1786</v>
      </c>
      <c r="F706" s="109" t="s">
        <v>164</v>
      </c>
      <c r="J706" s="20">
        <v>0</v>
      </c>
      <c r="K706" s="19"/>
      <c r="L706" s="4">
        <v>5</v>
      </c>
      <c r="N706" s="7"/>
      <c r="O706" s="19"/>
      <c r="P706" s="6" t="s">
        <v>793</v>
      </c>
    </row>
    <row r="707" spans="1:16" ht="14.25" x14ac:dyDescent="0.15">
      <c r="B707" s="46">
        <v>99100</v>
      </c>
      <c r="D707" s="6" t="s">
        <v>567</v>
      </c>
      <c r="J707" s="20"/>
      <c r="K707" s="19"/>
      <c r="N707" s="7"/>
      <c r="O707" s="19"/>
      <c r="P707" s="6" t="s">
        <v>794</v>
      </c>
    </row>
    <row r="708" spans="1:16" ht="14.25" x14ac:dyDescent="0.15">
      <c r="B708" s="20"/>
      <c r="C708" s="20"/>
      <c r="D708" s="20"/>
      <c r="E708" s="86"/>
      <c r="O708" s="20"/>
      <c r="P708" s="6" t="s">
        <v>794</v>
      </c>
    </row>
    <row r="709" spans="1:16" ht="14.25" x14ac:dyDescent="0.15">
      <c r="B709" s="20">
        <v>100101</v>
      </c>
      <c r="C709" s="6">
        <v>15</v>
      </c>
      <c r="D709" s="6" t="s">
        <v>166</v>
      </c>
      <c r="E709" s="6" t="s">
        <v>1241</v>
      </c>
      <c r="F709" s="109" t="s">
        <v>235</v>
      </c>
      <c r="J709" s="6">
        <v>0</v>
      </c>
      <c r="L709" s="4">
        <v>5</v>
      </c>
      <c r="P709" s="6" t="s">
        <v>793</v>
      </c>
    </row>
    <row r="710" spans="1:16" ht="14.25" x14ac:dyDescent="0.15">
      <c r="B710" s="20">
        <v>100102</v>
      </c>
      <c r="C710" s="6">
        <v>15</v>
      </c>
      <c r="D710" s="6" t="s">
        <v>168</v>
      </c>
      <c r="E710" s="6" t="s">
        <v>1241</v>
      </c>
      <c r="F710" s="109" t="s">
        <v>236</v>
      </c>
      <c r="J710" s="6">
        <v>0</v>
      </c>
      <c r="L710" s="4">
        <v>5</v>
      </c>
      <c r="P710" s="6" t="s">
        <v>793</v>
      </c>
    </row>
    <row r="711" spans="1:16" ht="14.25" x14ac:dyDescent="0.15">
      <c r="B711" s="20">
        <v>100103</v>
      </c>
      <c r="C711" s="6">
        <v>15</v>
      </c>
      <c r="D711" s="6" t="s">
        <v>167</v>
      </c>
      <c r="E711" s="6" t="s">
        <v>1241</v>
      </c>
      <c r="F711" s="109" t="s">
        <v>237</v>
      </c>
      <c r="J711" s="6">
        <v>0</v>
      </c>
      <c r="L711" s="4">
        <v>5</v>
      </c>
      <c r="P711" s="6" t="s">
        <v>793</v>
      </c>
    </row>
    <row r="712" spans="1:16" ht="14.25" x14ac:dyDescent="0.15">
      <c r="B712" s="20">
        <v>100104</v>
      </c>
      <c r="C712" s="6">
        <v>15</v>
      </c>
      <c r="D712" s="6" t="s">
        <v>169</v>
      </c>
      <c r="E712" s="6" t="s">
        <v>1241</v>
      </c>
      <c r="F712" s="109" t="s">
        <v>173</v>
      </c>
      <c r="J712" s="6">
        <v>0</v>
      </c>
      <c r="L712" s="4">
        <v>5</v>
      </c>
      <c r="P712" s="6" t="s">
        <v>793</v>
      </c>
    </row>
    <row r="713" spans="1:16" ht="14.25" x14ac:dyDescent="0.15">
      <c r="B713" s="20">
        <v>100105</v>
      </c>
      <c r="C713" s="6">
        <v>15</v>
      </c>
      <c r="D713" s="6" t="s">
        <v>170</v>
      </c>
      <c r="E713" s="6" t="s">
        <v>1241</v>
      </c>
      <c r="F713" s="109" t="s">
        <v>238</v>
      </c>
      <c r="J713" s="6">
        <v>0</v>
      </c>
      <c r="L713" s="4">
        <v>5</v>
      </c>
      <c r="P713" s="6" t="s">
        <v>793</v>
      </c>
    </row>
    <row r="714" spans="1:16" ht="14.25" x14ac:dyDescent="0.15">
      <c r="B714" s="20">
        <v>100200</v>
      </c>
      <c r="D714" s="6" t="s">
        <v>555</v>
      </c>
      <c r="P714" s="6" t="s">
        <v>794</v>
      </c>
    </row>
    <row r="715" spans="1:16" ht="14.25" x14ac:dyDescent="0.15">
      <c r="A715" s="18"/>
      <c r="B715" s="18">
        <v>100201</v>
      </c>
      <c r="C715" s="6">
        <v>16</v>
      </c>
      <c r="D715" s="6" t="s">
        <v>373</v>
      </c>
      <c r="E715" s="6" t="s">
        <v>1241</v>
      </c>
      <c r="F715" s="109" t="s">
        <v>196</v>
      </c>
      <c r="J715" s="6">
        <v>0</v>
      </c>
      <c r="L715" s="4">
        <v>1</v>
      </c>
      <c r="P715" s="6" t="s">
        <v>792</v>
      </c>
    </row>
    <row r="716" spans="1:16" ht="14.25" x14ac:dyDescent="0.15">
      <c r="B716" s="18">
        <v>100202</v>
      </c>
      <c r="C716" s="6">
        <v>16</v>
      </c>
      <c r="D716" s="6" t="s">
        <v>374</v>
      </c>
      <c r="E716" s="6" t="s">
        <v>1241</v>
      </c>
      <c r="F716" s="109" t="s">
        <v>197</v>
      </c>
      <c r="J716" s="6">
        <v>0</v>
      </c>
      <c r="L716" s="4">
        <v>2</v>
      </c>
      <c r="P716" s="6" t="s">
        <v>796</v>
      </c>
    </row>
    <row r="717" spans="1:16" ht="14.25" x14ac:dyDescent="0.15">
      <c r="B717" s="18">
        <v>100203</v>
      </c>
      <c r="C717" s="6">
        <v>16</v>
      </c>
      <c r="D717" s="6" t="s">
        <v>375</v>
      </c>
      <c r="E717" s="6" t="s">
        <v>1241</v>
      </c>
      <c r="F717" s="109" t="s">
        <v>198</v>
      </c>
      <c r="J717" s="6">
        <v>0</v>
      </c>
      <c r="L717" s="4">
        <v>3</v>
      </c>
      <c r="P717" s="6" t="s">
        <v>797</v>
      </c>
    </row>
    <row r="718" spans="1:16" ht="14.25" x14ac:dyDescent="0.15">
      <c r="B718" s="18">
        <v>100204</v>
      </c>
      <c r="C718" s="6">
        <v>16</v>
      </c>
      <c r="D718" s="6" t="s">
        <v>376</v>
      </c>
      <c r="E718" s="6" t="s">
        <v>1241</v>
      </c>
      <c r="F718" s="109" t="s">
        <v>199</v>
      </c>
      <c r="J718" s="6">
        <v>0</v>
      </c>
      <c r="L718" s="4">
        <v>4</v>
      </c>
      <c r="P718" s="6" t="s">
        <v>795</v>
      </c>
    </row>
    <row r="719" spans="1:16" ht="14.25" x14ac:dyDescent="0.15">
      <c r="B719" s="18">
        <v>100205</v>
      </c>
      <c r="C719" s="6">
        <v>16</v>
      </c>
      <c r="D719" s="6" t="s">
        <v>373</v>
      </c>
      <c r="E719" s="6" t="s">
        <v>1241</v>
      </c>
      <c r="F719" s="109" t="s">
        <v>174</v>
      </c>
      <c r="J719" s="6">
        <v>0</v>
      </c>
      <c r="L719" s="4">
        <v>1</v>
      </c>
      <c r="P719" s="6" t="s">
        <v>792</v>
      </c>
    </row>
    <row r="720" spans="1:16" ht="14.25" x14ac:dyDescent="0.15">
      <c r="B720" s="18">
        <v>100206</v>
      </c>
      <c r="C720" s="6">
        <v>16</v>
      </c>
      <c r="D720" s="6" t="s">
        <v>374</v>
      </c>
      <c r="E720" s="6" t="s">
        <v>1241</v>
      </c>
      <c r="F720" s="109" t="s">
        <v>175</v>
      </c>
      <c r="J720" s="6">
        <v>0</v>
      </c>
      <c r="L720" s="4">
        <v>2</v>
      </c>
      <c r="P720" s="6" t="s">
        <v>796</v>
      </c>
    </row>
    <row r="721" spans="2:16" ht="14.25" x14ac:dyDescent="0.15">
      <c r="B721" s="18">
        <v>100207</v>
      </c>
      <c r="C721" s="6">
        <v>16</v>
      </c>
      <c r="D721" s="6" t="s">
        <v>375</v>
      </c>
      <c r="E721" s="6" t="s">
        <v>1241</v>
      </c>
      <c r="F721" s="109" t="s">
        <v>176</v>
      </c>
      <c r="J721" s="6">
        <v>0</v>
      </c>
      <c r="L721" s="4">
        <v>3</v>
      </c>
      <c r="P721" s="6" t="s">
        <v>797</v>
      </c>
    </row>
    <row r="722" spans="2:16" ht="14.25" x14ac:dyDescent="0.15">
      <c r="B722" s="18">
        <v>100208</v>
      </c>
      <c r="C722" s="6">
        <v>16</v>
      </c>
      <c r="D722" s="6" t="s">
        <v>376</v>
      </c>
      <c r="E722" s="6" t="s">
        <v>1241</v>
      </c>
      <c r="F722" s="109" t="s">
        <v>199</v>
      </c>
      <c r="J722" s="6">
        <v>0</v>
      </c>
      <c r="L722" s="4">
        <v>4</v>
      </c>
      <c r="P722" s="6" t="s">
        <v>795</v>
      </c>
    </row>
    <row r="723" spans="2:16" ht="14.25" x14ac:dyDescent="0.15">
      <c r="B723" s="18">
        <v>100209</v>
      </c>
      <c r="C723" s="6">
        <v>16</v>
      </c>
      <c r="D723" s="6" t="s">
        <v>373</v>
      </c>
      <c r="E723" s="6" t="s">
        <v>1241</v>
      </c>
      <c r="F723" s="109" t="s">
        <v>174</v>
      </c>
      <c r="J723" s="6">
        <v>0</v>
      </c>
      <c r="L723" s="4">
        <v>1</v>
      </c>
      <c r="P723" s="6" t="s">
        <v>792</v>
      </c>
    </row>
    <row r="724" spans="2:16" ht="14.25" x14ac:dyDescent="0.15">
      <c r="B724" s="18">
        <v>100210</v>
      </c>
      <c r="C724" s="6">
        <v>16</v>
      </c>
      <c r="D724" s="6" t="s">
        <v>374</v>
      </c>
      <c r="E724" s="6" t="s">
        <v>1241</v>
      </c>
      <c r="F724" s="109" t="s">
        <v>197</v>
      </c>
      <c r="J724" s="6">
        <v>0</v>
      </c>
      <c r="L724" s="4">
        <v>2</v>
      </c>
      <c r="P724" s="6" t="s">
        <v>796</v>
      </c>
    </row>
    <row r="725" spans="2:16" ht="14.25" x14ac:dyDescent="0.15">
      <c r="B725" s="18">
        <v>100211</v>
      </c>
      <c r="C725" s="6">
        <v>16</v>
      </c>
      <c r="D725" s="6" t="s">
        <v>375</v>
      </c>
      <c r="E725" s="6" t="s">
        <v>1241</v>
      </c>
      <c r="F725" s="109" t="s">
        <v>176</v>
      </c>
      <c r="J725" s="6">
        <v>0</v>
      </c>
      <c r="L725" s="4">
        <v>3</v>
      </c>
      <c r="P725" s="6" t="s">
        <v>797</v>
      </c>
    </row>
    <row r="726" spans="2:16" ht="14.25" x14ac:dyDescent="0.15">
      <c r="B726" s="18">
        <v>100212</v>
      </c>
      <c r="C726" s="6">
        <v>16</v>
      </c>
      <c r="D726" s="6" t="s">
        <v>376</v>
      </c>
      <c r="E726" s="6" t="s">
        <v>1241</v>
      </c>
      <c r="F726" s="109" t="s">
        <v>199</v>
      </c>
      <c r="J726" s="6">
        <v>0</v>
      </c>
      <c r="L726" s="4">
        <v>4</v>
      </c>
      <c r="P726" s="6" t="s">
        <v>795</v>
      </c>
    </row>
    <row r="727" spans="2:16" ht="14.25" x14ac:dyDescent="0.15">
      <c r="B727" s="18">
        <v>100213</v>
      </c>
      <c r="C727" s="6">
        <v>16</v>
      </c>
      <c r="D727" s="6" t="s">
        <v>373</v>
      </c>
      <c r="E727" s="6" t="s">
        <v>1241</v>
      </c>
      <c r="F727" s="109" t="s">
        <v>174</v>
      </c>
      <c r="J727" s="6">
        <v>0</v>
      </c>
      <c r="L727" s="4">
        <v>1</v>
      </c>
      <c r="P727" s="6" t="s">
        <v>792</v>
      </c>
    </row>
    <row r="728" spans="2:16" ht="14.25" x14ac:dyDescent="0.15">
      <c r="B728" s="18">
        <v>100214</v>
      </c>
      <c r="C728" s="6">
        <v>16</v>
      </c>
      <c r="D728" s="6" t="s">
        <v>374</v>
      </c>
      <c r="E728" s="6" t="s">
        <v>1241</v>
      </c>
      <c r="F728" s="109" t="s">
        <v>175</v>
      </c>
      <c r="J728" s="6">
        <v>0</v>
      </c>
      <c r="L728" s="4">
        <v>2</v>
      </c>
      <c r="P728" s="6" t="s">
        <v>796</v>
      </c>
    </row>
    <row r="729" spans="2:16" ht="14.25" x14ac:dyDescent="0.15">
      <c r="B729" s="18">
        <v>100215</v>
      </c>
      <c r="C729" s="6">
        <v>16</v>
      </c>
      <c r="D729" s="6" t="s">
        <v>375</v>
      </c>
      <c r="E729" s="6" t="s">
        <v>1241</v>
      </c>
      <c r="F729" s="109" t="s">
        <v>198</v>
      </c>
      <c r="J729" s="6">
        <v>0</v>
      </c>
      <c r="L729" s="4">
        <v>3</v>
      </c>
      <c r="P729" s="6" t="s">
        <v>797</v>
      </c>
    </row>
    <row r="730" spans="2:16" ht="14.25" x14ac:dyDescent="0.15">
      <c r="B730" s="18">
        <v>100216</v>
      </c>
      <c r="C730" s="6">
        <v>16</v>
      </c>
      <c r="D730" s="6" t="s">
        <v>376</v>
      </c>
      <c r="E730" s="6" t="s">
        <v>1241</v>
      </c>
      <c r="F730" s="109" t="s">
        <v>200</v>
      </c>
      <c r="J730" s="6">
        <v>0</v>
      </c>
      <c r="L730" s="4">
        <v>4</v>
      </c>
      <c r="P730" s="6" t="s">
        <v>795</v>
      </c>
    </row>
    <row r="731" spans="2:16" ht="14.25" x14ac:dyDescent="0.15">
      <c r="B731" s="18">
        <v>100217</v>
      </c>
      <c r="C731" s="6">
        <v>16</v>
      </c>
      <c r="D731" s="6" t="s">
        <v>373</v>
      </c>
      <c r="E731" s="6" t="s">
        <v>1241</v>
      </c>
      <c r="F731" s="109" t="s">
        <v>174</v>
      </c>
      <c r="J731" s="6">
        <v>0</v>
      </c>
      <c r="L731" s="4">
        <v>1</v>
      </c>
      <c r="P731" s="6" t="s">
        <v>792</v>
      </c>
    </row>
    <row r="732" spans="2:16" ht="14.25" x14ac:dyDescent="0.15">
      <c r="B732" s="18">
        <v>100218</v>
      </c>
      <c r="C732" s="6">
        <v>16</v>
      </c>
      <c r="D732" s="6" t="s">
        <v>374</v>
      </c>
      <c r="E732" s="6" t="s">
        <v>1241</v>
      </c>
      <c r="F732" s="109" t="s">
        <v>175</v>
      </c>
      <c r="J732" s="6">
        <v>0</v>
      </c>
      <c r="L732" s="4">
        <v>2</v>
      </c>
      <c r="P732" s="6" t="s">
        <v>796</v>
      </c>
    </row>
    <row r="733" spans="2:16" ht="14.25" x14ac:dyDescent="0.15">
      <c r="B733" s="18">
        <v>100219</v>
      </c>
      <c r="C733" s="6">
        <v>16</v>
      </c>
      <c r="D733" s="6" t="s">
        <v>375</v>
      </c>
      <c r="E733" s="6" t="s">
        <v>1241</v>
      </c>
      <c r="F733" s="109" t="s">
        <v>176</v>
      </c>
      <c r="J733" s="6">
        <v>0</v>
      </c>
      <c r="L733" s="4">
        <v>3</v>
      </c>
      <c r="P733" s="6" t="s">
        <v>797</v>
      </c>
    </row>
    <row r="734" spans="2:16" ht="14.25" x14ac:dyDescent="0.15">
      <c r="B734" s="18">
        <v>100220</v>
      </c>
      <c r="C734" s="6">
        <v>16</v>
      </c>
      <c r="D734" s="6" t="s">
        <v>376</v>
      </c>
      <c r="E734" s="6" t="s">
        <v>1241</v>
      </c>
      <c r="F734" s="109" t="s">
        <v>199</v>
      </c>
      <c r="J734" s="6">
        <v>0</v>
      </c>
      <c r="L734" s="4">
        <v>4</v>
      </c>
      <c r="P734" s="6" t="s">
        <v>795</v>
      </c>
    </row>
    <row r="735" spans="2:16" ht="14.25" x14ac:dyDescent="0.15">
      <c r="B735" s="18">
        <v>100221</v>
      </c>
      <c r="C735" s="6">
        <v>16</v>
      </c>
      <c r="D735" s="6" t="s">
        <v>373</v>
      </c>
      <c r="E735" s="6" t="s">
        <v>1241</v>
      </c>
      <c r="F735" s="109" t="s">
        <v>196</v>
      </c>
      <c r="J735" s="6">
        <v>0</v>
      </c>
      <c r="L735" s="4">
        <v>1</v>
      </c>
      <c r="P735" s="6" t="s">
        <v>792</v>
      </c>
    </row>
    <row r="736" spans="2:16" ht="14.25" x14ac:dyDescent="0.15">
      <c r="B736" s="18">
        <v>100222</v>
      </c>
      <c r="C736" s="6">
        <v>16</v>
      </c>
      <c r="D736" s="6" t="s">
        <v>374</v>
      </c>
      <c r="E736" s="6" t="s">
        <v>1241</v>
      </c>
      <c r="F736" s="109" t="s">
        <v>197</v>
      </c>
      <c r="J736" s="6">
        <v>0</v>
      </c>
      <c r="L736" s="4">
        <v>2</v>
      </c>
      <c r="P736" s="6" t="s">
        <v>796</v>
      </c>
    </row>
    <row r="737" spans="2:16" ht="14.25" x14ac:dyDescent="0.15">
      <c r="B737" s="18">
        <v>100223</v>
      </c>
      <c r="C737" s="6">
        <v>16</v>
      </c>
      <c r="D737" s="6" t="s">
        <v>375</v>
      </c>
      <c r="E737" s="6" t="s">
        <v>1241</v>
      </c>
      <c r="F737" s="109" t="s">
        <v>198</v>
      </c>
      <c r="J737" s="6">
        <v>0</v>
      </c>
      <c r="L737" s="4">
        <v>3</v>
      </c>
      <c r="P737" s="6" t="s">
        <v>797</v>
      </c>
    </row>
    <row r="738" spans="2:16" ht="14.25" x14ac:dyDescent="0.15">
      <c r="B738" s="18">
        <v>100224</v>
      </c>
      <c r="C738" s="6">
        <v>16</v>
      </c>
      <c r="D738" s="6" t="s">
        <v>376</v>
      </c>
      <c r="E738" s="6" t="s">
        <v>1241</v>
      </c>
      <c r="F738" s="109" t="s">
        <v>199</v>
      </c>
      <c r="J738" s="6">
        <v>0</v>
      </c>
      <c r="L738" s="4">
        <v>4</v>
      </c>
      <c r="P738" s="6" t="s">
        <v>795</v>
      </c>
    </row>
    <row r="739" spans="2:16" ht="14.25" x14ac:dyDescent="0.15">
      <c r="B739" s="18">
        <v>100225</v>
      </c>
      <c r="C739" s="6">
        <v>16</v>
      </c>
      <c r="D739" s="6" t="s">
        <v>373</v>
      </c>
      <c r="E739" s="6" t="s">
        <v>1241</v>
      </c>
      <c r="F739" s="109" t="s">
        <v>174</v>
      </c>
      <c r="J739" s="6">
        <v>0</v>
      </c>
      <c r="L739" s="4">
        <v>1</v>
      </c>
      <c r="P739" s="6" t="s">
        <v>792</v>
      </c>
    </row>
    <row r="740" spans="2:16" ht="14.25" x14ac:dyDescent="0.15">
      <c r="B740" s="18">
        <v>100226</v>
      </c>
      <c r="C740" s="6">
        <v>16</v>
      </c>
      <c r="D740" s="6" t="s">
        <v>374</v>
      </c>
      <c r="E740" s="6" t="s">
        <v>1241</v>
      </c>
      <c r="F740" s="109" t="s">
        <v>175</v>
      </c>
      <c r="J740" s="6">
        <v>0</v>
      </c>
      <c r="L740" s="4">
        <v>2</v>
      </c>
      <c r="P740" s="6" t="s">
        <v>796</v>
      </c>
    </row>
    <row r="741" spans="2:16" ht="14.25" x14ac:dyDescent="0.15">
      <c r="B741" s="18">
        <v>100227</v>
      </c>
      <c r="C741" s="6">
        <v>16</v>
      </c>
      <c r="D741" s="6" t="s">
        <v>375</v>
      </c>
      <c r="E741" s="6" t="s">
        <v>1241</v>
      </c>
      <c r="F741" s="109" t="s">
        <v>176</v>
      </c>
      <c r="J741" s="6">
        <v>0</v>
      </c>
      <c r="L741" s="4">
        <v>3</v>
      </c>
      <c r="P741" s="6" t="s">
        <v>797</v>
      </c>
    </row>
    <row r="742" spans="2:16" ht="14.25" x14ac:dyDescent="0.15">
      <c r="B742" s="18">
        <v>100228</v>
      </c>
      <c r="C742" s="6">
        <v>16</v>
      </c>
      <c r="D742" s="6" t="s">
        <v>376</v>
      </c>
      <c r="E742" s="6" t="s">
        <v>1241</v>
      </c>
      <c r="F742" s="109" t="s">
        <v>199</v>
      </c>
      <c r="J742" s="6">
        <v>0</v>
      </c>
      <c r="L742" s="4">
        <v>4</v>
      </c>
      <c r="P742" s="6" t="s">
        <v>795</v>
      </c>
    </row>
    <row r="743" spans="2:16" ht="14.25" x14ac:dyDescent="0.15">
      <c r="B743" s="18">
        <v>100229</v>
      </c>
      <c r="C743" s="6">
        <v>16</v>
      </c>
      <c r="D743" s="6" t="s">
        <v>373</v>
      </c>
      <c r="E743" s="6" t="s">
        <v>1241</v>
      </c>
      <c r="F743" s="109" t="s">
        <v>174</v>
      </c>
      <c r="J743" s="6">
        <v>0</v>
      </c>
      <c r="L743" s="4">
        <v>1</v>
      </c>
      <c r="P743" s="6" t="s">
        <v>792</v>
      </c>
    </row>
    <row r="744" spans="2:16" ht="14.25" x14ac:dyDescent="0.15">
      <c r="B744" s="18">
        <v>100230</v>
      </c>
      <c r="C744" s="6">
        <v>16</v>
      </c>
      <c r="D744" s="6" t="s">
        <v>374</v>
      </c>
      <c r="E744" s="6" t="s">
        <v>1241</v>
      </c>
      <c r="F744" s="109" t="s">
        <v>175</v>
      </c>
      <c r="J744" s="6">
        <v>0</v>
      </c>
      <c r="L744" s="4">
        <v>2</v>
      </c>
      <c r="P744" s="6" t="s">
        <v>796</v>
      </c>
    </row>
    <row r="745" spans="2:16" ht="14.25" x14ac:dyDescent="0.15">
      <c r="B745" s="18">
        <v>100231</v>
      </c>
      <c r="C745" s="6">
        <v>16</v>
      </c>
      <c r="D745" s="6" t="s">
        <v>375</v>
      </c>
      <c r="E745" s="6" t="s">
        <v>1241</v>
      </c>
      <c r="F745" s="109" t="s">
        <v>198</v>
      </c>
      <c r="J745" s="6">
        <v>0</v>
      </c>
      <c r="L745" s="4">
        <v>3</v>
      </c>
      <c r="P745" s="6" t="s">
        <v>797</v>
      </c>
    </row>
    <row r="746" spans="2:16" ht="14.25" x14ac:dyDescent="0.15">
      <c r="B746" s="18">
        <v>100232</v>
      </c>
      <c r="C746" s="6">
        <v>16</v>
      </c>
      <c r="D746" s="6" t="s">
        <v>376</v>
      </c>
      <c r="E746" s="6" t="s">
        <v>1241</v>
      </c>
      <c r="F746" s="109" t="s">
        <v>199</v>
      </c>
      <c r="J746" s="6">
        <v>0</v>
      </c>
      <c r="L746" s="4">
        <v>4</v>
      </c>
      <c r="P746" s="6" t="s">
        <v>795</v>
      </c>
    </row>
    <row r="747" spans="2:16" ht="14.25" x14ac:dyDescent="0.15">
      <c r="B747" s="18">
        <v>100233</v>
      </c>
      <c r="C747" s="6">
        <v>16</v>
      </c>
      <c r="D747" s="6" t="s">
        <v>373</v>
      </c>
      <c r="E747" s="6" t="s">
        <v>1241</v>
      </c>
      <c r="F747" s="109" t="s">
        <v>174</v>
      </c>
      <c r="J747" s="6">
        <v>0</v>
      </c>
      <c r="L747" s="4">
        <v>1</v>
      </c>
      <c r="P747" s="6" t="s">
        <v>792</v>
      </c>
    </row>
    <row r="748" spans="2:16" ht="14.25" x14ac:dyDescent="0.15">
      <c r="B748" s="18">
        <v>100234</v>
      </c>
      <c r="C748" s="6">
        <v>16</v>
      </c>
      <c r="D748" s="6" t="s">
        <v>374</v>
      </c>
      <c r="E748" s="6" t="s">
        <v>1241</v>
      </c>
      <c r="F748" s="109" t="s">
        <v>197</v>
      </c>
      <c r="J748" s="6">
        <v>0</v>
      </c>
      <c r="L748" s="4">
        <v>2</v>
      </c>
      <c r="P748" s="6" t="s">
        <v>796</v>
      </c>
    </row>
    <row r="749" spans="2:16" ht="14.25" x14ac:dyDescent="0.15">
      <c r="B749" s="18">
        <v>100235</v>
      </c>
      <c r="C749" s="6">
        <v>16</v>
      </c>
      <c r="D749" s="6" t="s">
        <v>375</v>
      </c>
      <c r="E749" s="6" t="s">
        <v>1241</v>
      </c>
      <c r="F749" s="109" t="s">
        <v>176</v>
      </c>
      <c r="J749" s="6">
        <v>0</v>
      </c>
      <c r="L749" s="4">
        <v>3</v>
      </c>
      <c r="P749" s="6" t="s">
        <v>797</v>
      </c>
    </row>
    <row r="750" spans="2:16" ht="14.25" x14ac:dyDescent="0.15">
      <c r="B750" s="18">
        <v>100236</v>
      </c>
      <c r="C750" s="6">
        <v>16</v>
      </c>
      <c r="D750" s="6" t="s">
        <v>376</v>
      </c>
      <c r="E750" s="6" t="s">
        <v>1241</v>
      </c>
      <c r="F750" s="109" t="s">
        <v>199</v>
      </c>
      <c r="J750" s="6">
        <v>0</v>
      </c>
      <c r="L750" s="4">
        <v>4</v>
      </c>
      <c r="P750" s="6" t="s">
        <v>795</v>
      </c>
    </row>
    <row r="751" spans="2:16" ht="14.25" x14ac:dyDescent="0.15">
      <c r="B751" s="18">
        <v>100237</v>
      </c>
      <c r="C751" s="6">
        <v>16</v>
      </c>
      <c r="D751" s="6" t="s">
        <v>373</v>
      </c>
      <c r="E751" s="6" t="s">
        <v>1241</v>
      </c>
      <c r="F751" s="109" t="s">
        <v>196</v>
      </c>
      <c r="J751" s="6">
        <v>0</v>
      </c>
      <c r="L751" s="4">
        <v>1</v>
      </c>
      <c r="P751" s="6" t="s">
        <v>792</v>
      </c>
    </row>
    <row r="752" spans="2:16" ht="14.25" x14ac:dyDescent="0.15">
      <c r="B752" s="18">
        <v>100238</v>
      </c>
      <c r="C752" s="6">
        <v>16</v>
      </c>
      <c r="D752" s="6" t="s">
        <v>374</v>
      </c>
      <c r="E752" s="6" t="s">
        <v>1241</v>
      </c>
      <c r="F752" s="109" t="s">
        <v>197</v>
      </c>
      <c r="J752" s="6">
        <v>0</v>
      </c>
      <c r="L752" s="4">
        <v>2</v>
      </c>
      <c r="P752" s="6" t="s">
        <v>796</v>
      </c>
    </row>
    <row r="753" spans="2:16" ht="14.25" x14ac:dyDescent="0.15">
      <c r="B753" s="18">
        <v>100239</v>
      </c>
      <c r="C753" s="6">
        <v>16</v>
      </c>
      <c r="D753" s="6" t="s">
        <v>375</v>
      </c>
      <c r="E753" s="6" t="s">
        <v>1241</v>
      </c>
      <c r="F753" s="109" t="s">
        <v>198</v>
      </c>
      <c r="J753" s="6">
        <v>0</v>
      </c>
      <c r="L753" s="4">
        <v>3</v>
      </c>
      <c r="P753" s="6" t="s">
        <v>797</v>
      </c>
    </row>
    <row r="754" spans="2:16" ht="14.25" x14ac:dyDescent="0.15">
      <c r="B754" s="18">
        <v>100240</v>
      </c>
      <c r="C754" s="6">
        <v>16</v>
      </c>
      <c r="D754" s="6" t="s">
        <v>376</v>
      </c>
      <c r="E754" s="6" t="s">
        <v>1241</v>
      </c>
      <c r="F754" s="109" t="s">
        <v>199</v>
      </c>
      <c r="J754" s="6">
        <v>0</v>
      </c>
      <c r="L754" s="4">
        <v>4</v>
      </c>
      <c r="P754" s="6" t="s">
        <v>795</v>
      </c>
    </row>
    <row r="755" spans="2:16" ht="14.25" x14ac:dyDescent="0.15">
      <c r="B755" s="18">
        <v>100241</v>
      </c>
      <c r="C755" s="6">
        <v>16</v>
      </c>
      <c r="D755" s="6" t="s">
        <v>373</v>
      </c>
      <c r="E755" s="6" t="s">
        <v>1241</v>
      </c>
      <c r="F755" s="109" t="s">
        <v>196</v>
      </c>
      <c r="J755" s="6">
        <v>0</v>
      </c>
      <c r="L755" s="4">
        <v>1</v>
      </c>
      <c r="P755" s="6" t="s">
        <v>792</v>
      </c>
    </row>
    <row r="756" spans="2:16" ht="14.25" x14ac:dyDescent="0.15">
      <c r="B756" s="18">
        <v>100242</v>
      </c>
      <c r="C756" s="6">
        <v>16</v>
      </c>
      <c r="D756" s="6" t="s">
        <v>374</v>
      </c>
      <c r="E756" s="6" t="s">
        <v>1241</v>
      </c>
      <c r="F756" s="109" t="s">
        <v>175</v>
      </c>
      <c r="J756" s="6">
        <v>0</v>
      </c>
      <c r="L756" s="4">
        <v>2</v>
      </c>
      <c r="P756" s="6" t="s">
        <v>796</v>
      </c>
    </row>
    <row r="757" spans="2:16" ht="14.25" x14ac:dyDescent="0.15">
      <c r="B757" s="18">
        <v>100243</v>
      </c>
      <c r="C757" s="6">
        <v>16</v>
      </c>
      <c r="D757" s="6" t="s">
        <v>375</v>
      </c>
      <c r="E757" s="6" t="s">
        <v>1241</v>
      </c>
      <c r="F757" s="109" t="s">
        <v>198</v>
      </c>
      <c r="J757" s="6">
        <v>0</v>
      </c>
      <c r="L757" s="4">
        <v>3</v>
      </c>
      <c r="P757" s="6" t="s">
        <v>797</v>
      </c>
    </row>
    <row r="758" spans="2:16" ht="14.25" x14ac:dyDescent="0.15">
      <c r="B758" s="18">
        <v>100244</v>
      </c>
      <c r="C758" s="6">
        <v>16</v>
      </c>
      <c r="D758" s="6" t="s">
        <v>376</v>
      </c>
      <c r="E758" s="6" t="s">
        <v>1241</v>
      </c>
      <c r="F758" s="109" t="s">
        <v>200</v>
      </c>
      <c r="J758" s="6">
        <v>0</v>
      </c>
      <c r="L758" s="4">
        <v>4</v>
      </c>
      <c r="P758" s="6" t="s">
        <v>795</v>
      </c>
    </row>
    <row r="759" spans="2:16" ht="14.25" x14ac:dyDescent="0.15">
      <c r="B759" s="18">
        <v>100245</v>
      </c>
      <c r="C759" s="6">
        <v>16</v>
      </c>
      <c r="D759" s="6" t="s">
        <v>373</v>
      </c>
      <c r="E759" s="6" t="s">
        <v>1241</v>
      </c>
      <c r="F759" s="109" t="s">
        <v>196</v>
      </c>
      <c r="J759" s="6">
        <v>0</v>
      </c>
      <c r="L759" s="4">
        <v>1</v>
      </c>
      <c r="P759" s="6" t="s">
        <v>792</v>
      </c>
    </row>
    <row r="760" spans="2:16" ht="14.25" x14ac:dyDescent="0.15">
      <c r="B760" s="18">
        <v>100246</v>
      </c>
      <c r="C760" s="6">
        <v>16</v>
      </c>
      <c r="D760" s="6" t="s">
        <v>374</v>
      </c>
      <c r="E760" s="6" t="s">
        <v>1241</v>
      </c>
      <c r="F760" s="109" t="s">
        <v>197</v>
      </c>
      <c r="J760" s="6">
        <v>0</v>
      </c>
      <c r="L760" s="4">
        <v>2</v>
      </c>
      <c r="P760" s="6" t="s">
        <v>796</v>
      </c>
    </row>
    <row r="761" spans="2:16" ht="14.25" x14ac:dyDescent="0.15">
      <c r="B761" s="18">
        <v>100247</v>
      </c>
      <c r="C761" s="6">
        <v>16</v>
      </c>
      <c r="D761" s="6" t="s">
        <v>375</v>
      </c>
      <c r="E761" s="6" t="s">
        <v>1241</v>
      </c>
      <c r="F761" s="109" t="s">
        <v>198</v>
      </c>
      <c r="J761" s="6">
        <v>0</v>
      </c>
      <c r="L761" s="4">
        <v>3</v>
      </c>
      <c r="P761" s="6" t="s">
        <v>797</v>
      </c>
    </row>
    <row r="762" spans="2:16" ht="14.25" x14ac:dyDescent="0.15">
      <c r="B762" s="18">
        <v>100248</v>
      </c>
      <c r="C762" s="6">
        <v>16</v>
      </c>
      <c r="D762" s="6" t="s">
        <v>376</v>
      </c>
      <c r="E762" s="6" t="s">
        <v>1241</v>
      </c>
      <c r="F762" s="109" t="s">
        <v>200</v>
      </c>
      <c r="J762" s="6">
        <v>0</v>
      </c>
      <c r="L762" s="4">
        <v>4</v>
      </c>
      <c r="P762" s="6" t="s">
        <v>795</v>
      </c>
    </row>
    <row r="763" spans="2:16" ht="14.25" x14ac:dyDescent="0.15">
      <c r="B763" s="18">
        <v>100249</v>
      </c>
      <c r="C763" s="6">
        <v>16</v>
      </c>
      <c r="D763" s="6" t="s">
        <v>373</v>
      </c>
      <c r="E763" s="6" t="s">
        <v>1241</v>
      </c>
      <c r="F763" s="109" t="s">
        <v>174</v>
      </c>
      <c r="J763" s="6">
        <v>0</v>
      </c>
      <c r="L763" s="4">
        <v>1</v>
      </c>
      <c r="P763" s="6" t="s">
        <v>792</v>
      </c>
    </row>
    <row r="764" spans="2:16" ht="14.25" x14ac:dyDescent="0.15">
      <c r="B764" s="18">
        <v>100250</v>
      </c>
      <c r="C764" s="6">
        <v>16</v>
      </c>
      <c r="D764" s="6" t="s">
        <v>374</v>
      </c>
      <c r="E764" s="6" t="s">
        <v>1241</v>
      </c>
      <c r="F764" s="109" t="s">
        <v>175</v>
      </c>
      <c r="J764" s="6">
        <v>0</v>
      </c>
      <c r="L764" s="4">
        <v>2</v>
      </c>
      <c r="P764" s="6" t="s">
        <v>796</v>
      </c>
    </row>
    <row r="765" spans="2:16" ht="14.25" x14ac:dyDescent="0.15">
      <c r="B765" s="18">
        <v>100251</v>
      </c>
      <c r="C765" s="6">
        <v>16</v>
      </c>
      <c r="D765" s="6" t="s">
        <v>375</v>
      </c>
      <c r="E765" s="6" t="s">
        <v>1241</v>
      </c>
      <c r="F765" s="109" t="s">
        <v>176</v>
      </c>
      <c r="J765" s="6">
        <v>0</v>
      </c>
      <c r="L765" s="4">
        <v>3</v>
      </c>
      <c r="P765" s="6" t="s">
        <v>797</v>
      </c>
    </row>
    <row r="766" spans="2:16" ht="14.25" x14ac:dyDescent="0.15">
      <c r="B766" s="18">
        <v>100252</v>
      </c>
      <c r="C766" s="6">
        <v>16</v>
      </c>
      <c r="D766" s="6" t="s">
        <v>376</v>
      </c>
      <c r="E766" s="6" t="s">
        <v>1241</v>
      </c>
      <c r="F766" s="109" t="s">
        <v>199</v>
      </c>
      <c r="J766" s="6">
        <v>0</v>
      </c>
      <c r="L766" s="4">
        <v>4</v>
      </c>
      <c r="P766" s="6" t="s">
        <v>795</v>
      </c>
    </row>
    <row r="767" spans="2:16" ht="14.25" x14ac:dyDescent="0.15">
      <c r="B767" s="18">
        <v>100253</v>
      </c>
      <c r="C767" s="6">
        <v>16</v>
      </c>
      <c r="D767" s="6" t="s">
        <v>373</v>
      </c>
      <c r="E767" s="6" t="s">
        <v>1241</v>
      </c>
      <c r="F767" s="109" t="s">
        <v>174</v>
      </c>
      <c r="J767" s="6">
        <v>0</v>
      </c>
      <c r="L767" s="4">
        <v>1</v>
      </c>
      <c r="P767" s="6" t="s">
        <v>792</v>
      </c>
    </row>
    <row r="768" spans="2:16" ht="14.25" x14ac:dyDescent="0.15">
      <c r="B768" s="18">
        <v>100254</v>
      </c>
      <c r="C768" s="6">
        <v>16</v>
      </c>
      <c r="D768" s="6" t="s">
        <v>374</v>
      </c>
      <c r="E768" s="6" t="s">
        <v>1241</v>
      </c>
      <c r="F768" s="109" t="s">
        <v>175</v>
      </c>
      <c r="J768" s="6">
        <v>0</v>
      </c>
      <c r="L768" s="4">
        <v>2</v>
      </c>
      <c r="P768" s="6" t="s">
        <v>796</v>
      </c>
    </row>
    <row r="769" spans="2:16" ht="14.25" x14ac:dyDescent="0.15">
      <c r="B769" s="18">
        <v>100255</v>
      </c>
      <c r="C769" s="6">
        <v>16</v>
      </c>
      <c r="D769" s="6" t="s">
        <v>375</v>
      </c>
      <c r="E769" s="6" t="s">
        <v>1241</v>
      </c>
      <c r="F769" s="109" t="s">
        <v>176</v>
      </c>
      <c r="J769" s="6">
        <v>0</v>
      </c>
      <c r="L769" s="4">
        <v>3</v>
      </c>
      <c r="P769" s="6" t="s">
        <v>797</v>
      </c>
    </row>
    <row r="770" spans="2:16" ht="14.25" x14ac:dyDescent="0.15">
      <c r="B770" s="18">
        <v>100256</v>
      </c>
      <c r="C770" s="6">
        <v>16</v>
      </c>
      <c r="D770" s="6" t="s">
        <v>376</v>
      </c>
      <c r="E770" s="6" t="s">
        <v>1241</v>
      </c>
      <c r="F770" s="109" t="s">
        <v>199</v>
      </c>
      <c r="J770" s="6">
        <v>0</v>
      </c>
      <c r="L770" s="4">
        <v>4</v>
      </c>
      <c r="P770" s="6" t="s">
        <v>795</v>
      </c>
    </row>
    <row r="771" spans="2:16" ht="14.25" x14ac:dyDescent="0.15">
      <c r="B771" s="18">
        <v>100257</v>
      </c>
      <c r="C771" s="6">
        <v>16</v>
      </c>
      <c r="D771" s="6" t="s">
        <v>373</v>
      </c>
      <c r="E771" s="6" t="s">
        <v>1241</v>
      </c>
      <c r="F771" s="109" t="s">
        <v>174</v>
      </c>
      <c r="J771" s="6">
        <v>0</v>
      </c>
      <c r="L771" s="4">
        <v>1</v>
      </c>
      <c r="P771" s="6" t="s">
        <v>792</v>
      </c>
    </row>
    <row r="772" spans="2:16" ht="14.25" x14ac:dyDescent="0.15">
      <c r="B772" s="18">
        <v>100258</v>
      </c>
      <c r="C772" s="6">
        <v>16</v>
      </c>
      <c r="D772" s="6" t="s">
        <v>374</v>
      </c>
      <c r="E772" s="6" t="s">
        <v>1241</v>
      </c>
      <c r="F772" s="109" t="s">
        <v>175</v>
      </c>
      <c r="J772" s="6">
        <v>0</v>
      </c>
      <c r="L772" s="4">
        <v>2</v>
      </c>
      <c r="P772" s="6" t="s">
        <v>796</v>
      </c>
    </row>
    <row r="773" spans="2:16" ht="14.25" x14ac:dyDescent="0.15">
      <c r="B773" s="18">
        <v>100259</v>
      </c>
      <c r="C773" s="6">
        <v>16</v>
      </c>
      <c r="D773" s="6" t="s">
        <v>375</v>
      </c>
      <c r="E773" s="6" t="s">
        <v>1241</v>
      </c>
      <c r="F773" s="109" t="s">
        <v>176</v>
      </c>
      <c r="J773" s="6">
        <v>0</v>
      </c>
      <c r="L773" s="4">
        <v>3</v>
      </c>
      <c r="P773" s="6" t="s">
        <v>797</v>
      </c>
    </row>
    <row r="774" spans="2:16" ht="14.25" x14ac:dyDescent="0.15">
      <c r="B774" s="18">
        <v>100260</v>
      </c>
      <c r="C774" s="6">
        <v>16</v>
      </c>
      <c r="D774" s="6" t="s">
        <v>376</v>
      </c>
      <c r="E774" s="6" t="s">
        <v>1241</v>
      </c>
      <c r="F774" s="109" t="s">
        <v>199</v>
      </c>
      <c r="J774" s="6">
        <v>0</v>
      </c>
      <c r="L774" s="4">
        <v>4</v>
      </c>
      <c r="P774" s="6" t="s">
        <v>795</v>
      </c>
    </row>
    <row r="775" spans="2:16" ht="14.25" x14ac:dyDescent="0.15">
      <c r="B775" s="18">
        <v>100700</v>
      </c>
      <c r="C775" s="6">
        <v>16</v>
      </c>
      <c r="D775" s="6" t="s">
        <v>241</v>
      </c>
      <c r="E775" s="6" t="s">
        <v>540</v>
      </c>
      <c r="F775" s="109" t="s">
        <v>241</v>
      </c>
      <c r="J775" s="6">
        <v>0</v>
      </c>
      <c r="L775" s="4">
        <v>1</v>
      </c>
      <c r="P775" s="6" t="s">
        <v>792</v>
      </c>
    </row>
    <row r="776" spans="2:16" ht="14.25" x14ac:dyDescent="0.15">
      <c r="B776" s="18">
        <v>100701</v>
      </c>
      <c r="C776" s="6">
        <v>16</v>
      </c>
      <c r="D776" s="6" t="s">
        <v>377</v>
      </c>
      <c r="E776" s="6" t="s">
        <v>246</v>
      </c>
      <c r="F776" s="109" t="s">
        <v>377</v>
      </c>
      <c r="J776" s="6">
        <v>0</v>
      </c>
      <c r="L776" s="4">
        <v>1</v>
      </c>
      <c r="P776" s="6" t="s">
        <v>792</v>
      </c>
    </row>
    <row r="777" spans="2:16" ht="14.25" x14ac:dyDescent="0.15">
      <c r="B777" s="18">
        <v>100702</v>
      </c>
      <c r="C777" s="6">
        <v>16</v>
      </c>
      <c r="D777" s="6" t="s">
        <v>378</v>
      </c>
      <c r="E777" s="6" t="s">
        <v>247</v>
      </c>
      <c r="F777" s="109" t="s">
        <v>378</v>
      </c>
      <c r="J777" s="6">
        <v>0</v>
      </c>
      <c r="L777" s="4">
        <v>2</v>
      </c>
      <c r="P777" s="6" t="s">
        <v>796</v>
      </c>
    </row>
    <row r="778" spans="2:16" ht="14.25" x14ac:dyDescent="0.15">
      <c r="B778" s="18">
        <v>100703</v>
      </c>
      <c r="C778" s="6">
        <v>16</v>
      </c>
      <c r="D778" s="6" t="s">
        <v>379</v>
      </c>
      <c r="E778" s="6" t="s">
        <v>248</v>
      </c>
      <c r="F778" s="109" t="s">
        <v>379</v>
      </c>
      <c r="J778" s="6">
        <v>0</v>
      </c>
      <c r="L778" s="4">
        <v>3</v>
      </c>
      <c r="P778" s="6" t="s">
        <v>797</v>
      </c>
    </row>
    <row r="779" spans="2:16" ht="14.25" x14ac:dyDescent="0.15">
      <c r="B779" s="18">
        <v>100704</v>
      </c>
      <c r="C779" s="6">
        <v>16</v>
      </c>
      <c r="D779" s="6" t="s">
        <v>380</v>
      </c>
      <c r="E779" s="6" t="s">
        <v>249</v>
      </c>
      <c r="F779" s="109" t="s">
        <v>380</v>
      </c>
      <c r="J779" s="6">
        <v>0</v>
      </c>
      <c r="L779" s="4">
        <v>4</v>
      </c>
      <c r="P779" s="6" t="s">
        <v>795</v>
      </c>
    </row>
    <row r="780" spans="2:16" ht="14.25" x14ac:dyDescent="0.15">
      <c r="B780" s="18">
        <v>100705</v>
      </c>
      <c r="C780" s="6">
        <v>16</v>
      </c>
      <c r="D780" s="6" t="s">
        <v>381</v>
      </c>
      <c r="E780" s="6" t="s">
        <v>250</v>
      </c>
      <c r="F780" s="109" t="s">
        <v>381</v>
      </c>
      <c r="J780" s="6">
        <v>0</v>
      </c>
      <c r="L780" s="4">
        <v>1</v>
      </c>
      <c r="P780" s="6" t="s">
        <v>792</v>
      </c>
    </row>
    <row r="781" spans="2:16" ht="14.25" x14ac:dyDescent="0.15">
      <c r="B781" s="18">
        <v>100706</v>
      </c>
      <c r="C781" s="6">
        <v>16</v>
      </c>
      <c r="D781" s="6" t="s">
        <v>382</v>
      </c>
      <c r="E781" s="6" t="s">
        <v>251</v>
      </c>
      <c r="F781" s="109" t="s">
        <v>382</v>
      </c>
      <c r="J781" s="6">
        <v>0</v>
      </c>
      <c r="L781" s="4">
        <v>2</v>
      </c>
      <c r="P781" s="6" t="s">
        <v>796</v>
      </c>
    </row>
    <row r="782" spans="2:16" ht="14.25" x14ac:dyDescent="0.15">
      <c r="B782" s="18">
        <v>100707</v>
      </c>
      <c r="C782" s="6">
        <v>16</v>
      </c>
      <c r="D782" s="6" t="s">
        <v>383</v>
      </c>
      <c r="E782" s="6" t="s">
        <v>252</v>
      </c>
      <c r="F782" s="109" t="s">
        <v>383</v>
      </c>
      <c r="J782" s="6">
        <v>0</v>
      </c>
      <c r="L782" s="4">
        <v>3</v>
      </c>
      <c r="P782" s="6" t="s">
        <v>797</v>
      </c>
    </row>
    <row r="783" spans="2:16" ht="14.25" x14ac:dyDescent="0.15">
      <c r="B783" s="18">
        <v>100708</v>
      </c>
      <c r="C783" s="6">
        <v>16</v>
      </c>
      <c r="D783" s="6" t="s">
        <v>384</v>
      </c>
      <c r="E783" s="6" t="s">
        <v>253</v>
      </c>
      <c r="F783" s="109" t="s">
        <v>384</v>
      </c>
      <c r="J783" s="6">
        <v>0</v>
      </c>
      <c r="L783" s="4">
        <v>4</v>
      </c>
      <c r="P783" s="6" t="s">
        <v>795</v>
      </c>
    </row>
    <row r="784" spans="2:16" ht="14.25" x14ac:dyDescent="0.15">
      <c r="B784" s="18">
        <v>100709</v>
      </c>
      <c r="C784" s="6">
        <v>16</v>
      </c>
      <c r="D784" s="6" t="s">
        <v>385</v>
      </c>
      <c r="E784" s="6" t="s">
        <v>254</v>
      </c>
      <c r="F784" s="109" t="s">
        <v>385</v>
      </c>
      <c r="J784" s="6">
        <v>0</v>
      </c>
      <c r="L784" s="4">
        <v>1</v>
      </c>
      <c r="P784" s="6" t="s">
        <v>792</v>
      </c>
    </row>
    <row r="785" spans="2:16" ht="14.25" x14ac:dyDescent="0.15">
      <c r="B785" s="18">
        <v>100710</v>
      </c>
      <c r="C785" s="6">
        <v>16</v>
      </c>
      <c r="D785" s="6" t="s">
        <v>386</v>
      </c>
      <c r="E785" s="6" t="s">
        <v>255</v>
      </c>
      <c r="F785" s="109" t="s">
        <v>386</v>
      </c>
      <c r="J785" s="6">
        <v>0</v>
      </c>
      <c r="L785" s="4">
        <v>2</v>
      </c>
      <c r="P785" s="6" t="s">
        <v>796</v>
      </c>
    </row>
    <row r="786" spans="2:16" ht="14.25" x14ac:dyDescent="0.15">
      <c r="B786" s="18">
        <v>100711</v>
      </c>
      <c r="C786" s="6">
        <v>16</v>
      </c>
      <c r="D786" s="6" t="s">
        <v>387</v>
      </c>
      <c r="E786" s="6" t="s">
        <v>256</v>
      </c>
      <c r="F786" s="109" t="s">
        <v>387</v>
      </c>
      <c r="J786" s="6">
        <v>0</v>
      </c>
      <c r="L786" s="4">
        <v>3</v>
      </c>
      <c r="P786" s="6" t="s">
        <v>797</v>
      </c>
    </row>
    <row r="787" spans="2:16" ht="14.25" x14ac:dyDescent="0.15">
      <c r="B787" s="18">
        <v>100712</v>
      </c>
      <c r="C787" s="6">
        <v>16</v>
      </c>
      <c r="D787" s="6" t="s">
        <v>388</v>
      </c>
      <c r="E787" s="6" t="s">
        <v>257</v>
      </c>
      <c r="F787" s="109" t="s">
        <v>388</v>
      </c>
      <c r="J787" s="6">
        <v>0</v>
      </c>
      <c r="L787" s="4">
        <v>4</v>
      </c>
      <c r="P787" s="6" t="s">
        <v>795</v>
      </c>
    </row>
    <row r="788" spans="2:16" ht="14.25" x14ac:dyDescent="0.15">
      <c r="B788" s="18">
        <v>100713</v>
      </c>
      <c r="C788" s="6">
        <v>16</v>
      </c>
      <c r="D788" s="6" t="s">
        <v>389</v>
      </c>
      <c r="E788" s="6" t="s">
        <v>258</v>
      </c>
      <c r="F788" s="109" t="s">
        <v>389</v>
      </c>
      <c r="J788" s="6">
        <v>0</v>
      </c>
      <c r="L788" s="4">
        <v>1</v>
      </c>
      <c r="P788" s="6" t="s">
        <v>792</v>
      </c>
    </row>
    <row r="789" spans="2:16" ht="14.25" x14ac:dyDescent="0.15">
      <c r="B789" s="18">
        <v>100714</v>
      </c>
      <c r="C789" s="6">
        <v>16</v>
      </c>
      <c r="D789" s="6" t="s">
        <v>390</v>
      </c>
      <c r="E789" s="6" t="s">
        <v>259</v>
      </c>
      <c r="F789" s="109" t="s">
        <v>390</v>
      </c>
      <c r="J789" s="6">
        <v>0</v>
      </c>
      <c r="L789" s="4">
        <v>2</v>
      </c>
      <c r="P789" s="6" t="s">
        <v>796</v>
      </c>
    </row>
    <row r="790" spans="2:16" ht="14.25" x14ac:dyDescent="0.15">
      <c r="B790" s="18">
        <v>100715</v>
      </c>
      <c r="C790" s="6">
        <v>16</v>
      </c>
      <c r="D790" s="6" t="s">
        <v>391</v>
      </c>
      <c r="E790" s="6" t="s">
        <v>260</v>
      </c>
      <c r="F790" s="109" t="s">
        <v>391</v>
      </c>
      <c r="J790" s="6">
        <v>0</v>
      </c>
      <c r="L790" s="4">
        <v>3</v>
      </c>
      <c r="P790" s="6" t="s">
        <v>797</v>
      </c>
    </row>
    <row r="791" spans="2:16" ht="14.25" x14ac:dyDescent="0.15">
      <c r="B791" s="18">
        <v>100716</v>
      </c>
      <c r="C791" s="6">
        <v>16</v>
      </c>
      <c r="D791" s="6" t="s">
        <v>392</v>
      </c>
      <c r="E791" s="6" t="s">
        <v>261</v>
      </c>
      <c r="F791" s="109" t="s">
        <v>392</v>
      </c>
      <c r="J791" s="6">
        <v>0</v>
      </c>
      <c r="L791" s="4">
        <v>4</v>
      </c>
      <c r="P791" s="6" t="s">
        <v>795</v>
      </c>
    </row>
    <row r="792" spans="2:16" ht="14.25" x14ac:dyDescent="0.15">
      <c r="B792" s="18">
        <v>100717</v>
      </c>
      <c r="C792" s="6">
        <v>16</v>
      </c>
      <c r="D792" s="6" t="s">
        <v>393</v>
      </c>
      <c r="E792" s="6" t="s">
        <v>262</v>
      </c>
      <c r="F792" s="109" t="s">
        <v>393</v>
      </c>
      <c r="J792" s="6">
        <v>0</v>
      </c>
      <c r="L792" s="4">
        <v>1</v>
      </c>
      <c r="P792" s="6" t="s">
        <v>792</v>
      </c>
    </row>
    <row r="793" spans="2:16" ht="14.25" x14ac:dyDescent="0.15">
      <c r="B793" s="18">
        <v>100718</v>
      </c>
      <c r="C793" s="6">
        <v>16</v>
      </c>
      <c r="D793" s="6" t="s">
        <v>394</v>
      </c>
      <c r="E793" s="6" t="s">
        <v>263</v>
      </c>
      <c r="F793" s="109" t="s">
        <v>394</v>
      </c>
      <c r="J793" s="6">
        <v>0</v>
      </c>
      <c r="L793" s="4">
        <v>2</v>
      </c>
      <c r="P793" s="6" t="s">
        <v>796</v>
      </c>
    </row>
    <row r="794" spans="2:16" ht="14.25" x14ac:dyDescent="0.15">
      <c r="B794" s="18">
        <v>100719</v>
      </c>
      <c r="C794" s="6">
        <v>16</v>
      </c>
      <c r="D794" s="6" t="s">
        <v>395</v>
      </c>
      <c r="E794" s="6" t="s">
        <v>264</v>
      </c>
      <c r="F794" s="109" t="s">
        <v>395</v>
      </c>
      <c r="J794" s="6">
        <v>0</v>
      </c>
      <c r="L794" s="4">
        <v>3</v>
      </c>
      <c r="P794" s="6" t="s">
        <v>797</v>
      </c>
    </row>
    <row r="795" spans="2:16" ht="14.25" x14ac:dyDescent="0.15">
      <c r="B795" s="18">
        <v>100720</v>
      </c>
      <c r="C795" s="6">
        <v>16</v>
      </c>
      <c r="D795" s="6" t="s">
        <v>396</v>
      </c>
      <c r="E795" s="6" t="s">
        <v>265</v>
      </c>
      <c r="F795" s="109" t="s">
        <v>396</v>
      </c>
      <c r="J795" s="6">
        <v>0</v>
      </c>
      <c r="L795" s="4">
        <v>4</v>
      </c>
      <c r="P795" s="6" t="s">
        <v>795</v>
      </c>
    </row>
    <row r="796" spans="2:16" ht="14.25" x14ac:dyDescent="0.15">
      <c r="B796" s="18">
        <v>100721</v>
      </c>
      <c r="C796" s="6">
        <v>16</v>
      </c>
      <c r="D796" s="6" t="s">
        <v>397</v>
      </c>
      <c r="E796" s="6" t="s">
        <v>266</v>
      </c>
      <c r="F796" s="109" t="s">
        <v>397</v>
      </c>
      <c r="J796" s="6">
        <v>0</v>
      </c>
      <c r="L796" s="4">
        <v>1</v>
      </c>
      <c r="P796" s="6" t="s">
        <v>792</v>
      </c>
    </row>
    <row r="797" spans="2:16" ht="14.25" x14ac:dyDescent="0.15">
      <c r="B797" s="18">
        <v>100722</v>
      </c>
      <c r="C797" s="6">
        <v>16</v>
      </c>
      <c r="D797" s="6" t="s">
        <v>398</v>
      </c>
      <c r="E797" s="6" t="s">
        <v>267</v>
      </c>
      <c r="F797" s="109" t="s">
        <v>398</v>
      </c>
      <c r="J797" s="6">
        <v>0</v>
      </c>
      <c r="L797" s="4">
        <v>2</v>
      </c>
      <c r="P797" s="6" t="s">
        <v>796</v>
      </c>
    </row>
    <row r="798" spans="2:16" ht="14.25" x14ac:dyDescent="0.15">
      <c r="B798" s="18">
        <v>100723</v>
      </c>
      <c r="C798" s="6">
        <v>16</v>
      </c>
      <c r="D798" s="6" t="s">
        <v>399</v>
      </c>
      <c r="E798" s="6" t="s">
        <v>268</v>
      </c>
      <c r="F798" s="109" t="s">
        <v>399</v>
      </c>
      <c r="J798" s="6">
        <v>0</v>
      </c>
      <c r="L798" s="4">
        <v>3</v>
      </c>
      <c r="P798" s="6" t="s">
        <v>797</v>
      </c>
    </row>
    <row r="799" spans="2:16" ht="14.25" x14ac:dyDescent="0.15">
      <c r="B799" s="18">
        <v>100724</v>
      </c>
      <c r="C799" s="6">
        <v>16</v>
      </c>
      <c r="D799" s="6" t="s">
        <v>400</v>
      </c>
      <c r="E799" s="6" t="s">
        <v>269</v>
      </c>
      <c r="F799" s="109" t="s">
        <v>400</v>
      </c>
      <c r="J799" s="6">
        <v>0</v>
      </c>
      <c r="L799" s="4">
        <v>4</v>
      </c>
      <c r="P799" s="6" t="s">
        <v>795</v>
      </c>
    </row>
    <row r="800" spans="2:16" ht="14.25" x14ac:dyDescent="0.15">
      <c r="B800" s="18">
        <v>100725</v>
      </c>
      <c r="C800" s="6">
        <v>16</v>
      </c>
      <c r="D800" s="6" t="s">
        <v>401</v>
      </c>
      <c r="E800" s="6" t="s">
        <v>270</v>
      </c>
      <c r="F800" s="109" t="s">
        <v>401</v>
      </c>
      <c r="J800" s="6">
        <v>0</v>
      </c>
      <c r="L800" s="4">
        <v>1</v>
      </c>
      <c r="P800" s="6" t="s">
        <v>792</v>
      </c>
    </row>
    <row r="801" spans="2:16" ht="14.25" x14ac:dyDescent="0.15">
      <c r="B801" s="18">
        <v>100726</v>
      </c>
      <c r="C801" s="6">
        <v>16</v>
      </c>
      <c r="D801" s="6" t="s">
        <v>402</v>
      </c>
      <c r="E801" s="6" t="s">
        <v>271</v>
      </c>
      <c r="F801" s="109" t="s">
        <v>402</v>
      </c>
      <c r="J801" s="6">
        <v>0</v>
      </c>
      <c r="L801" s="4">
        <v>2</v>
      </c>
      <c r="P801" s="6" t="s">
        <v>796</v>
      </c>
    </row>
    <row r="802" spans="2:16" ht="14.25" x14ac:dyDescent="0.15">
      <c r="B802" s="18">
        <v>100727</v>
      </c>
      <c r="C802" s="6">
        <v>16</v>
      </c>
      <c r="D802" s="6" t="s">
        <v>403</v>
      </c>
      <c r="E802" s="6" t="s">
        <v>272</v>
      </c>
      <c r="F802" s="109" t="s">
        <v>403</v>
      </c>
      <c r="J802" s="6">
        <v>0</v>
      </c>
      <c r="L802" s="4">
        <v>3</v>
      </c>
      <c r="P802" s="6" t="s">
        <v>797</v>
      </c>
    </row>
    <row r="803" spans="2:16" ht="14.25" x14ac:dyDescent="0.15">
      <c r="B803" s="18">
        <v>100728</v>
      </c>
      <c r="C803" s="6">
        <v>16</v>
      </c>
      <c r="D803" s="6" t="s">
        <v>404</v>
      </c>
      <c r="E803" s="6" t="s">
        <v>273</v>
      </c>
      <c r="F803" s="109" t="s">
        <v>404</v>
      </c>
      <c r="J803" s="6">
        <v>0</v>
      </c>
      <c r="L803" s="4">
        <v>4</v>
      </c>
      <c r="P803" s="6" t="s">
        <v>795</v>
      </c>
    </row>
    <row r="804" spans="2:16" ht="14.25" x14ac:dyDescent="0.15">
      <c r="B804" s="18">
        <v>100729</v>
      </c>
      <c r="C804" s="6">
        <v>16</v>
      </c>
      <c r="D804" s="6" t="s">
        <v>405</v>
      </c>
      <c r="E804" s="6" t="s">
        <v>274</v>
      </c>
      <c r="F804" s="109" t="s">
        <v>405</v>
      </c>
      <c r="J804" s="6">
        <v>0</v>
      </c>
      <c r="L804" s="4">
        <v>1</v>
      </c>
      <c r="P804" s="6" t="s">
        <v>792</v>
      </c>
    </row>
    <row r="805" spans="2:16" ht="14.25" x14ac:dyDescent="0.15">
      <c r="B805" s="18">
        <v>100730</v>
      </c>
      <c r="C805" s="6">
        <v>16</v>
      </c>
      <c r="D805" s="6" t="s">
        <v>406</v>
      </c>
      <c r="E805" s="6" t="s">
        <v>275</v>
      </c>
      <c r="F805" s="109" t="s">
        <v>406</v>
      </c>
      <c r="J805" s="6">
        <v>0</v>
      </c>
      <c r="L805" s="4">
        <v>2</v>
      </c>
      <c r="P805" s="6" t="s">
        <v>796</v>
      </c>
    </row>
    <row r="806" spans="2:16" ht="14.25" x14ac:dyDescent="0.15">
      <c r="B806" s="18">
        <v>100731</v>
      </c>
      <c r="C806" s="6">
        <v>16</v>
      </c>
      <c r="D806" s="6" t="s">
        <v>407</v>
      </c>
      <c r="E806" s="6" t="s">
        <v>275</v>
      </c>
      <c r="F806" s="109" t="s">
        <v>407</v>
      </c>
      <c r="J806" s="6">
        <v>0</v>
      </c>
      <c r="L806" s="4">
        <v>3</v>
      </c>
      <c r="P806" s="6" t="s">
        <v>797</v>
      </c>
    </row>
    <row r="807" spans="2:16" ht="14.25" x14ac:dyDescent="0.15">
      <c r="B807" s="18">
        <v>100732</v>
      </c>
      <c r="C807" s="6">
        <v>16</v>
      </c>
      <c r="D807" s="6" t="s">
        <v>407</v>
      </c>
      <c r="E807" s="6" t="s">
        <v>275</v>
      </c>
      <c r="F807" s="109" t="s">
        <v>407</v>
      </c>
      <c r="J807" s="6">
        <v>0</v>
      </c>
      <c r="L807" s="4">
        <v>4</v>
      </c>
      <c r="P807" s="6" t="s">
        <v>795</v>
      </c>
    </row>
    <row r="808" spans="2:16" ht="14.25" x14ac:dyDescent="0.15">
      <c r="B808" s="18">
        <v>100733</v>
      </c>
      <c r="C808" s="6">
        <v>16</v>
      </c>
      <c r="D808" s="6" t="s">
        <v>407</v>
      </c>
      <c r="E808" s="6" t="s">
        <v>275</v>
      </c>
      <c r="F808" s="109" t="s">
        <v>407</v>
      </c>
      <c r="J808" s="6">
        <v>0</v>
      </c>
      <c r="L808" s="4">
        <v>1</v>
      </c>
      <c r="P808" s="6" t="s">
        <v>792</v>
      </c>
    </row>
    <row r="809" spans="2:16" ht="14.25" x14ac:dyDescent="0.15">
      <c r="B809" s="18">
        <v>100734</v>
      </c>
      <c r="C809" s="6">
        <v>16</v>
      </c>
      <c r="D809" s="6" t="s">
        <v>407</v>
      </c>
      <c r="E809" s="6" t="s">
        <v>275</v>
      </c>
      <c r="F809" s="109" t="s">
        <v>407</v>
      </c>
      <c r="J809" s="6">
        <v>0</v>
      </c>
      <c r="L809" s="4">
        <v>2</v>
      </c>
      <c r="P809" s="6" t="s">
        <v>796</v>
      </c>
    </row>
    <row r="810" spans="2:16" ht="14.25" x14ac:dyDescent="0.15">
      <c r="B810" s="18">
        <v>100735</v>
      </c>
      <c r="C810" s="6">
        <v>16</v>
      </c>
      <c r="D810" s="6" t="s">
        <v>407</v>
      </c>
      <c r="E810" s="6" t="s">
        <v>275</v>
      </c>
      <c r="F810" s="109" t="s">
        <v>407</v>
      </c>
      <c r="J810" s="6">
        <v>0</v>
      </c>
      <c r="L810" s="4">
        <v>3</v>
      </c>
      <c r="P810" s="6" t="s">
        <v>797</v>
      </c>
    </row>
    <row r="811" spans="2:16" ht="14.25" x14ac:dyDescent="0.15">
      <c r="B811" s="18">
        <v>100736</v>
      </c>
      <c r="C811" s="6">
        <v>16</v>
      </c>
      <c r="D811" s="6" t="s">
        <v>407</v>
      </c>
      <c r="E811" s="6" t="s">
        <v>275</v>
      </c>
      <c r="F811" s="109" t="s">
        <v>407</v>
      </c>
      <c r="J811" s="6">
        <v>0</v>
      </c>
      <c r="L811" s="4">
        <v>4</v>
      </c>
      <c r="P811" s="6" t="s">
        <v>795</v>
      </c>
    </row>
    <row r="812" spans="2:16" ht="14.25" x14ac:dyDescent="0.15">
      <c r="B812" s="18">
        <v>100737</v>
      </c>
      <c r="C812" s="6">
        <v>16</v>
      </c>
      <c r="D812" s="6" t="s">
        <v>407</v>
      </c>
      <c r="E812" s="6" t="s">
        <v>275</v>
      </c>
      <c r="F812" s="109" t="s">
        <v>407</v>
      </c>
      <c r="J812" s="6">
        <v>0</v>
      </c>
      <c r="L812" s="4">
        <v>1</v>
      </c>
      <c r="P812" s="6" t="s">
        <v>792</v>
      </c>
    </row>
    <row r="813" spans="2:16" ht="14.25" x14ac:dyDescent="0.15">
      <c r="B813" s="18">
        <v>100738</v>
      </c>
      <c r="C813" s="6">
        <v>16</v>
      </c>
      <c r="D813" s="6" t="s">
        <v>407</v>
      </c>
      <c r="E813" s="6" t="s">
        <v>275</v>
      </c>
      <c r="F813" s="109" t="s">
        <v>407</v>
      </c>
      <c r="J813" s="6">
        <v>0</v>
      </c>
      <c r="L813" s="4">
        <v>2</v>
      </c>
      <c r="P813" s="6" t="s">
        <v>796</v>
      </c>
    </row>
    <row r="814" spans="2:16" ht="14.25" x14ac:dyDescent="0.15">
      <c r="B814" s="18">
        <v>100739</v>
      </c>
      <c r="C814" s="6">
        <v>16</v>
      </c>
      <c r="D814" s="6" t="s">
        <v>407</v>
      </c>
      <c r="E814" s="6" t="s">
        <v>275</v>
      </c>
      <c r="F814" s="109" t="s">
        <v>407</v>
      </c>
      <c r="J814" s="6">
        <v>0</v>
      </c>
      <c r="L814" s="4">
        <v>3</v>
      </c>
      <c r="P814" s="6" t="s">
        <v>797</v>
      </c>
    </row>
    <row r="815" spans="2:16" ht="14.25" x14ac:dyDescent="0.15">
      <c r="B815" s="18">
        <v>100740</v>
      </c>
      <c r="C815" s="6">
        <v>16</v>
      </c>
      <c r="D815" s="6" t="s">
        <v>407</v>
      </c>
      <c r="E815" s="6" t="s">
        <v>275</v>
      </c>
      <c r="F815" s="109" t="s">
        <v>407</v>
      </c>
      <c r="J815" s="6">
        <v>0</v>
      </c>
      <c r="L815" s="4">
        <v>4</v>
      </c>
      <c r="P815" s="6" t="s">
        <v>795</v>
      </c>
    </row>
    <row r="816" spans="2:16" ht="14.25" x14ac:dyDescent="0.15">
      <c r="B816" s="18">
        <v>100741</v>
      </c>
      <c r="C816" s="6">
        <v>16</v>
      </c>
      <c r="D816" s="6" t="s">
        <v>407</v>
      </c>
      <c r="E816" s="6" t="s">
        <v>275</v>
      </c>
      <c r="F816" s="109" t="s">
        <v>407</v>
      </c>
      <c r="J816" s="6">
        <v>0</v>
      </c>
      <c r="L816" s="4">
        <v>1</v>
      </c>
      <c r="P816" s="6" t="s">
        <v>792</v>
      </c>
    </row>
    <row r="817" spans="2:16" ht="14.25" x14ac:dyDescent="0.15">
      <c r="B817" s="18">
        <v>100742</v>
      </c>
      <c r="C817" s="6">
        <v>16</v>
      </c>
      <c r="D817" s="6" t="s">
        <v>407</v>
      </c>
      <c r="E817" s="6" t="s">
        <v>275</v>
      </c>
      <c r="F817" s="109" t="s">
        <v>407</v>
      </c>
      <c r="J817" s="6">
        <v>0</v>
      </c>
      <c r="L817" s="4">
        <v>2</v>
      </c>
      <c r="P817" s="6" t="s">
        <v>796</v>
      </c>
    </row>
    <row r="818" spans="2:16" ht="14.25" x14ac:dyDescent="0.15">
      <c r="B818" s="18">
        <v>100743</v>
      </c>
      <c r="C818" s="6">
        <v>16</v>
      </c>
      <c r="D818" s="6" t="s">
        <v>407</v>
      </c>
      <c r="E818" s="6" t="s">
        <v>275</v>
      </c>
      <c r="F818" s="109" t="s">
        <v>407</v>
      </c>
      <c r="J818" s="6">
        <v>0</v>
      </c>
      <c r="L818" s="4">
        <v>3</v>
      </c>
      <c r="P818" s="6" t="s">
        <v>797</v>
      </c>
    </row>
    <row r="819" spans="2:16" ht="14.25" x14ac:dyDescent="0.15">
      <c r="B819" s="18">
        <v>100744</v>
      </c>
      <c r="C819" s="6">
        <v>16</v>
      </c>
      <c r="D819" s="6" t="s">
        <v>407</v>
      </c>
      <c r="E819" s="6" t="s">
        <v>275</v>
      </c>
      <c r="F819" s="109" t="s">
        <v>407</v>
      </c>
      <c r="J819" s="6">
        <v>0</v>
      </c>
      <c r="L819" s="4">
        <v>4</v>
      </c>
      <c r="P819" s="6" t="s">
        <v>795</v>
      </c>
    </row>
    <row r="820" spans="2:16" ht="14.25" x14ac:dyDescent="0.15">
      <c r="B820" s="18">
        <v>100745</v>
      </c>
      <c r="C820" s="6">
        <v>16</v>
      </c>
      <c r="D820" s="6" t="s">
        <v>407</v>
      </c>
      <c r="E820" s="6" t="s">
        <v>275</v>
      </c>
      <c r="F820" s="109" t="s">
        <v>407</v>
      </c>
      <c r="J820" s="6">
        <v>0</v>
      </c>
      <c r="L820" s="4">
        <v>1</v>
      </c>
      <c r="P820" s="6" t="s">
        <v>792</v>
      </c>
    </row>
    <row r="821" spans="2:16" ht="14.25" x14ac:dyDescent="0.15">
      <c r="B821" s="18">
        <v>100746</v>
      </c>
      <c r="C821" s="6">
        <v>16</v>
      </c>
      <c r="D821" s="6" t="s">
        <v>407</v>
      </c>
      <c r="E821" s="6" t="s">
        <v>275</v>
      </c>
      <c r="F821" s="109" t="s">
        <v>407</v>
      </c>
      <c r="J821" s="6">
        <v>0</v>
      </c>
      <c r="L821" s="4">
        <v>2</v>
      </c>
      <c r="P821" s="6" t="s">
        <v>796</v>
      </c>
    </row>
    <row r="822" spans="2:16" ht="14.25" x14ac:dyDescent="0.15">
      <c r="B822" s="18">
        <v>100747</v>
      </c>
      <c r="C822" s="6">
        <v>16</v>
      </c>
      <c r="D822" s="6" t="s">
        <v>407</v>
      </c>
      <c r="E822" s="6" t="s">
        <v>275</v>
      </c>
      <c r="F822" s="109" t="s">
        <v>407</v>
      </c>
      <c r="J822" s="6">
        <v>0</v>
      </c>
      <c r="L822" s="4">
        <v>3</v>
      </c>
      <c r="P822" s="6" t="s">
        <v>797</v>
      </c>
    </row>
    <row r="823" spans="2:16" ht="14.25" x14ac:dyDescent="0.15">
      <c r="B823" s="18">
        <v>100748</v>
      </c>
      <c r="C823" s="6">
        <v>16</v>
      </c>
      <c r="D823" s="6" t="s">
        <v>407</v>
      </c>
      <c r="E823" s="6" t="s">
        <v>275</v>
      </c>
      <c r="F823" s="109" t="s">
        <v>407</v>
      </c>
      <c r="J823" s="6">
        <v>0</v>
      </c>
      <c r="L823" s="4">
        <v>4</v>
      </c>
      <c r="P823" s="6" t="s">
        <v>795</v>
      </c>
    </row>
    <row r="824" spans="2:16" ht="14.25" x14ac:dyDescent="0.15">
      <c r="B824" s="18">
        <v>100749</v>
      </c>
      <c r="C824" s="6">
        <v>16</v>
      </c>
      <c r="D824" s="6" t="s">
        <v>407</v>
      </c>
      <c r="E824" s="6" t="s">
        <v>275</v>
      </c>
      <c r="F824" s="109" t="s">
        <v>407</v>
      </c>
      <c r="J824" s="6">
        <v>0</v>
      </c>
      <c r="L824" s="4">
        <v>1</v>
      </c>
      <c r="P824" s="6" t="s">
        <v>792</v>
      </c>
    </row>
    <row r="825" spans="2:16" ht="14.25" x14ac:dyDescent="0.15">
      <c r="B825" s="18">
        <v>100750</v>
      </c>
      <c r="C825" s="6">
        <v>16</v>
      </c>
      <c r="D825" s="6" t="s">
        <v>407</v>
      </c>
      <c r="E825" s="6" t="s">
        <v>275</v>
      </c>
      <c r="F825" s="109" t="s">
        <v>407</v>
      </c>
      <c r="J825" s="6">
        <v>0</v>
      </c>
      <c r="L825" s="4">
        <v>2</v>
      </c>
      <c r="P825" s="6" t="s">
        <v>796</v>
      </c>
    </row>
    <row r="826" spans="2:16" ht="14.25" x14ac:dyDescent="0.15">
      <c r="B826" s="18">
        <v>101201</v>
      </c>
      <c r="C826" s="6">
        <v>16</v>
      </c>
      <c r="D826" s="6" t="s">
        <v>408</v>
      </c>
      <c r="E826" s="6" t="s">
        <v>276</v>
      </c>
      <c r="F826" s="109" t="s">
        <v>408</v>
      </c>
      <c r="J826" s="6">
        <v>0</v>
      </c>
      <c r="L826" s="4">
        <v>1</v>
      </c>
      <c r="P826" s="6" t="s">
        <v>792</v>
      </c>
    </row>
    <row r="827" spans="2:16" ht="14.25" x14ac:dyDescent="0.15">
      <c r="B827" s="18">
        <v>101202</v>
      </c>
      <c r="C827" s="6">
        <v>16</v>
      </c>
      <c r="D827" s="6" t="s">
        <v>409</v>
      </c>
      <c r="E827" s="6" t="s">
        <v>277</v>
      </c>
      <c r="F827" s="109" t="s">
        <v>409</v>
      </c>
      <c r="J827" s="6">
        <v>0</v>
      </c>
      <c r="L827" s="4">
        <v>2</v>
      </c>
      <c r="P827" s="6" t="s">
        <v>796</v>
      </c>
    </row>
    <row r="828" spans="2:16" ht="14.25" x14ac:dyDescent="0.15">
      <c r="B828" s="18">
        <v>101203</v>
      </c>
      <c r="C828" s="6">
        <v>16</v>
      </c>
      <c r="D828" s="6" t="s">
        <v>410</v>
      </c>
      <c r="E828" s="6" t="s">
        <v>278</v>
      </c>
      <c r="F828" s="109" t="s">
        <v>410</v>
      </c>
      <c r="J828" s="6">
        <v>0</v>
      </c>
      <c r="L828" s="4">
        <v>3</v>
      </c>
      <c r="P828" s="6" t="s">
        <v>797</v>
      </c>
    </row>
    <row r="829" spans="2:16" ht="14.25" x14ac:dyDescent="0.15">
      <c r="B829" s="18">
        <v>101204</v>
      </c>
      <c r="C829" s="6">
        <v>16</v>
      </c>
      <c r="D829" s="6" t="s">
        <v>411</v>
      </c>
      <c r="E829" s="6" t="s">
        <v>279</v>
      </c>
      <c r="F829" s="109" t="s">
        <v>411</v>
      </c>
      <c r="J829" s="6">
        <v>0</v>
      </c>
      <c r="L829" s="4">
        <v>4</v>
      </c>
      <c r="P829" s="6" t="s">
        <v>795</v>
      </c>
    </row>
    <row r="830" spans="2:16" ht="14.25" x14ac:dyDescent="0.15">
      <c r="B830" s="18">
        <v>101205</v>
      </c>
      <c r="C830" s="6">
        <v>16</v>
      </c>
      <c r="D830" s="6" t="s">
        <v>412</v>
      </c>
      <c r="E830" s="6" t="s">
        <v>280</v>
      </c>
      <c r="F830" s="109" t="s">
        <v>412</v>
      </c>
      <c r="J830" s="6">
        <v>0</v>
      </c>
      <c r="L830" s="4">
        <v>1</v>
      </c>
      <c r="P830" s="6" t="s">
        <v>792</v>
      </c>
    </row>
    <row r="831" spans="2:16" ht="14.25" x14ac:dyDescent="0.15">
      <c r="B831" s="18">
        <v>101206</v>
      </c>
      <c r="C831" s="6">
        <v>16</v>
      </c>
      <c r="D831" s="6" t="s">
        <v>413</v>
      </c>
      <c r="E831" s="6" t="s">
        <v>281</v>
      </c>
      <c r="F831" s="109" t="s">
        <v>413</v>
      </c>
      <c r="J831" s="6">
        <v>0</v>
      </c>
      <c r="L831" s="4">
        <v>2</v>
      </c>
      <c r="P831" s="6" t="s">
        <v>796</v>
      </c>
    </row>
    <row r="832" spans="2:16" ht="14.25" x14ac:dyDescent="0.15">
      <c r="B832" s="18">
        <v>101207</v>
      </c>
      <c r="C832" s="6">
        <v>16</v>
      </c>
      <c r="D832" s="6" t="s">
        <v>414</v>
      </c>
      <c r="E832" s="6" t="s">
        <v>282</v>
      </c>
      <c r="F832" s="109" t="s">
        <v>414</v>
      </c>
      <c r="J832" s="6">
        <v>0</v>
      </c>
      <c r="L832" s="4">
        <v>3</v>
      </c>
      <c r="P832" s="6" t="s">
        <v>797</v>
      </c>
    </row>
    <row r="833" spans="2:16" ht="14.25" x14ac:dyDescent="0.15">
      <c r="B833" s="18">
        <v>101208</v>
      </c>
      <c r="C833" s="6">
        <v>16</v>
      </c>
      <c r="D833" s="6" t="s">
        <v>415</v>
      </c>
      <c r="E833" s="6" t="s">
        <v>283</v>
      </c>
      <c r="F833" s="109" t="s">
        <v>415</v>
      </c>
      <c r="J833" s="6">
        <v>0</v>
      </c>
      <c r="L833" s="4">
        <v>4</v>
      </c>
      <c r="P833" s="6" t="s">
        <v>795</v>
      </c>
    </row>
    <row r="834" spans="2:16" ht="14.25" x14ac:dyDescent="0.15">
      <c r="B834" s="18">
        <v>101209</v>
      </c>
      <c r="C834" s="6">
        <v>16</v>
      </c>
      <c r="D834" s="6" t="s">
        <v>416</v>
      </c>
      <c r="E834" s="6" t="s">
        <v>284</v>
      </c>
      <c r="F834" s="109" t="s">
        <v>416</v>
      </c>
      <c r="J834" s="6">
        <v>0</v>
      </c>
      <c r="L834" s="4">
        <v>1</v>
      </c>
      <c r="P834" s="6" t="s">
        <v>792</v>
      </c>
    </row>
    <row r="835" spans="2:16" ht="14.25" x14ac:dyDescent="0.15">
      <c r="B835" s="18">
        <v>101210</v>
      </c>
      <c r="C835" s="6">
        <v>16</v>
      </c>
      <c r="D835" s="6" t="s">
        <v>417</v>
      </c>
      <c r="E835" s="6" t="s">
        <v>285</v>
      </c>
      <c r="F835" s="109" t="s">
        <v>417</v>
      </c>
      <c r="J835" s="6">
        <v>0</v>
      </c>
      <c r="L835" s="4">
        <v>2</v>
      </c>
      <c r="P835" s="6" t="s">
        <v>796</v>
      </c>
    </row>
    <row r="836" spans="2:16" ht="14.25" x14ac:dyDescent="0.15">
      <c r="B836" s="18">
        <v>101211</v>
      </c>
      <c r="C836" s="6">
        <v>16</v>
      </c>
      <c r="D836" s="6" t="s">
        <v>418</v>
      </c>
      <c r="E836" s="6" t="s">
        <v>286</v>
      </c>
      <c r="F836" s="109" t="s">
        <v>418</v>
      </c>
      <c r="J836" s="6">
        <v>0</v>
      </c>
      <c r="L836" s="4">
        <v>3</v>
      </c>
      <c r="P836" s="6" t="s">
        <v>797</v>
      </c>
    </row>
    <row r="837" spans="2:16" ht="14.25" x14ac:dyDescent="0.15">
      <c r="B837" s="18">
        <v>101212</v>
      </c>
      <c r="C837" s="6">
        <v>16</v>
      </c>
      <c r="D837" s="6" t="s">
        <v>419</v>
      </c>
      <c r="E837" s="6" t="s">
        <v>287</v>
      </c>
      <c r="F837" s="109" t="s">
        <v>419</v>
      </c>
      <c r="J837" s="6">
        <v>0</v>
      </c>
      <c r="L837" s="4">
        <v>4</v>
      </c>
      <c r="P837" s="6" t="s">
        <v>795</v>
      </c>
    </row>
    <row r="838" spans="2:16" ht="14.25" x14ac:dyDescent="0.15">
      <c r="B838" s="18">
        <v>101213</v>
      </c>
      <c r="C838" s="6">
        <v>16</v>
      </c>
      <c r="D838" s="6" t="s">
        <v>420</v>
      </c>
      <c r="E838" s="6" t="s">
        <v>288</v>
      </c>
      <c r="F838" s="109" t="s">
        <v>420</v>
      </c>
      <c r="J838" s="6">
        <v>0</v>
      </c>
      <c r="L838" s="4">
        <v>1</v>
      </c>
      <c r="P838" s="6" t="s">
        <v>792</v>
      </c>
    </row>
    <row r="839" spans="2:16" ht="14.25" x14ac:dyDescent="0.15">
      <c r="B839" s="18">
        <v>101214</v>
      </c>
      <c r="C839" s="6">
        <v>16</v>
      </c>
      <c r="D839" s="6" t="s">
        <v>421</v>
      </c>
      <c r="E839" s="6" t="s">
        <v>289</v>
      </c>
      <c r="F839" s="109" t="s">
        <v>421</v>
      </c>
      <c r="J839" s="6">
        <v>0</v>
      </c>
      <c r="L839" s="4">
        <v>2</v>
      </c>
      <c r="P839" s="6" t="s">
        <v>796</v>
      </c>
    </row>
    <row r="840" spans="2:16" ht="14.25" x14ac:dyDescent="0.15">
      <c r="B840" s="18">
        <v>101215</v>
      </c>
      <c r="C840" s="6">
        <v>16</v>
      </c>
      <c r="D840" s="6" t="s">
        <v>422</v>
      </c>
      <c r="E840" s="6" t="s">
        <v>290</v>
      </c>
      <c r="F840" s="109" t="s">
        <v>422</v>
      </c>
      <c r="J840" s="6">
        <v>0</v>
      </c>
      <c r="L840" s="4">
        <v>3</v>
      </c>
      <c r="P840" s="6" t="s">
        <v>797</v>
      </c>
    </row>
    <row r="841" spans="2:16" ht="14.25" x14ac:dyDescent="0.15">
      <c r="B841" s="18">
        <v>101216</v>
      </c>
      <c r="C841" s="6">
        <v>16</v>
      </c>
      <c r="D841" s="6" t="s">
        <v>423</v>
      </c>
      <c r="E841" s="6" t="s">
        <v>291</v>
      </c>
      <c r="F841" s="109" t="s">
        <v>423</v>
      </c>
      <c r="J841" s="6">
        <v>0</v>
      </c>
      <c r="L841" s="4">
        <v>4</v>
      </c>
      <c r="P841" s="6" t="s">
        <v>795</v>
      </c>
    </row>
    <row r="842" spans="2:16" ht="14.25" x14ac:dyDescent="0.15">
      <c r="B842" s="18">
        <v>101217</v>
      </c>
      <c r="C842" s="6">
        <v>16</v>
      </c>
      <c r="D842" s="6" t="s">
        <v>424</v>
      </c>
      <c r="E842" s="6" t="s">
        <v>292</v>
      </c>
      <c r="F842" s="109" t="s">
        <v>424</v>
      </c>
      <c r="J842" s="6">
        <v>0</v>
      </c>
      <c r="L842" s="4">
        <v>1</v>
      </c>
      <c r="P842" s="6" t="s">
        <v>792</v>
      </c>
    </row>
    <row r="843" spans="2:16" ht="14.25" x14ac:dyDescent="0.15">
      <c r="B843" s="18">
        <v>101218</v>
      </c>
      <c r="C843" s="6">
        <v>16</v>
      </c>
      <c r="D843" s="6" t="s">
        <v>425</v>
      </c>
      <c r="E843" s="6" t="s">
        <v>293</v>
      </c>
      <c r="F843" s="109" t="s">
        <v>425</v>
      </c>
      <c r="J843" s="6">
        <v>0</v>
      </c>
      <c r="L843" s="4">
        <v>2</v>
      </c>
      <c r="P843" s="6" t="s">
        <v>796</v>
      </c>
    </row>
    <row r="844" spans="2:16" ht="14.25" x14ac:dyDescent="0.15">
      <c r="B844" s="18">
        <v>101219</v>
      </c>
      <c r="C844" s="6">
        <v>16</v>
      </c>
      <c r="D844" s="6" t="s">
        <v>426</v>
      </c>
      <c r="E844" s="6" t="s">
        <v>222</v>
      </c>
      <c r="F844" s="109" t="s">
        <v>426</v>
      </c>
      <c r="J844" s="6">
        <v>0</v>
      </c>
      <c r="L844" s="4">
        <v>3</v>
      </c>
      <c r="P844" s="6" t="s">
        <v>797</v>
      </c>
    </row>
    <row r="845" spans="2:16" ht="14.25" x14ac:dyDescent="0.15">
      <c r="B845" s="18">
        <v>101220</v>
      </c>
      <c r="C845" s="6">
        <v>16</v>
      </c>
      <c r="D845" s="6" t="s">
        <v>427</v>
      </c>
      <c r="E845" s="6" t="s">
        <v>294</v>
      </c>
      <c r="F845" s="109" t="s">
        <v>427</v>
      </c>
      <c r="J845" s="6">
        <v>0</v>
      </c>
      <c r="L845" s="4">
        <v>4</v>
      </c>
      <c r="P845" s="6" t="s">
        <v>795</v>
      </c>
    </row>
    <row r="846" spans="2:16" ht="14.25" x14ac:dyDescent="0.15">
      <c r="B846" s="18">
        <v>101221</v>
      </c>
      <c r="C846" s="6">
        <v>16</v>
      </c>
      <c r="D846" s="6" t="s">
        <v>428</v>
      </c>
      <c r="E846" s="6" t="s">
        <v>295</v>
      </c>
      <c r="F846" s="109" t="s">
        <v>428</v>
      </c>
      <c r="J846" s="6">
        <v>0</v>
      </c>
      <c r="L846" s="4">
        <v>1</v>
      </c>
      <c r="P846" s="6" t="s">
        <v>792</v>
      </c>
    </row>
    <row r="847" spans="2:16" ht="14.25" x14ac:dyDescent="0.15">
      <c r="B847" s="18">
        <v>101222</v>
      </c>
      <c r="C847" s="6">
        <v>16</v>
      </c>
      <c r="D847" s="6" t="s">
        <v>429</v>
      </c>
      <c r="E847" s="6" t="s">
        <v>296</v>
      </c>
      <c r="F847" s="109" t="s">
        <v>429</v>
      </c>
      <c r="J847" s="6">
        <v>0</v>
      </c>
      <c r="L847" s="4">
        <v>2</v>
      </c>
      <c r="P847" s="6" t="s">
        <v>796</v>
      </c>
    </row>
    <row r="848" spans="2:16" ht="14.25" x14ac:dyDescent="0.15">
      <c r="B848" s="18">
        <v>101223</v>
      </c>
      <c r="C848" s="6">
        <v>16</v>
      </c>
      <c r="D848" s="6" t="s">
        <v>430</v>
      </c>
      <c r="E848" s="6" t="s">
        <v>297</v>
      </c>
      <c r="F848" s="109" t="s">
        <v>430</v>
      </c>
      <c r="J848" s="6">
        <v>0</v>
      </c>
      <c r="L848" s="4">
        <v>3</v>
      </c>
      <c r="P848" s="6" t="s">
        <v>797</v>
      </c>
    </row>
    <row r="849" spans="2:16" ht="14.25" x14ac:dyDescent="0.15">
      <c r="B849" s="18">
        <v>101224</v>
      </c>
      <c r="C849" s="6">
        <v>16</v>
      </c>
      <c r="D849" s="6" t="s">
        <v>431</v>
      </c>
      <c r="E849" s="6" t="s">
        <v>298</v>
      </c>
      <c r="F849" s="109" t="s">
        <v>431</v>
      </c>
      <c r="J849" s="6">
        <v>0</v>
      </c>
      <c r="L849" s="4">
        <v>4</v>
      </c>
      <c r="P849" s="6" t="s">
        <v>795</v>
      </c>
    </row>
    <row r="850" spans="2:16" ht="14.25" x14ac:dyDescent="0.15">
      <c r="B850" s="18">
        <v>101225</v>
      </c>
      <c r="C850" s="6">
        <v>16</v>
      </c>
      <c r="D850" s="6" t="s">
        <v>432</v>
      </c>
      <c r="E850" s="6" t="s">
        <v>299</v>
      </c>
      <c r="F850" s="109" t="s">
        <v>432</v>
      </c>
      <c r="J850" s="6">
        <v>0</v>
      </c>
      <c r="L850" s="4">
        <v>1</v>
      </c>
      <c r="P850" s="6" t="s">
        <v>792</v>
      </c>
    </row>
    <row r="851" spans="2:16" ht="14.25" x14ac:dyDescent="0.15">
      <c r="B851" s="18">
        <v>101226</v>
      </c>
      <c r="C851" s="6">
        <v>16</v>
      </c>
      <c r="D851" s="6" t="s">
        <v>433</v>
      </c>
      <c r="E851" s="6" t="s">
        <v>300</v>
      </c>
      <c r="F851" s="109" t="s">
        <v>433</v>
      </c>
      <c r="J851" s="6">
        <v>0</v>
      </c>
      <c r="L851" s="4">
        <v>2</v>
      </c>
      <c r="P851" s="6" t="s">
        <v>796</v>
      </c>
    </row>
    <row r="852" spans="2:16" ht="14.25" x14ac:dyDescent="0.15">
      <c r="B852" s="18">
        <v>101227</v>
      </c>
      <c r="C852" s="6">
        <v>16</v>
      </c>
      <c r="D852" s="6" t="s">
        <v>434</v>
      </c>
      <c r="E852" s="6" t="s">
        <v>301</v>
      </c>
      <c r="F852" s="109" t="s">
        <v>434</v>
      </c>
      <c r="J852" s="6">
        <v>0</v>
      </c>
      <c r="L852" s="4">
        <v>3</v>
      </c>
      <c r="P852" s="6" t="s">
        <v>797</v>
      </c>
    </row>
    <row r="853" spans="2:16" ht="14.25" x14ac:dyDescent="0.15">
      <c r="B853" s="18">
        <v>101228</v>
      </c>
      <c r="C853" s="6">
        <v>16</v>
      </c>
      <c r="D853" s="6" t="s">
        <v>435</v>
      </c>
      <c r="E853" s="6" t="s">
        <v>302</v>
      </c>
      <c r="F853" s="109" t="s">
        <v>435</v>
      </c>
      <c r="J853" s="6">
        <v>0</v>
      </c>
      <c r="L853" s="4">
        <v>4</v>
      </c>
      <c r="P853" s="6" t="s">
        <v>795</v>
      </c>
    </row>
    <row r="854" spans="2:16" ht="14.25" x14ac:dyDescent="0.15">
      <c r="B854" s="18">
        <v>101229</v>
      </c>
      <c r="C854" s="6">
        <v>16</v>
      </c>
      <c r="D854" s="6" t="s">
        <v>436</v>
      </c>
      <c r="E854" s="6" t="s">
        <v>303</v>
      </c>
      <c r="F854" s="109" t="s">
        <v>436</v>
      </c>
      <c r="J854" s="6">
        <v>0</v>
      </c>
      <c r="L854" s="4">
        <v>1</v>
      </c>
      <c r="P854" s="6" t="s">
        <v>792</v>
      </c>
    </row>
    <row r="855" spans="2:16" ht="14.25" x14ac:dyDescent="0.15">
      <c r="B855" s="18">
        <v>101230</v>
      </c>
      <c r="C855" s="6">
        <v>16</v>
      </c>
      <c r="D855" s="6" t="s">
        <v>437</v>
      </c>
      <c r="E855" s="6" t="s">
        <v>243</v>
      </c>
      <c r="F855" s="109" t="s">
        <v>437</v>
      </c>
      <c r="J855" s="6">
        <v>0</v>
      </c>
      <c r="L855" s="4">
        <v>2</v>
      </c>
      <c r="P855" s="6" t="s">
        <v>796</v>
      </c>
    </row>
    <row r="856" spans="2:16" ht="14.25" x14ac:dyDescent="0.15">
      <c r="B856" s="18">
        <v>101231</v>
      </c>
      <c r="C856" s="6">
        <v>16</v>
      </c>
      <c r="D856" s="6" t="s">
        <v>438</v>
      </c>
      <c r="E856" s="6" t="s">
        <v>304</v>
      </c>
      <c r="F856" s="109" t="s">
        <v>438</v>
      </c>
      <c r="J856" s="6">
        <v>0</v>
      </c>
      <c r="L856" s="4">
        <v>3</v>
      </c>
      <c r="P856" s="6" t="s">
        <v>797</v>
      </c>
    </row>
    <row r="857" spans="2:16" ht="14.25" x14ac:dyDescent="0.15">
      <c r="B857" s="18">
        <v>101232</v>
      </c>
      <c r="C857" s="6">
        <v>16</v>
      </c>
      <c r="D857" s="6" t="s">
        <v>439</v>
      </c>
      <c r="E857" s="6" t="s">
        <v>305</v>
      </c>
      <c r="F857" s="109" t="s">
        <v>439</v>
      </c>
      <c r="J857" s="6">
        <v>0</v>
      </c>
      <c r="L857" s="4">
        <v>4</v>
      </c>
      <c r="P857" s="6" t="s">
        <v>795</v>
      </c>
    </row>
    <row r="858" spans="2:16" ht="14.25" x14ac:dyDescent="0.15">
      <c r="B858" s="18">
        <v>101233</v>
      </c>
      <c r="C858" s="6">
        <v>16</v>
      </c>
      <c r="D858" s="6" t="s">
        <v>440</v>
      </c>
      <c r="E858" s="6" t="s">
        <v>306</v>
      </c>
      <c r="F858" s="109" t="s">
        <v>440</v>
      </c>
      <c r="J858" s="6">
        <v>0</v>
      </c>
      <c r="L858" s="4">
        <v>1</v>
      </c>
      <c r="P858" s="6" t="s">
        <v>792</v>
      </c>
    </row>
    <row r="859" spans="2:16" ht="14.25" x14ac:dyDescent="0.15">
      <c r="B859" s="18">
        <v>101234</v>
      </c>
      <c r="C859" s="6">
        <v>16</v>
      </c>
      <c r="D859" s="6" t="s">
        <v>441</v>
      </c>
      <c r="E859" s="6" t="s">
        <v>307</v>
      </c>
      <c r="F859" s="109" t="s">
        <v>441</v>
      </c>
      <c r="J859" s="6">
        <v>0</v>
      </c>
      <c r="L859" s="4">
        <v>2</v>
      </c>
      <c r="P859" s="6" t="s">
        <v>796</v>
      </c>
    </row>
    <row r="860" spans="2:16" ht="14.25" x14ac:dyDescent="0.15">
      <c r="B860" s="18">
        <v>101235</v>
      </c>
      <c r="C860" s="6">
        <v>16</v>
      </c>
      <c r="D860" s="6" t="s">
        <v>442</v>
      </c>
      <c r="E860" s="6" t="s">
        <v>308</v>
      </c>
      <c r="F860" s="109" t="s">
        <v>442</v>
      </c>
      <c r="J860" s="6">
        <v>0</v>
      </c>
      <c r="L860" s="4">
        <v>3</v>
      </c>
      <c r="P860" s="6" t="s">
        <v>797</v>
      </c>
    </row>
    <row r="861" spans="2:16" ht="14.25" x14ac:dyDescent="0.15">
      <c r="B861" s="18">
        <v>101236</v>
      </c>
      <c r="C861" s="6">
        <v>16</v>
      </c>
      <c r="D861" s="6" t="s">
        <v>443</v>
      </c>
      <c r="E861" s="6" t="s">
        <v>309</v>
      </c>
      <c r="F861" s="109" t="s">
        <v>443</v>
      </c>
      <c r="J861" s="6">
        <v>0</v>
      </c>
      <c r="L861" s="4">
        <v>4</v>
      </c>
      <c r="P861" s="6" t="s">
        <v>795</v>
      </c>
    </row>
    <row r="862" spans="2:16" ht="14.25" x14ac:dyDescent="0.15">
      <c r="B862" s="18">
        <v>101237</v>
      </c>
      <c r="C862" s="6">
        <v>16</v>
      </c>
      <c r="D862" s="6" t="s">
        <v>444</v>
      </c>
      <c r="E862" s="6" t="s">
        <v>310</v>
      </c>
      <c r="F862" s="109" t="s">
        <v>444</v>
      </c>
      <c r="J862" s="6">
        <v>0</v>
      </c>
      <c r="L862" s="4">
        <v>1</v>
      </c>
      <c r="P862" s="6" t="s">
        <v>792</v>
      </c>
    </row>
    <row r="863" spans="2:16" ht="14.25" x14ac:dyDescent="0.15">
      <c r="B863" s="18">
        <v>101238</v>
      </c>
      <c r="C863" s="6">
        <v>16</v>
      </c>
      <c r="D863" s="6" t="s">
        <v>445</v>
      </c>
      <c r="E863" s="6" t="s">
        <v>311</v>
      </c>
      <c r="F863" s="109" t="s">
        <v>445</v>
      </c>
      <c r="J863" s="6">
        <v>0</v>
      </c>
      <c r="L863" s="4">
        <v>2</v>
      </c>
      <c r="P863" s="6" t="s">
        <v>796</v>
      </c>
    </row>
    <row r="864" spans="2:16" ht="14.25" x14ac:dyDescent="0.15">
      <c r="B864" s="18">
        <v>101239</v>
      </c>
      <c r="C864" s="6">
        <v>16</v>
      </c>
      <c r="D864" s="6" t="s">
        <v>446</v>
      </c>
      <c r="E864" s="6" t="s">
        <v>312</v>
      </c>
      <c r="F864" s="109" t="s">
        <v>446</v>
      </c>
      <c r="J864" s="6">
        <v>0</v>
      </c>
      <c r="L864" s="4">
        <v>3</v>
      </c>
      <c r="P864" s="6" t="s">
        <v>797</v>
      </c>
    </row>
    <row r="865" spans="2:16" ht="14.25" x14ac:dyDescent="0.15">
      <c r="B865" s="18">
        <v>101240</v>
      </c>
      <c r="C865" s="6">
        <v>16</v>
      </c>
      <c r="D865" s="6" t="s">
        <v>447</v>
      </c>
      <c r="E865" s="6" t="s">
        <v>313</v>
      </c>
      <c r="F865" s="109" t="s">
        <v>447</v>
      </c>
      <c r="J865" s="6">
        <v>0</v>
      </c>
      <c r="L865" s="4">
        <v>4</v>
      </c>
      <c r="P865" s="6" t="s">
        <v>795</v>
      </c>
    </row>
    <row r="866" spans="2:16" ht="14.25" x14ac:dyDescent="0.15">
      <c r="B866" s="18">
        <v>101241</v>
      </c>
      <c r="C866" s="6">
        <v>16</v>
      </c>
      <c r="D866" s="6" t="s">
        <v>448</v>
      </c>
      <c r="E866" s="6" t="s">
        <v>314</v>
      </c>
      <c r="F866" s="109" t="s">
        <v>448</v>
      </c>
      <c r="J866" s="6">
        <v>0</v>
      </c>
      <c r="L866" s="4">
        <v>1</v>
      </c>
      <c r="P866" s="6" t="s">
        <v>792</v>
      </c>
    </row>
    <row r="867" spans="2:16" ht="14.25" x14ac:dyDescent="0.15">
      <c r="B867" s="18">
        <v>101242</v>
      </c>
      <c r="C867" s="6">
        <v>16</v>
      </c>
      <c r="D867" s="6" t="s">
        <v>449</v>
      </c>
      <c r="E867" s="6" t="s">
        <v>315</v>
      </c>
      <c r="F867" s="109" t="s">
        <v>449</v>
      </c>
      <c r="J867" s="6">
        <v>0</v>
      </c>
      <c r="L867" s="4">
        <v>2</v>
      </c>
      <c r="P867" s="6" t="s">
        <v>796</v>
      </c>
    </row>
    <row r="868" spans="2:16" ht="14.25" x14ac:dyDescent="0.15">
      <c r="B868" s="18">
        <v>101243</v>
      </c>
      <c r="C868" s="6">
        <v>16</v>
      </c>
      <c r="D868" s="6" t="s">
        <v>450</v>
      </c>
      <c r="E868" s="6" t="s">
        <v>316</v>
      </c>
      <c r="F868" s="109" t="s">
        <v>450</v>
      </c>
      <c r="J868" s="6">
        <v>0</v>
      </c>
      <c r="L868" s="4">
        <v>3</v>
      </c>
      <c r="P868" s="6" t="s">
        <v>797</v>
      </c>
    </row>
    <row r="869" spans="2:16" ht="14.25" x14ac:dyDescent="0.15">
      <c r="B869" s="18">
        <v>101244</v>
      </c>
      <c r="C869" s="6">
        <v>16</v>
      </c>
      <c r="D869" s="6" t="s">
        <v>451</v>
      </c>
      <c r="E869" s="6" t="s">
        <v>317</v>
      </c>
      <c r="F869" s="109" t="s">
        <v>451</v>
      </c>
      <c r="J869" s="6">
        <v>0</v>
      </c>
      <c r="L869" s="4">
        <v>4</v>
      </c>
      <c r="P869" s="6" t="s">
        <v>795</v>
      </c>
    </row>
    <row r="870" spans="2:16" ht="14.25" x14ac:dyDescent="0.15">
      <c r="B870" s="18">
        <v>101245</v>
      </c>
      <c r="C870" s="6">
        <v>16</v>
      </c>
      <c r="D870" s="6" t="s">
        <v>452</v>
      </c>
      <c r="E870" s="6" t="s">
        <v>318</v>
      </c>
      <c r="F870" s="109" t="s">
        <v>452</v>
      </c>
      <c r="J870" s="6">
        <v>0</v>
      </c>
      <c r="L870" s="4">
        <v>1</v>
      </c>
      <c r="P870" s="6" t="s">
        <v>792</v>
      </c>
    </row>
    <row r="871" spans="2:16" ht="14.25" x14ac:dyDescent="0.15">
      <c r="B871" s="18">
        <v>101246</v>
      </c>
      <c r="C871" s="6">
        <v>16</v>
      </c>
      <c r="D871" s="6" t="s">
        <v>453</v>
      </c>
      <c r="E871" s="6" t="s">
        <v>319</v>
      </c>
      <c r="F871" s="109" t="s">
        <v>453</v>
      </c>
      <c r="J871" s="6">
        <v>0</v>
      </c>
      <c r="L871" s="4">
        <v>2</v>
      </c>
      <c r="P871" s="6" t="s">
        <v>796</v>
      </c>
    </row>
    <row r="872" spans="2:16" ht="14.25" x14ac:dyDescent="0.15">
      <c r="B872" s="18">
        <v>101247</v>
      </c>
      <c r="C872" s="6">
        <v>16</v>
      </c>
      <c r="D872" s="6" t="s">
        <v>454</v>
      </c>
      <c r="E872" s="6" t="s">
        <v>320</v>
      </c>
      <c r="F872" s="109" t="s">
        <v>454</v>
      </c>
      <c r="J872" s="6">
        <v>0</v>
      </c>
      <c r="L872" s="4">
        <v>3</v>
      </c>
      <c r="P872" s="6" t="s">
        <v>797</v>
      </c>
    </row>
    <row r="873" spans="2:16" ht="14.25" x14ac:dyDescent="0.15">
      <c r="B873" s="18">
        <v>101248</v>
      </c>
      <c r="C873" s="6">
        <v>16</v>
      </c>
      <c r="D873" s="6" t="s">
        <v>455</v>
      </c>
      <c r="E873" s="6" t="s">
        <v>321</v>
      </c>
      <c r="F873" s="109" t="s">
        <v>455</v>
      </c>
      <c r="J873" s="6">
        <v>0</v>
      </c>
      <c r="L873" s="4">
        <v>4</v>
      </c>
      <c r="P873" s="6" t="s">
        <v>795</v>
      </c>
    </row>
    <row r="874" spans="2:16" ht="14.25" x14ac:dyDescent="0.15">
      <c r="B874" s="18">
        <v>101249</v>
      </c>
      <c r="C874" s="6">
        <v>16</v>
      </c>
      <c r="D874" s="6" t="s">
        <v>456</v>
      </c>
      <c r="E874" s="6" t="s">
        <v>322</v>
      </c>
      <c r="F874" s="109" t="s">
        <v>456</v>
      </c>
      <c r="J874" s="6">
        <v>0</v>
      </c>
      <c r="L874" s="4">
        <v>1</v>
      </c>
      <c r="P874" s="6" t="s">
        <v>792</v>
      </c>
    </row>
    <row r="875" spans="2:16" ht="14.25" x14ac:dyDescent="0.15">
      <c r="B875" s="18">
        <v>101250</v>
      </c>
      <c r="C875" s="6">
        <v>16</v>
      </c>
      <c r="D875" s="6" t="s">
        <v>457</v>
      </c>
      <c r="E875" s="6" t="s">
        <v>323</v>
      </c>
      <c r="F875" s="109" t="s">
        <v>457</v>
      </c>
      <c r="J875" s="6">
        <v>0</v>
      </c>
      <c r="L875" s="4">
        <v>2</v>
      </c>
      <c r="P875" s="6" t="s">
        <v>796</v>
      </c>
    </row>
    <row r="876" spans="2:16" ht="14.25" x14ac:dyDescent="0.15">
      <c r="B876" s="18">
        <v>101251</v>
      </c>
      <c r="C876" s="6">
        <v>16</v>
      </c>
      <c r="D876" s="6" t="s">
        <v>458</v>
      </c>
      <c r="E876" s="6" t="s">
        <v>324</v>
      </c>
      <c r="F876" s="109" t="s">
        <v>458</v>
      </c>
      <c r="J876" s="6">
        <v>0</v>
      </c>
      <c r="L876" s="4">
        <v>3</v>
      </c>
      <c r="P876" s="6" t="s">
        <v>797</v>
      </c>
    </row>
    <row r="877" spans="2:16" ht="14.25" x14ac:dyDescent="0.15">
      <c r="B877" s="18">
        <v>101252</v>
      </c>
      <c r="C877" s="6">
        <v>16</v>
      </c>
      <c r="D877" s="6" t="s">
        <v>459</v>
      </c>
      <c r="E877" s="6" t="s">
        <v>325</v>
      </c>
      <c r="F877" s="109" t="s">
        <v>459</v>
      </c>
      <c r="J877" s="6">
        <v>0</v>
      </c>
      <c r="L877" s="4">
        <v>4</v>
      </c>
      <c r="P877" s="6" t="s">
        <v>795</v>
      </c>
    </row>
    <row r="878" spans="2:16" ht="14.25" x14ac:dyDescent="0.15">
      <c r="B878" s="18">
        <v>101253</v>
      </c>
      <c r="C878" s="6">
        <v>16</v>
      </c>
      <c r="D878" s="6" t="s">
        <v>460</v>
      </c>
      <c r="E878" s="6" t="s">
        <v>326</v>
      </c>
      <c r="F878" s="109" t="s">
        <v>460</v>
      </c>
      <c r="J878" s="6">
        <v>0</v>
      </c>
      <c r="L878" s="4">
        <v>1</v>
      </c>
      <c r="P878" s="6" t="s">
        <v>792</v>
      </c>
    </row>
    <row r="879" spans="2:16" ht="14.25" x14ac:dyDescent="0.15">
      <c r="B879" s="18">
        <v>101254</v>
      </c>
      <c r="C879" s="6">
        <v>16</v>
      </c>
      <c r="D879" s="6" t="s">
        <v>461</v>
      </c>
      <c r="E879" s="6" t="s">
        <v>327</v>
      </c>
      <c r="F879" s="109" t="s">
        <v>461</v>
      </c>
      <c r="J879" s="6">
        <v>0</v>
      </c>
      <c r="L879" s="4">
        <v>2</v>
      </c>
      <c r="P879" s="6" t="s">
        <v>796</v>
      </c>
    </row>
    <row r="880" spans="2:16" ht="14.25" x14ac:dyDescent="0.15">
      <c r="B880" s="18">
        <v>101255</v>
      </c>
      <c r="C880" s="6">
        <v>16</v>
      </c>
      <c r="D880" s="6" t="s">
        <v>462</v>
      </c>
      <c r="E880" s="6" t="s">
        <v>328</v>
      </c>
      <c r="F880" s="109" t="s">
        <v>462</v>
      </c>
      <c r="J880" s="6">
        <v>0</v>
      </c>
      <c r="L880" s="4">
        <v>3</v>
      </c>
      <c r="P880" s="6" t="s">
        <v>797</v>
      </c>
    </row>
    <row r="881" spans="2:16" ht="14.25" x14ac:dyDescent="0.15">
      <c r="B881" s="18">
        <v>101256</v>
      </c>
      <c r="C881" s="6">
        <v>16</v>
      </c>
      <c r="D881" s="6" t="s">
        <v>463</v>
      </c>
      <c r="E881" s="6" t="s">
        <v>329</v>
      </c>
      <c r="F881" s="109" t="s">
        <v>463</v>
      </c>
      <c r="J881" s="6">
        <v>0</v>
      </c>
      <c r="L881" s="4">
        <v>4</v>
      </c>
      <c r="P881" s="6" t="s">
        <v>795</v>
      </c>
    </row>
    <row r="882" spans="2:16" ht="14.25" x14ac:dyDescent="0.15">
      <c r="B882" s="18">
        <v>101257</v>
      </c>
      <c r="C882" s="6">
        <v>16</v>
      </c>
      <c r="D882" s="6" t="s">
        <v>464</v>
      </c>
      <c r="E882" s="6" t="s">
        <v>330</v>
      </c>
      <c r="F882" s="109" t="s">
        <v>464</v>
      </c>
      <c r="J882" s="6">
        <v>0</v>
      </c>
      <c r="L882" s="4">
        <v>1</v>
      </c>
      <c r="P882" s="6" t="s">
        <v>792</v>
      </c>
    </row>
    <row r="883" spans="2:16" ht="14.25" x14ac:dyDescent="0.15">
      <c r="B883" s="18">
        <v>101258</v>
      </c>
      <c r="C883" s="6">
        <v>16</v>
      </c>
      <c r="D883" s="6" t="s">
        <v>465</v>
      </c>
      <c r="E883" s="6" t="s">
        <v>331</v>
      </c>
      <c r="F883" s="109" t="s">
        <v>465</v>
      </c>
      <c r="J883" s="6">
        <v>0</v>
      </c>
      <c r="L883" s="4">
        <v>2</v>
      </c>
      <c r="P883" s="6" t="s">
        <v>796</v>
      </c>
    </row>
    <row r="884" spans="2:16" ht="14.25" x14ac:dyDescent="0.15">
      <c r="B884" s="18">
        <v>101259</v>
      </c>
      <c r="C884" s="6">
        <v>16</v>
      </c>
      <c r="D884" s="6" t="s">
        <v>466</v>
      </c>
      <c r="E884" s="6" t="s">
        <v>332</v>
      </c>
      <c r="F884" s="109" t="s">
        <v>466</v>
      </c>
      <c r="J884" s="6">
        <v>0</v>
      </c>
      <c r="L884" s="4">
        <v>3</v>
      </c>
      <c r="P884" s="6" t="s">
        <v>797</v>
      </c>
    </row>
    <row r="885" spans="2:16" ht="14.25" x14ac:dyDescent="0.15">
      <c r="B885" s="18">
        <v>101260</v>
      </c>
      <c r="C885" s="6">
        <v>16</v>
      </c>
      <c r="D885" s="6" t="s">
        <v>467</v>
      </c>
      <c r="E885" s="6" t="s">
        <v>333</v>
      </c>
      <c r="F885" s="109" t="s">
        <v>467</v>
      </c>
      <c r="J885" s="6">
        <v>0</v>
      </c>
      <c r="L885" s="4">
        <v>4</v>
      </c>
      <c r="P885" s="6" t="s">
        <v>795</v>
      </c>
    </row>
    <row r="886" spans="2:16" ht="14.25" x14ac:dyDescent="0.15">
      <c r="B886" s="18">
        <v>101261</v>
      </c>
      <c r="C886" s="6">
        <v>16</v>
      </c>
      <c r="D886" s="6" t="s">
        <v>468</v>
      </c>
      <c r="E886" s="6" t="s">
        <v>334</v>
      </c>
      <c r="F886" s="109" t="s">
        <v>468</v>
      </c>
      <c r="J886" s="6">
        <v>0</v>
      </c>
      <c r="L886" s="4">
        <v>1</v>
      </c>
      <c r="P886" s="6" t="s">
        <v>792</v>
      </c>
    </row>
    <row r="887" spans="2:16" ht="14.25" x14ac:dyDescent="0.15">
      <c r="B887" s="18">
        <v>101262</v>
      </c>
      <c r="C887" s="6">
        <v>16</v>
      </c>
      <c r="D887" s="6" t="s">
        <v>469</v>
      </c>
      <c r="E887" s="6" t="s">
        <v>335</v>
      </c>
      <c r="F887" s="109" t="s">
        <v>469</v>
      </c>
      <c r="J887" s="6">
        <v>0</v>
      </c>
      <c r="L887" s="4">
        <v>2</v>
      </c>
      <c r="P887" s="6" t="s">
        <v>796</v>
      </c>
    </row>
    <row r="888" spans="2:16" ht="14.25" x14ac:dyDescent="0.15">
      <c r="B888" s="18">
        <v>101263</v>
      </c>
      <c r="C888" s="6">
        <v>16</v>
      </c>
      <c r="D888" s="6" t="s">
        <v>470</v>
      </c>
      <c r="E888" s="6" t="s">
        <v>336</v>
      </c>
      <c r="F888" s="109" t="s">
        <v>470</v>
      </c>
      <c r="J888" s="6">
        <v>0</v>
      </c>
      <c r="L888" s="4">
        <v>3</v>
      </c>
      <c r="P888" s="6" t="s">
        <v>797</v>
      </c>
    </row>
    <row r="889" spans="2:16" ht="14.25" x14ac:dyDescent="0.15">
      <c r="B889" s="18">
        <v>101264</v>
      </c>
      <c r="C889" s="6">
        <v>16</v>
      </c>
      <c r="D889" s="6" t="s">
        <v>471</v>
      </c>
      <c r="E889" s="6" t="s">
        <v>337</v>
      </c>
      <c r="F889" s="109" t="s">
        <v>471</v>
      </c>
      <c r="J889" s="6">
        <v>0</v>
      </c>
      <c r="L889" s="4">
        <v>4</v>
      </c>
      <c r="P889" s="6" t="s">
        <v>795</v>
      </c>
    </row>
    <row r="890" spans="2:16" ht="14.25" x14ac:dyDescent="0.15">
      <c r="B890" s="18">
        <v>101265</v>
      </c>
      <c r="C890" s="6">
        <v>16</v>
      </c>
      <c r="D890" s="6" t="s">
        <v>204</v>
      </c>
      <c r="E890" s="6" t="s">
        <v>245</v>
      </c>
      <c r="F890" s="109" t="s">
        <v>204</v>
      </c>
      <c r="J890" s="6">
        <v>0</v>
      </c>
      <c r="L890" s="4">
        <v>1</v>
      </c>
      <c r="P890" s="6" t="s">
        <v>792</v>
      </c>
    </row>
    <row r="891" spans="2:16" ht="14.25" x14ac:dyDescent="0.15">
      <c r="B891" s="18">
        <v>101266</v>
      </c>
      <c r="C891" s="6">
        <v>16</v>
      </c>
      <c r="D891" s="6" t="s">
        <v>472</v>
      </c>
      <c r="E891" s="6" t="s">
        <v>568</v>
      </c>
      <c r="F891" s="109" t="s">
        <v>472</v>
      </c>
      <c r="J891" s="6">
        <v>0</v>
      </c>
      <c r="L891" s="4">
        <v>2</v>
      </c>
      <c r="P891" s="6" t="s">
        <v>796</v>
      </c>
    </row>
    <row r="892" spans="2:16" ht="14.25" x14ac:dyDescent="0.15">
      <c r="B892" s="18">
        <v>101267</v>
      </c>
      <c r="C892" s="6">
        <v>16</v>
      </c>
      <c r="D892" s="6" t="s">
        <v>473</v>
      </c>
      <c r="E892" s="6" t="s">
        <v>338</v>
      </c>
      <c r="F892" s="109" t="s">
        <v>473</v>
      </c>
      <c r="J892" s="6">
        <v>0</v>
      </c>
      <c r="L892" s="4">
        <v>3</v>
      </c>
      <c r="P892" s="6" t="s">
        <v>797</v>
      </c>
    </row>
    <row r="893" spans="2:16" ht="14.25" x14ac:dyDescent="0.15">
      <c r="B893" s="18">
        <v>101268</v>
      </c>
      <c r="C893" s="6">
        <v>16</v>
      </c>
      <c r="D893" s="6" t="s">
        <v>474</v>
      </c>
      <c r="E893" s="6" t="s">
        <v>339</v>
      </c>
      <c r="F893" s="109" t="s">
        <v>474</v>
      </c>
      <c r="J893" s="6">
        <v>0</v>
      </c>
      <c r="L893" s="4">
        <v>4</v>
      </c>
      <c r="P893" s="6" t="s">
        <v>795</v>
      </c>
    </row>
    <row r="894" spans="2:16" ht="14.25" x14ac:dyDescent="0.15">
      <c r="B894" s="18">
        <v>101269</v>
      </c>
      <c r="C894" s="6">
        <v>16</v>
      </c>
      <c r="D894" s="6" t="s">
        <v>475</v>
      </c>
      <c r="E894" s="6" t="s">
        <v>340</v>
      </c>
      <c r="F894" s="109" t="s">
        <v>475</v>
      </c>
      <c r="J894" s="6">
        <v>0</v>
      </c>
      <c r="L894" s="4">
        <v>1</v>
      </c>
      <c r="P894" s="6" t="s">
        <v>792</v>
      </c>
    </row>
    <row r="895" spans="2:16" ht="14.25" x14ac:dyDescent="0.15">
      <c r="B895" s="18">
        <v>101270</v>
      </c>
      <c r="C895" s="6">
        <v>16</v>
      </c>
      <c r="D895" s="6" t="s">
        <v>476</v>
      </c>
      <c r="E895" s="6" t="s">
        <v>244</v>
      </c>
      <c r="F895" s="109" t="s">
        <v>476</v>
      </c>
      <c r="J895" s="6">
        <v>0</v>
      </c>
      <c r="L895" s="4">
        <v>2</v>
      </c>
      <c r="P895" s="6" t="s">
        <v>796</v>
      </c>
    </row>
    <row r="896" spans="2:16" ht="14.25" x14ac:dyDescent="0.15">
      <c r="B896" s="18">
        <v>101271</v>
      </c>
      <c r="C896" s="6">
        <v>16</v>
      </c>
      <c r="D896" s="6" t="s">
        <v>477</v>
      </c>
      <c r="E896" s="6" t="s">
        <v>341</v>
      </c>
      <c r="F896" s="109" t="s">
        <v>477</v>
      </c>
      <c r="J896" s="6">
        <v>0</v>
      </c>
      <c r="L896" s="4">
        <v>3</v>
      </c>
      <c r="P896" s="6" t="s">
        <v>797</v>
      </c>
    </row>
    <row r="897" spans="2:16" ht="14.25" x14ac:dyDescent="0.15">
      <c r="B897" s="18">
        <v>101272</v>
      </c>
      <c r="C897" s="6">
        <v>16</v>
      </c>
      <c r="D897" s="6" t="s">
        <v>478</v>
      </c>
      <c r="E897" s="6" t="s">
        <v>342</v>
      </c>
      <c r="F897" s="109" t="s">
        <v>478</v>
      </c>
      <c r="J897" s="6">
        <v>0</v>
      </c>
      <c r="L897" s="4">
        <v>4</v>
      </c>
      <c r="P897" s="6" t="s">
        <v>795</v>
      </c>
    </row>
    <row r="898" spans="2:16" ht="14.25" x14ac:dyDescent="0.15">
      <c r="B898" s="18">
        <v>101273</v>
      </c>
      <c r="C898" s="6">
        <v>16</v>
      </c>
      <c r="D898" s="6" t="s">
        <v>479</v>
      </c>
      <c r="E898" s="6" t="s">
        <v>343</v>
      </c>
      <c r="F898" s="109" t="s">
        <v>479</v>
      </c>
      <c r="J898" s="6">
        <v>0</v>
      </c>
      <c r="L898" s="4">
        <v>1</v>
      </c>
      <c r="P898" s="6" t="s">
        <v>792</v>
      </c>
    </row>
    <row r="899" spans="2:16" ht="14.25" x14ac:dyDescent="0.15">
      <c r="B899" s="18">
        <v>101274</v>
      </c>
      <c r="C899" s="6">
        <v>16</v>
      </c>
      <c r="D899" s="6" t="s">
        <v>480</v>
      </c>
      <c r="E899" s="6" t="s">
        <v>242</v>
      </c>
      <c r="F899" s="109" t="s">
        <v>480</v>
      </c>
      <c r="J899" s="6">
        <v>0</v>
      </c>
      <c r="L899" s="4">
        <v>2</v>
      </c>
      <c r="P899" s="6" t="s">
        <v>796</v>
      </c>
    </row>
    <row r="900" spans="2:16" ht="14.25" x14ac:dyDescent="0.15">
      <c r="B900" s="18">
        <v>101275</v>
      </c>
      <c r="C900" s="6">
        <v>16</v>
      </c>
      <c r="D900" s="6" t="s">
        <v>481</v>
      </c>
      <c r="E900" s="6" t="s">
        <v>344</v>
      </c>
      <c r="F900" s="109" t="s">
        <v>481</v>
      </c>
      <c r="J900" s="6">
        <v>0</v>
      </c>
      <c r="L900" s="4">
        <v>3</v>
      </c>
      <c r="P900" s="6" t="s">
        <v>797</v>
      </c>
    </row>
    <row r="901" spans="2:16" ht="14.25" x14ac:dyDescent="0.15">
      <c r="B901" s="18">
        <v>101276</v>
      </c>
      <c r="C901" s="6">
        <v>16</v>
      </c>
      <c r="D901" s="6" t="s">
        <v>482</v>
      </c>
      <c r="E901" s="6" t="s">
        <v>345</v>
      </c>
      <c r="F901" s="109" t="s">
        <v>482</v>
      </c>
      <c r="J901" s="6">
        <v>0</v>
      </c>
      <c r="L901" s="4">
        <v>4</v>
      </c>
      <c r="P901" s="6" t="s">
        <v>795</v>
      </c>
    </row>
    <row r="902" spans="2:16" ht="14.25" x14ac:dyDescent="0.15">
      <c r="B902" s="18">
        <v>101277</v>
      </c>
      <c r="C902" s="6">
        <v>16</v>
      </c>
      <c r="D902" s="6" t="s">
        <v>483</v>
      </c>
      <c r="E902" s="6" t="s">
        <v>346</v>
      </c>
      <c r="F902" s="109" t="s">
        <v>483</v>
      </c>
      <c r="J902" s="6">
        <v>0</v>
      </c>
      <c r="L902" s="4">
        <v>1</v>
      </c>
      <c r="P902" s="6" t="s">
        <v>792</v>
      </c>
    </row>
    <row r="903" spans="2:16" ht="14.25" x14ac:dyDescent="0.15">
      <c r="B903" s="18">
        <v>101278</v>
      </c>
      <c r="C903" s="6">
        <v>16</v>
      </c>
      <c r="D903" s="6" t="s">
        <v>484</v>
      </c>
      <c r="E903" s="6" t="s">
        <v>347</v>
      </c>
      <c r="F903" s="109" t="s">
        <v>484</v>
      </c>
      <c r="J903" s="6">
        <v>0</v>
      </c>
      <c r="L903" s="4">
        <v>2</v>
      </c>
      <c r="P903" s="6" t="s">
        <v>796</v>
      </c>
    </row>
    <row r="904" spans="2:16" ht="14.25" x14ac:dyDescent="0.15">
      <c r="B904" s="18">
        <v>101279</v>
      </c>
      <c r="C904" s="6">
        <v>16</v>
      </c>
      <c r="D904" s="6" t="s">
        <v>485</v>
      </c>
      <c r="E904" s="6" t="s">
        <v>348</v>
      </c>
      <c r="F904" s="109" t="s">
        <v>485</v>
      </c>
      <c r="J904" s="6">
        <v>0</v>
      </c>
      <c r="L904" s="4">
        <v>3</v>
      </c>
      <c r="P904" s="6" t="s">
        <v>797</v>
      </c>
    </row>
    <row r="905" spans="2:16" ht="14.25" x14ac:dyDescent="0.15">
      <c r="B905" s="18">
        <v>101280</v>
      </c>
      <c r="C905" s="6">
        <v>16</v>
      </c>
      <c r="D905" s="6" t="s">
        <v>486</v>
      </c>
      <c r="E905" s="6" t="s">
        <v>349</v>
      </c>
      <c r="F905" s="109" t="s">
        <v>486</v>
      </c>
      <c r="J905" s="6">
        <v>0</v>
      </c>
      <c r="L905" s="4">
        <v>4</v>
      </c>
      <c r="P905" s="6" t="s">
        <v>795</v>
      </c>
    </row>
    <row r="906" spans="2:16" ht="14.25" x14ac:dyDescent="0.15">
      <c r="B906" s="18">
        <v>101281</v>
      </c>
      <c r="C906" s="6">
        <v>16</v>
      </c>
      <c r="D906" s="6" t="s">
        <v>487</v>
      </c>
      <c r="E906" s="6" t="s">
        <v>350</v>
      </c>
      <c r="F906" s="109" t="s">
        <v>487</v>
      </c>
      <c r="J906" s="6">
        <v>0</v>
      </c>
      <c r="L906" s="4">
        <v>1</v>
      </c>
      <c r="P906" s="6" t="s">
        <v>792</v>
      </c>
    </row>
    <row r="907" spans="2:16" ht="14.25" x14ac:dyDescent="0.15">
      <c r="B907" s="18">
        <v>101282</v>
      </c>
      <c r="C907" s="6">
        <v>16</v>
      </c>
      <c r="D907" s="6" t="s">
        <v>488</v>
      </c>
      <c r="E907" s="6" t="s">
        <v>351</v>
      </c>
      <c r="F907" s="109" t="s">
        <v>488</v>
      </c>
      <c r="J907" s="6">
        <v>0</v>
      </c>
      <c r="L907" s="4">
        <v>2</v>
      </c>
      <c r="P907" s="6" t="s">
        <v>796</v>
      </c>
    </row>
    <row r="908" spans="2:16" ht="14.25" x14ac:dyDescent="0.15">
      <c r="B908" s="18">
        <v>101283</v>
      </c>
      <c r="C908" s="6">
        <v>16</v>
      </c>
      <c r="D908" s="6" t="s">
        <v>489</v>
      </c>
      <c r="E908" s="6" t="s">
        <v>352</v>
      </c>
      <c r="F908" s="109" t="s">
        <v>489</v>
      </c>
      <c r="J908" s="6">
        <v>0</v>
      </c>
      <c r="L908" s="4">
        <v>3</v>
      </c>
      <c r="P908" s="6" t="s">
        <v>797</v>
      </c>
    </row>
    <row r="909" spans="2:16" ht="14.25" x14ac:dyDescent="0.15">
      <c r="B909" s="18">
        <v>101284</v>
      </c>
      <c r="C909" s="6">
        <v>16</v>
      </c>
      <c r="D909" s="6" t="s">
        <v>490</v>
      </c>
      <c r="E909" s="6" t="s">
        <v>353</v>
      </c>
      <c r="F909" s="109" t="s">
        <v>490</v>
      </c>
      <c r="J909" s="6">
        <v>0</v>
      </c>
      <c r="L909" s="4">
        <v>4</v>
      </c>
      <c r="P909" s="6" t="s">
        <v>795</v>
      </c>
    </row>
    <row r="910" spans="2:16" ht="14.25" x14ac:dyDescent="0.15">
      <c r="B910" s="18">
        <v>101285</v>
      </c>
      <c r="C910" s="6">
        <v>16</v>
      </c>
      <c r="D910" s="6" t="s">
        <v>491</v>
      </c>
      <c r="E910" s="6" t="s">
        <v>354</v>
      </c>
      <c r="F910" s="109" t="s">
        <v>491</v>
      </c>
      <c r="J910" s="6">
        <v>0</v>
      </c>
      <c r="L910" s="4">
        <v>1</v>
      </c>
      <c r="P910" s="6" t="s">
        <v>792</v>
      </c>
    </row>
    <row r="911" spans="2:16" ht="14.25" x14ac:dyDescent="0.15">
      <c r="B911" s="18">
        <v>101286</v>
      </c>
      <c r="C911" s="6">
        <v>16</v>
      </c>
      <c r="D911" s="6" t="s">
        <v>492</v>
      </c>
      <c r="E911" s="6" t="s">
        <v>355</v>
      </c>
      <c r="F911" s="109" t="s">
        <v>492</v>
      </c>
      <c r="J911" s="6">
        <v>0</v>
      </c>
      <c r="L911" s="4">
        <v>2</v>
      </c>
      <c r="P911" s="6" t="s">
        <v>796</v>
      </c>
    </row>
    <row r="912" spans="2:16" ht="14.25" x14ac:dyDescent="0.15">
      <c r="B912" s="18">
        <v>101287</v>
      </c>
      <c r="C912" s="6">
        <v>16</v>
      </c>
      <c r="D912" s="6" t="s">
        <v>493</v>
      </c>
      <c r="E912" s="6" t="s">
        <v>356</v>
      </c>
      <c r="F912" s="109" t="s">
        <v>493</v>
      </c>
      <c r="J912" s="6">
        <v>0</v>
      </c>
      <c r="L912" s="4">
        <v>3</v>
      </c>
      <c r="P912" s="6" t="s">
        <v>797</v>
      </c>
    </row>
    <row r="913" spans="2:16" ht="14.25" x14ac:dyDescent="0.15">
      <c r="B913" s="18">
        <v>101288</v>
      </c>
      <c r="C913" s="6">
        <v>16</v>
      </c>
      <c r="D913" s="6" t="s">
        <v>494</v>
      </c>
      <c r="E913" s="6" t="s">
        <v>357</v>
      </c>
      <c r="F913" s="109" t="s">
        <v>494</v>
      </c>
      <c r="J913" s="6">
        <v>0</v>
      </c>
      <c r="L913" s="4">
        <v>4</v>
      </c>
      <c r="P913" s="6" t="s">
        <v>795</v>
      </c>
    </row>
    <row r="914" spans="2:16" ht="14.25" x14ac:dyDescent="0.15">
      <c r="B914" s="18">
        <v>101289</v>
      </c>
      <c r="C914" s="6">
        <v>16</v>
      </c>
      <c r="D914" s="6" t="s">
        <v>495</v>
      </c>
      <c r="E914" s="6" t="s">
        <v>358</v>
      </c>
      <c r="F914" s="109" t="s">
        <v>495</v>
      </c>
      <c r="J914" s="6">
        <v>0</v>
      </c>
      <c r="L914" s="4">
        <v>1</v>
      </c>
      <c r="P914" s="6" t="s">
        <v>792</v>
      </c>
    </row>
    <row r="915" spans="2:16" ht="14.25" x14ac:dyDescent="0.15">
      <c r="B915" s="18">
        <v>101290</v>
      </c>
      <c r="C915" s="6">
        <v>16</v>
      </c>
      <c r="D915" s="6" t="s">
        <v>496</v>
      </c>
      <c r="E915" s="6" t="s">
        <v>359</v>
      </c>
      <c r="F915" s="109" t="s">
        <v>496</v>
      </c>
      <c r="J915" s="6">
        <v>0</v>
      </c>
      <c r="L915" s="4">
        <v>2</v>
      </c>
      <c r="P915" s="6" t="s">
        <v>796</v>
      </c>
    </row>
    <row r="916" spans="2:16" ht="14.25" x14ac:dyDescent="0.15">
      <c r="B916" s="18">
        <v>101291</v>
      </c>
      <c r="C916" s="6">
        <v>16</v>
      </c>
      <c r="D916" s="6" t="s">
        <v>497</v>
      </c>
      <c r="E916" s="6" t="s">
        <v>360</v>
      </c>
      <c r="F916" s="109" t="s">
        <v>497</v>
      </c>
      <c r="J916" s="6">
        <v>0</v>
      </c>
      <c r="L916" s="4">
        <v>3</v>
      </c>
      <c r="P916" s="6" t="s">
        <v>797</v>
      </c>
    </row>
    <row r="917" spans="2:16" ht="14.25" x14ac:dyDescent="0.15">
      <c r="B917" s="18">
        <v>101292</v>
      </c>
      <c r="C917" s="6">
        <v>16</v>
      </c>
      <c r="D917" s="6" t="s">
        <v>498</v>
      </c>
      <c r="E917" s="6" t="s">
        <v>361</v>
      </c>
      <c r="F917" s="109" t="s">
        <v>498</v>
      </c>
      <c r="J917" s="6">
        <v>0</v>
      </c>
      <c r="L917" s="4">
        <v>4</v>
      </c>
      <c r="P917" s="6" t="s">
        <v>795</v>
      </c>
    </row>
    <row r="918" spans="2:16" ht="14.25" x14ac:dyDescent="0.15">
      <c r="B918" s="18">
        <v>101293</v>
      </c>
      <c r="C918" s="6">
        <v>16</v>
      </c>
      <c r="D918" s="6" t="s">
        <v>499</v>
      </c>
      <c r="E918" s="6" t="s">
        <v>362</v>
      </c>
      <c r="F918" s="109" t="s">
        <v>499</v>
      </c>
      <c r="J918" s="6">
        <v>0</v>
      </c>
      <c r="L918" s="4">
        <v>1</v>
      </c>
      <c r="P918" s="6" t="s">
        <v>792</v>
      </c>
    </row>
    <row r="919" spans="2:16" ht="14.25" x14ac:dyDescent="0.15">
      <c r="B919" s="18">
        <v>101294</v>
      </c>
      <c r="C919" s="6">
        <v>16</v>
      </c>
      <c r="D919" s="6" t="s">
        <v>500</v>
      </c>
      <c r="E919" s="6" t="s">
        <v>363</v>
      </c>
      <c r="F919" s="109" t="s">
        <v>500</v>
      </c>
      <c r="J919" s="6">
        <v>0</v>
      </c>
      <c r="L919" s="4">
        <v>2</v>
      </c>
      <c r="P919" s="6" t="s">
        <v>796</v>
      </c>
    </row>
    <row r="920" spans="2:16" ht="14.25" x14ac:dyDescent="0.15">
      <c r="B920" s="18">
        <v>101295</v>
      </c>
      <c r="C920" s="6">
        <v>16</v>
      </c>
      <c r="D920" s="6" t="s">
        <v>501</v>
      </c>
      <c r="E920" s="6" t="s">
        <v>364</v>
      </c>
      <c r="F920" s="109" t="s">
        <v>501</v>
      </c>
      <c r="J920" s="6">
        <v>0</v>
      </c>
      <c r="L920" s="4">
        <v>3</v>
      </c>
      <c r="P920" s="6" t="s">
        <v>797</v>
      </c>
    </row>
    <row r="921" spans="2:16" ht="14.25" x14ac:dyDescent="0.15">
      <c r="B921" s="18">
        <v>101296</v>
      </c>
      <c r="C921" s="6">
        <v>16</v>
      </c>
      <c r="D921" s="6" t="s">
        <v>502</v>
      </c>
      <c r="E921" s="6" t="s">
        <v>365</v>
      </c>
      <c r="F921" s="109" t="s">
        <v>502</v>
      </c>
      <c r="J921" s="6">
        <v>0</v>
      </c>
      <c r="L921" s="4">
        <v>4</v>
      </c>
      <c r="P921" s="6" t="s">
        <v>795</v>
      </c>
    </row>
    <row r="922" spans="2:16" ht="14.25" x14ac:dyDescent="0.15">
      <c r="B922" s="18">
        <v>101297</v>
      </c>
      <c r="C922" s="6">
        <v>16</v>
      </c>
      <c r="D922" s="6" t="s">
        <v>503</v>
      </c>
      <c r="E922" s="6" t="s">
        <v>366</v>
      </c>
      <c r="F922" s="109" t="s">
        <v>503</v>
      </c>
      <c r="J922" s="6">
        <v>0</v>
      </c>
      <c r="L922" s="4">
        <v>1</v>
      </c>
      <c r="P922" s="6" t="s">
        <v>792</v>
      </c>
    </row>
    <row r="923" spans="2:16" ht="14.25" x14ac:dyDescent="0.15">
      <c r="B923" s="18">
        <v>101298</v>
      </c>
      <c r="C923" s="6">
        <v>16</v>
      </c>
      <c r="D923" s="6" t="s">
        <v>504</v>
      </c>
      <c r="E923" s="6" t="s">
        <v>367</v>
      </c>
      <c r="F923" s="109" t="s">
        <v>504</v>
      </c>
      <c r="J923" s="6">
        <v>0</v>
      </c>
      <c r="L923" s="4">
        <v>2</v>
      </c>
      <c r="P923" s="6" t="s">
        <v>796</v>
      </c>
    </row>
    <row r="924" spans="2:16" ht="14.25" x14ac:dyDescent="0.15">
      <c r="B924" s="18">
        <v>101299</v>
      </c>
      <c r="C924" s="6">
        <v>16</v>
      </c>
      <c r="D924" s="6" t="s">
        <v>505</v>
      </c>
      <c r="E924" s="6" t="s">
        <v>368</v>
      </c>
      <c r="F924" s="109" t="s">
        <v>505</v>
      </c>
      <c r="J924" s="6">
        <v>0</v>
      </c>
      <c r="L924" s="4">
        <v>3</v>
      </c>
      <c r="P924" s="6" t="s">
        <v>797</v>
      </c>
    </row>
    <row r="925" spans="2:16" ht="14.25" x14ac:dyDescent="0.15">
      <c r="B925" s="18">
        <v>101300</v>
      </c>
      <c r="C925" s="6">
        <v>16</v>
      </c>
      <c r="D925" s="6" t="s">
        <v>506</v>
      </c>
      <c r="E925" s="6" t="s">
        <v>541</v>
      </c>
      <c r="F925" s="109" t="s">
        <v>506</v>
      </c>
      <c r="J925" s="6">
        <v>0</v>
      </c>
      <c r="L925" s="4">
        <v>4</v>
      </c>
      <c r="P925" s="6" t="s">
        <v>795</v>
      </c>
    </row>
    <row r="926" spans="2:16" ht="14.25" x14ac:dyDescent="0.15">
      <c r="B926" s="18">
        <v>101301</v>
      </c>
      <c r="C926" s="6">
        <v>16</v>
      </c>
      <c r="D926" s="6" t="s">
        <v>507</v>
      </c>
      <c r="E926" s="6" t="s">
        <v>369</v>
      </c>
      <c r="F926" s="109" t="s">
        <v>507</v>
      </c>
      <c r="J926" s="6">
        <v>0</v>
      </c>
      <c r="L926" s="4">
        <v>1</v>
      </c>
      <c r="P926" s="6" t="s">
        <v>792</v>
      </c>
    </row>
    <row r="927" spans="2:16" ht="14.25" x14ac:dyDescent="0.15">
      <c r="B927" s="18">
        <v>101302</v>
      </c>
      <c r="C927" s="6">
        <v>16</v>
      </c>
      <c r="D927" s="6" t="s">
        <v>508</v>
      </c>
      <c r="E927" s="6" t="s">
        <v>370</v>
      </c>
      <c r="F927" s="109" t="s">
        <v>508</v>
      </c>
      <c r="J927" s="6">
        <v>0</v>
      </c>
      <c r="L927" s="4">
        <v>2</v>
      </c>
      <c r="P927" s="6" t="s">
        <v>796</v>
      </c>
    </row>
    <row r="928" spans="2:16" ht="14.25" x14ac:dyDescent="0.15">
      <c r="B928" s="18">
        <v>101303</v>
      </c>
      <c r="C928" s="6">
        <v>16</v>
      </c>
      <c r="D928" s="6" t="s">
        <v>509</v>
      </c>
      <c r="E928" s="6" t="s">
        <v>371</v>
      </c>
      <c r="F928" s="109" t="s">
        <v>509</v>
      </c>
      <c r="J928" s="6">
        <v>0</v>
      </c>
      <c r="L928" s="4">
        <v>3</v>
      </c>
      <c r="P928" s="6" t="s">
        <v>797</v>
      </c>
    </row>
    <row r="929" spans="2:16" ht="14.25" x14ac:dyDescent="0.15">
      <c r="B929" s="18">
        <v>101304</v>
      </c>
      <c r="C929" s="6">
        <v>16</v>
      </c>
      <c r="D929" s="6" t="s">
        <v>510</v>
      </c>
      <c r="E929" s="6" t="s">
        <v>372</v>
      </c>
      <c r="F929" s="109" t="s">
        <v>510</v>
      </c>
      <c r="J929" s="6">
        <v>0</v>
      </c>
      <c r="L929" s="4">
        <v>4</v>
      </c>
      <c r="P929" s="6" t="s">
        <v>795</v>
      </c>
    </row>
    <row r="930" spans="2:16" ht="14.25" x14ac:dyDescent="0.15">
      <c r="B930" s="18">
        <v>101701</v>
      </c>
      <c r="C930" s="6">
        <v>16</v>
      </c>
      <c r="D930" s="6" t="s">
        <v>511</v>
      </c>
      <c r="E930" s="6" t="s">
        <v>1304</v>
      </c>
      <c r="F930" s="109" t="s">
        <v>511</v>
      </c>
      <c r="J930" s="6">
        <v>0</v>
      </c>
      <c r="L930" s="4">
        <v>1</v>
      </c>
      <c r="P930" s="6" t="s">
        <v>792</v>
      </c>
    </row>
    <row r="931" spans="2:16" ht="14.25" x14ac:dyDescent="0.15">
      <c r="B931" s="18">
        <v>101702</v>
      </c>
      <c r="C931" s="6">
        <v>16</v>
      </c>
      <c r="D931" s="6" t="s">
        <v>512</v>
      </c>
      <c r="E931" s="6" t="s">
        <v>1304</v>
      </c>
      <c r="F931" s="109" t="s">
        <v>512</v>
      </c>
      <c r="J931" s="6">
        <v>0</v>
      </c>
      <c r="L931" s="4">
        <v>2</v>
      </c>
      <c r="P931" s="6" t="s">
        <v>796</v>
      </c>
    </row>
    <row r="932" spans="2:16" ht="14.25" x14ac:dyDescent="0.15">
      <c r="B932" s="18">
        <v>101703</v>
      </c>
      <c r="C932" s="6">
        <v>16</v>
      </c>
      <c r="D932" s="6" t="s">
        <v>513</v>
      </c>
      <c r="E932" s="6" t="s">
        <v>1304</v>
      </c>
      <c r="F932" s="109" t="s">
        <v>513</v>
      </c>
      <c r="J932" s="6">
        <v>0</v>
      </c>
      <c r="L932" s="4">
        <v>3</v>
      </c>
      <c r="P932" s="6" t="s">
        <v>797</v>
      </c>
    </row>
    <row r="933" spans="2:16" ht="14.25" x14ac:dyDescent="0.15">
      <c r="B933" s="18">
        <v>101704</v>
      </c>
      <c r="C933" s="6">
        <v>16</v>
      </c>
      <c r="D933" s="6" t="s">
        <v>514</v>
      </c>
      <c r="E933" s="6" t="s">
        <v>1304</v>
      </c>
      <c r="F933" s="109" t="s">
        <v>514</v>
      </c>
      <c r="J933" s="6">
        <v>0</v>
      </c>
      <c r="L933" s="4">
        <v>4</v>
      </c>
      <c r="P933" s="6" t="s">
        <v>795</v>
      </c>
    </row>
    <row r="934" spans="2:16" ht="14.25" x14ac:dyDescent="0.15">
      <c r="B934" s="18">
        <v>101705</v>
      </c>
      <c r="C934" s="6">
        <v>16</v>
      </c>
      <c r="D934" s="6" t="s">
        <v>515</v>
      </c>
      <c r="E934" s="6" t="s">
        <v>1304</v>
      </c>
      <c r="F934" s="109" t="s">
        <v>515</v>
      </c>
      <c r="J934" s="6">
        <v>0</v>
      </c>
      <c r="L934" s="4">
        <v>1</v>
      </c>
      <c r="P934" s="6" t="s">
        <v>792</v>
      </c>
    </row>
    <row r="935" spans="2:16" ht="14.25" x14ac:dyDescent="0.15">
      <c r="B935" s="18">
        <v>101706</v>
      </c>
      <c r="C935" s="6">
        <v>16</v>
      </c>
      <c r="D935" s="6" t="s">
        <v>516</v>
      </c>
      <c r="E935" s="6" t="s">
        <v>1304</v>
      </c>
      <c r="F935" s="109" t="s">
        <v>516</v>
      </c>
      <c r="J935" s="6">
        <v>0</v>
      </c>
      <c r="L935" s="4">
        <v>2</v>
      </c>
      <c r="P935" s="6" t="s">
        <v>796</v>
      </c>
    </row>
    <row r="936" spans="2:16" ht="14.25" x14ac:dyDescent="0.15">
      <c r="B936" s="18">
        <v>101707</v>
      </c>
      <c r="C936" s="6">
        <v>16</v>
      </c>
      <c r="D936" s="6" t="s">
        <v>517</v>
      </c>
      <c r="E936" s="6" t="s">
        <v>1304</v>
      </c>
      <c r="F936" s="109" t="s">
        <v>517</v>
      </c>
      <c r="J936" s="6">
        <v>0</v>
      </c>
      <c r="L936" s="4">
        <v>3</v>
      </c>
      <c r="P936" s="6" t="s">
        <v>797</v>
      </c>
    </row>
    <row r="937" spans="2:16" ht="14.25" x14ac:dyDescent="0.15">
      <c r="B937" s="18">
        <v>101708</v>
      </c>
      <c r="C937" s="6">
        <v>16</v>
      </c>
      <c r="D937" s="6" t="s">
        <v>518</v>
      </c>
      <c r="E937" s="6" t="s">
        <v>1304</v>
      </c>
      <c r="F937" s="109" t="s">
        <v>518</v>
      </c>
      <c r="J937" s="6">
        <v>0</v>
      </c>
      <c r="L937" s="4">
        <v>4</v>
      </c>
      <c r="P937" s="6" t="s">
        <v>795</v>
      </c>
    </row>
    <row r="938" spans="2:16" ht="14.25" x14ac:dyDescent="0.15">
      <c r="B938" s="18">
        <v>101709</v>
      </c>
      <c r="C938" s="6">
        <v>16</v>
      </c>
      <c r="D938" s="6" t="s">
        <v>519</v>
      </c>
      <c r="E938" s="6" t="s">
        <v>1304</v>
      </c>
      <c r="F938" s="109" t="s">
        <v>519</v>
      </c>
      <c r="J938" s="6">
        <v>0</v>
      </c>
      <c r="L938" s="4">
        <v>1</v>
      </c>
      <c r="P938" s="6" t="s">
        <v>792</v>
      </c>
    </row>
    <row r="939" spans="2:16" ht="14.25" x14ac:dyDescent="0.15">
      <c r="B939" s="18">
        <v>101710</v>
      </c>
      <c r="C939" s="6">
        <v>16</v>
      </c>
      <c r="D939" s="6" t="s">
        <v>520</v>
      </c>
      <c r="E939" s="6" t="s">
        <v>1304</v>
      </c>
      <c r="F939" s="109" t="s">
        <v>520</v>
      </c>
      <c r="J939" s="6">
        <v>0</v>
      </c>
      <c r="L939" s="4">
        <v>2</v>
      </c>
      <c r="P939" s="6" t="s">
        <v>796</v>
      </c>
    </row>
    <row r="940" spans="2:16" ht="14.25" x14ac:dyDescent="0.15">
      <c r="B940" s="18">
        <v>101711</v>
      </c>
      <c r="C940" s="6">
        <v>16</v>
      </c>
      <c r="D940" s="6" t="s">
        <v>521</v>
      </c>
      <c r="E940" s="6" t="s">
        <v>1304</v>
      </c>
      <c r="F940" s="109" t="s">
        <v>521</v>
      </c>
      <c r="J940" s="6">
        <v>0</v>
      </c>
      <c r="L940" s="4">
        <v>3</v>
      </c>
      <c r="P940" s="6" t="s">
        <v>797</v>
      </c>
    </row>
    <row r="941" spans="2:16" ht="14.25" x14ac:dyDescent="0.15">
      <c r="B941" s="18">
        <v>101712</v>
      </c>
      <c r="C941" s="6">
        <v>16</v>
      </c>
      <c r="D941" s="6" t="s">
        <v>522</v>
      </c>
      <c r="E941" s="6" t="s">
        <v>1304</v>
      </c>
      <c r="F941" s="109" t="s">
        <v>522</v>
      </c>
      <c r="J941" s="6">
        <v>0</v>
      </c>
      <c r="L941" s="4">
        <v>4</v>
      </c>
      <c r="P941" s="6" t="s">
        <v>795</v>
      </c>
    </row>
    <row r="942" spans="2:16" ht="14.25" x14ac:dyDescent="0.15">
      <c r="B942" s="18">
        <v>101713</v>
      </c>
      <c r="C942" s="6">
        <v>16</v>
      </c>
      <c r="D942" s="6" t="s">
        <v>523</v>
      </c>
      <c r="E942" s="6" t="s">
        <v>1304</v>
      </c>
      <c r="F942" s="109" t="s">
        <v>523</v>
      </c>
      <c r="J942" s="6">
        <v>0</v>
      </c>
      <c r="L942" s="4">
        <v>1</v>
      </c>
      <c r="P942" s="6" t="s">
        <v>792</v>
      </c>
    </row>
    <row r="943" spans="2:16" ht="14.25" x14ac:dyDescent="0.15">
      <c r="B943" s="18">
        <v>101714</v>
      </c>
      <c r="C943" s="6">
        <v>16</v>
      </c>
      <c r="D943" s="6" t="s">
        <v>524</v>
      </c>
      <c r="E943" s="6" t="s">
        <v>1304</v>
      </c>
      <c r="F943" s="109" t="s">
        <v>524</v>
      </c>
      <c r="J943" s="6">
        <v>0</v>
      </c>
      <c r="L943" s="4">
        <v>2</v>
      </c>
      <c r="P943" s="6" t="s">
        <v>796</v>
      </c>
    </row>
    <row r="944" spans="2:16" ht="14.25" x14ac:dyDescent="0.15">
      <c r="B944" s="18">
        <v>101715</v>
      </c>
      <c r="C944" s="6">
        <v>16</v>
      </c>
      <c r="D944" s="6" t="s">
        <v>525</v>
      </c>
      <c r="E944" s="6" t="s">
        <v>1304</v>
      </c>
      <c r="F944" s="109" t="s">
        <v>525</v>
      </c>
      <c r="J944" s="6">
        <v>0</v>
      </c>
      <c r="L944" s="4">
        <v>3</v>
      </c>
      <c r="P944" s="6" t="s">
        <v>797</v>
      </c>
    </row>
    <row r="945" spans="2:16" ht="14.25" x14ac:dyDescent="0.15">
      <c r="B945" s="18">
        <v>101716</v>
      </c>
      <c r="C945" s="6">
        <v>16</v>
      </c>
      <c r="D945" s="6" t="s">
        <v>526</v>
      </c>
      <c r="E945" s="6" t="s">
        <v>1304</v>
      </c>
      <c r="F945" s="109" t="s">
        <v>526</v>
      </c>
      <c r="J945" s="6">
        <v>0</v>
      </c>
      <c r="L945" s="4">
        <v>4</v>
      </c>
      <c r="P945" s="6" t="s">
        <v>795</v>
      </c>
    </row>
    <row r="946" spans="2:16" ht="14.25" x14ac:dyDescent="0.15">
      <c r="B946" s="18">
        <v>101717</v>
      </c>
      <c r="C946" s="6">
        <v>16</v>
      </c>
      <c r="D946" s="6" t="s">
        <v>527</v>
      </c>
      <c r="E946" s="6" t="s">
        <v>1304</v>
      </c>
      <c r="F946" s="109" t="s">
        <v>527</v>
      </c>
      <c r="J946" s="6">
        <v>0</v>
      </c>
      <c r="L946" s="4">
        <v>1</v>
      </c>
      <c r="P946" s="6" t="s">
        <v>792</v>
      </c>
    </row>
    <row r="947" spans="2:16" ht="14.25" x14ac:dyDescent="0.15">
      <c r="B947" s="18">
        <v>101718</v>
      </c>
      <c r="C947" s="6">
        <v>16</v>
      </c>
      <c r="D947" s="6" t="s">
        <v>528</v>
      </c>
      <c r="E947" s="6" t="s">
        <v>1304</v>
      </c>
      <c r="F947" s="109" t="s">
        <v>528</v>
      </c>
      <c r="J947" s="6">
        <v>0</v>
      </c>
      <c r="L947" s="4">
        <v>2</v>
      </c>
      <c r="P947" s="6" t="s">
        <v>796</v>
      </c>
    </row>
    <row r="948" spans="2:16" ht="14.25" x14ac:dyDescent="0.15">
      <c r="B948" s="18">
        <v>101719</v>
      </c>
      <c r="C948" s="6">
        <v>16</v>
      </c>
      <c r="D948" s="6" t="s">
        <v>529</v>
      </c>
      <c r="E948" s="6" t="s">
        <v>1304</v>
      </c>
      <c r="F948" s="109" t="s">
        <v>529</v>
      </c>
      <c r="J948" s="6">
        <v>0</v>
      </c>
      <c r="L948" s="4">
        <v>3</v>
      </c>
      <c r="P948" s="6" t="s">
        <v>797</v>
      </c>
    </row>
    <row r="949" spans="2:16" ht="14.25" x14ac:dyDescent="0.15">
      <c r="B949" s="18">
        <v>101720</v>
      </c>
      <c r="C949" s="6">
        <v>16</v>
      </c>
      <c r="D949" s="6" t="s">
        <v>530</v>
      </c>
      <c r="E949" s="6" t="s">
        <v>1304</v>
      </c>
      <c r="F949" s="109" t="s">
        <v>530</v>
      </c>
      <c r="J949" s="6">
        <v>0</v>
      </c>
      <c r="L949" s="4">
        <v>4</v>
      </c>
      <c r="P949" s="6" t="s">
        <v>795</v>
      </c>
    </row>
    <row r="950" spans="2:16" ht="14.25" x14ac:dyDescent="0.15">
      <c r="B950" s="18">
        <v>101721</v>
      </c>
      <c r="C950" s="6">
        <v>16</v>
      </c>
      <c r="D950" s="6" t="s">
        <v>531</v>
      </c>
      <c r="E950" s="6" t="s">
        <v>1304</v>
      </c>
      <c r="F950" s="109" t="s">
        <v>531</v>
      </c>
      <c r="J950" s="6">
        <v>0</v>
      </c>
      <c r="L950" s="4">
        <v>1</v>
      </c>
      <c r="P950" s="6" t="s">
        <v>792</v>
      </c>
    </row>
    <row r="951" spans="2:16" ht="14.25" x14ac:dyDescent="0.15">
      <c r="B951" s="18">
        <v>101722</v>
      </c>
      <c r="C951" s="6">
        <v>16</v>
      </c>
      <c r="D951" s="6" t="s">
        <v>532</v>
      </c>
      <c r="E951" s="6" t="s">
        <v>1304</v>
      </c>
      <c r="F951" s="109" t="s">
        <v>532</v>
      </c>
      <c r="J951" s="6">
        <v>0</v>
      </c>
      <c r="L951" s="4">
        <v>2</v>
      </c>
      <c r="P951" s="6" t="s">
        <v>796</v>
      </c>
    </row>
    <row r="952" spans="2:16" ht="14.25" x14ac:dyDescent="0.15">
      <c r="B952" s="18">
        <v>101723</v>
      </c>
      <c r="C952" s="6">
        <v>16</v>
      </c>
      <c r="D952" s="6" t="s">
        <v>533</v>
      </c>
      <c r="E952" s="6" t="s">
        <v>1304</v>
      </c>
      <c r="F952" s="109" t="s">
        <v>533</v>
      </c>
      <c r="J952" s="6">
        <v>0</v>
      </c>
      <c r="L952" s="4">
        <v>3</v>
      </c>
      <c r="P952" s="6" t="s">
        <v>797</v>
      </c>
    </row>
    <row r="953" spans="2:16" ht="14.25" x14ac:dyDescent="0.15">
      <c r="B953" s="18">
        <v>101724</v>
      </c>
      <c r="C953" s="6">
        <v>16</v>
      </c>
      <c r="D953" s="6" t="s">
        <v>428</v>
      </c>
      <c r="E953" s="6" t="s">
        <v>1304</v>
      </c>
      <c r="F953" s="109" t="s">
        <v>428</v>
      </c>
      <c r="J953" s="6">
        <v>0</v>
      </c>
      <c r="L953" s="4">
        <v>4</v>
      </c>
      <c r="P953" s="6" t="s">
        <v>795</v>
      </c>
    </row>
    <row r="954" spans="2:16" ht="14.25" x14ac:dyDescent="0.15">
      <c r="B954" s="18">
        <v>101725</v>
      </c>
      <c r="C954" s="6">
        <v>16</v>
      </c>
      <c r="D954" s="6" t="s">
        <v>534</v>
      </c>
      <c r="E954" s="6" t="s">
        <v>1304</v>
      </c>
      <c r="F954" s="109" t="s">
        <v>534</v>
      </c>
      <c r="J954" s="6">
        <v>0</v>
      </c>
      <c r="L954" s="4">
        <v>1</v>
      </c>
      <c r="P954" s="6" t="s">
        <v>792</v>
      </c>
    </row>
    <row r="955" spans="2:16" ht="14.25" x14ac:dyDescent="0.15">
      <c r="B955" s="18">
        <v>101726</v>
      </c>
      <c r="C955" s="6">
        <v>16</v>
      </c>
      <c r="D955" s="6" t="s">
        <v>535</v>
      </c>
      <c r="E955" s="6" t="s">
        <v>1304</v>
      </c>
      <c r="F955" s="109" t="s">
        <v>535</v>
      </c>
      <c r="J955" s="6">
        <v>0</v>
      </c>
      <c r="L955" s="4">
        <v>2</v>
      </c>
      <c r="P955" s="6" t="s">
        <v>796</v>
      </c>
    </row>
    <row r="956" spans="2:16" ht="14.25" x14ac:dyDescent="0.15">
      <c r="B956" s="18">
        <v>101727</v>
      </c>
      <c r="C956" s="6">
        <v>16</v>
      </c>
      <c r="D956" s="6" t="s">
        <v>536</v>
      </c>
      <c r="E956" s="6" t="s">
        <v>1304</v>
      </c>
      <c r="F956" s="109" t="s">
        <v>536</v>
      </c>
      <c r="J956" s="6">
        <v>0</v>
      </c>
      <c r="L956" s="4">
        <v>3</v>
      </c>
      <c r="P956" s="6" t="s">
        <v>797</v>
      </c>
    </row>
    <row r="957" spans="2:16" ht="14.25" x14ac:dyDescent="0.15">
      <c r="B957" s="18">
        <v>101728</v>
      </c>
      <c r="C957" s="6">
        <v>16</v>
      </c>
      <c r="D957" s="6" t="s">
        <v>537</v>
      </c>
      <c r="E957" s="6" t="s">
        <v>1304</v>
      </c>
      <c r="F957" s="109" t="s">
        <v>537</v>
      </c>
      <c r="J957" s="6">
        <v>0</v>
      </c>
      <c r="L957" s="4">
        <v>4</v>
      </c>
      <c r="P957" s="6" t="s">
        <v>795</v>
      </c>
    </row>
    <row r="958" spans="2:16" ht="14.25" x14ac:dyDescent="0.15">
      <c r="B958" s="18">
        <v>101729</v>
      </c>
      <c r="C958" s="6">
        <v>16</v>
      </c>
      <c r="D958" s="6" t="s">
        <v>538</v>
      </c>
      <c r="E958" s="6" t="s">
        <v>1304</v>
      </c>
      <c r="F958" s="109" t="s">
        <v>538</v>
      </c>
      <c r="J958" s="6">
        <v>0</v>
      </c>
      <c r="L958" s="4">
        <v>1</v>
      </c>
      <c r="P958" s="6" t="s">
        <v>792</v>
      </c>
    </row>
    <row r="959" spans="2:16" ht="14.25" x14ac:dyDescent="0.15">
      <c r="B959" s="18">
        <v>101730</v>
      </c>
      <c r="C959" s="6">
        <v>16</v>
      </c>
      <c r="D959" s="6" t="s">
        <v>539</v>
      </c>
      <c r="E959" s="6" t="s">
        <v>1304</v>
      </c>
      <c r="F959" s="109" t="s">
        <v>539</v>
      </c>
      <c r="J959" s="6">
        <v>0</v>
      </c>
      <c r="L959" s="4">
        <v>2</v>
      </c>
      <c r="P959" s="6" t="s">
        <v>796</v>
      </c>
    </row>
    <row r="960" spans="2:16" ht="14.25" x14ac:dyDescent="0.15">
      <c r="B960" s="18">
        <v>103000</v>
      </c>
      <c r="D960" s="6" t="s">
        <v>556</v>
      </c>
      <c r="P960" s="6" t="s">
        <v>794</v>
      </c>
    </row>
    <row r="961" spans="2:16" ht="14.25" x14ac:dyDescent="0.15">
      <c r="B961" s="47">
        <v>103001</v>
      </c>
      <c r="C961" s="6">
        <v>17</v>
      </c>
      <c r="D961" s="6" t="s">
        <v>177</v>
      </c>
      <c r="E961" s="6" t="s">
        <v>1738</v>
      </c>
      <c r="F961" s="109" t="s">
        <v>178</v>
      </c>
      <c r="J961" s="6">
        <v>0</v>
      </c>
      <c r="L961" s="4">
        <v>1</v>
      </c>
      <c r="P961" s="6" t="s">
        <v>792</v>
      </c>
    </row>
    <row r="962" spans="2:16" ht="14.25" x14ac:dyDescent="0.15">
      <c r="B962" s="47">
        <v>103002</v>
      </c>
      <c r="C962" s="6">
        <v>17</v>
      </c>
      <c r="D962" s="6" t="s">
        <v>179</v>
      </c>
      <c r="E962" s="6" t="s">
        <v>1738</v>
      </c>
      <c r="F962" s="109" t="s">
        <v>180</v>
      </c>
      <c r="J962" s="6">
        <v>0</v>
      </c>
      <c r="L962" s="4">
        <v>2</v>
      </c>
      <c r="P962" s="6" t="s">
        <v>796</v>
      </c>
    </row>
    <row r="963" spans="2:16" ht="14.25" x14ac:dyDescent="0.15">
      <c r="B963" s="47">
        <v>103003</v>
      </c>
      <c r="C963" s="6">
        <v>17</v>
      </c>
      <c r="D963" s="6" t="s">
        <v>181</v>
      </c>
      <c r="E963" s="6" t="s">
        <v>1738</v>
      </c>
      <c r="F963" s="109" t="s">
        <v>182</v>
      </c>
      <c r="J963" s="6">
        <v>0</v>
      </c>
      <c r="L963" s="4">
        <v>3</v>
      </c>
      <c r="P963" s="6" t="s">
        <v>797</v>
      </c>
    </row>
    <row r="964" spans="2:16" ht="14.25" x14ac:dyDescent="0.15">
      <c r="B964" s="47">
        <v>103004</v>
      </c>
      <c r="C964" s="6">
        <v>17</v>
      </c>
      <c r="D964" s="6" t="s">
        <v>183</v>
      </c>
      <c r="E964" s="6" t="s">
        <v>1738</v>
      </c>
      <c r="F964" s="109" t="s">
        <v>184</v>
      </c>
      <c r="J964" s="6">
        <v>0</v>
      </c>
      <c r="L964" s="4">
        <v>4</v>
      </c>
      <c r="P964" s="6" t="s">
        <v>795</v>
      </c>
    </row>
    <row r="965" spans="2:16" ht="14.25" x14ac:dyDescent="0.15">
      <c r="B965" s="47">
        <v>103005</v>
      </c>
      <c r="C965" s="6">
        <v>17</v>
      </c>
      <c r="J965" s="6">
        <v>0</v>
      </c>
      <c r="P965" s="6" t="s">
        <v>794</v>
      </c>
    </row>
    <row r="966" spans="2:16" ht="14.25" x14ac:dyDescent="0.15">
      <c r="B966" s="47">
        <v>103006</v>
      </c>
      <c r="C966" s="6">
        <v>17</v>
      </c>
      <c r="J966" s="6">
        <v>0</v>
      </c>
      <c r="P966" s="6" t="s">
        <v>794</v>
      </c>
    </row>
    <row r="967" spans="2:16" ht="14.25" x14ac:dyDescent="0.15">
      <c r="B967" s="47">
        <v>103007</v>
      </c>
      <c r="C967" s="6">
        <v>17</v>
      </c>
      <c r="J967" s="6">
        <v>0</v>
      </c>
      <c r="P967" s="6" t="s">
        <v>794</v>
      </c>
    </row>
    <row r="968" spans="2:16" ht="14.25" x14ac:dyDescent="0.15">
      <c r="B968" s="47">
        <v>103008</v>
      </c>
      <c r="C968" s="6">
        <v>17</v>
      </c>
      <c r="J968" s="6">
        <v>0</v>
      </c>
      <c r="P968" s="6" t="s">
        <v>794</v>
      </c>
    </row>
    <row r="969" spans="2:16" ht="14.25" x14ac:dyDescent="0.15">
      <c r="B969" s="47">
        <v>103009</v>
      </c>
      <c r="C969" s="6">
        <v>17</v>
      </c>
      <c r="J969" s="6">
        <v>0</v>
      </c>
      <c r="P969" s="6" t="s">
        <v>794</v>
      </c>
    </row>
    <row r="970" spans="2:16" ht="14.25" x14ac:dyDescent="0.15">
      <c r="B970" s="47">
        <v>103010</v>
      </c>
      <c r="C970" s="6">
        <v>17</v>
      </c>
      <c r="J970" s="6">
        <v>0</v>
      </c>
      <c r="P970" s="6" t="s">
        <v>794</v>
      </c>
    </row>
    <row r="971" spans="2:16" ht="14.25" x14ac:dyDescent="0.15">
      <c r="B971" s="47">
        <v>103011</v>
      </c>
      <c r="C971" s="6">
        <v>17</v>
      </c>
      <c r="J971" s="6">
        <v>0</v>
      </c>
      <c r="P971" s="6" t="s">
        <v>794</v>
      </c>
    </row>
    <row r="972" spans="2:16" ht="14.25" x14ac:dyDescent="0.15">
      <c r="B972" s="47">
        <v>103012</v>
      </c>
      <c r="C972" s="6">
        <v>17</v>
      </c>
      <c r="J972" s="6">
        <v>0</v>
      </c>
      <c r="P972" s="6" t="s">
        <v>794</v>
      </c>
    </row>
    <row r="973" spans="2:16" ht="14.25" x14ac:dyDescent="0.15">
      <c r="B973" s="47">
        <v>103013</v>
      </c>
      <c r="C973" s="6">
        <v>17</v>
      </c>
      <c r="J973" s="6">
        <v>0</v>
      </c>
      <c r="P973" s="6" t="s">
        <v>794</v>
      </c>
    </row>
    <row r="974" spans="2:16" ht="14.25" x14ac:dyDescent="0.15">
      <c r="B974" s="47">
        <v>103014</v>
      </c>
      <c r="C974" s="6">
        <v>17</v>
      </c>
      <c r="J974" s="6">
        <v>0</v>
      </c>
      <c r="P974" s="6" t="s">
        <v>794</v>
      </c>
    </row>
    <row r="975" spans="2:16" ht="14.25" x14ac:dyDescent="0.15">
      <c r="B975" s="47">
        <v>103015</v>
      </c>
      <c r="C975" s="6">
        <v>17</v>
      </c>
      <c r="P975" s="6" t="s">
        <v>794</v>
      </c>
    </row>
    <row r="976" spans="2:16" ht="14.25" x14ac:dyDescent="0.15">
      <c r="B976" s="47">
        <v>103016</v>
      </c>
      <c r="C976" s="6">
        <v>17</v>
      </c>
      <c r="P976" s="6" t="s">
        <v>794</v>
      </c>
    </row>
    <row r="977" spans="2:16" ht="14.25" x14ac:dyDescent="0.15">
      <c r="B977" s="47">
        <v>103017</v>
      </c>
      <c r="C977" s="6">
        <v>17</v>
      </c>
      <c r="P977" s="6" t="s">
        <v>794</v>
      </c>
    </row>
    <row r="978" spans="2:16" ht="14.25" x14ac:dyDescent="0.15">
      <c r="B978" s="47">
        <v>103018</v>
      </c>
      <c r="C978" s="6">
        <v>17</v>
      </c>
      <c r="P978" s="6" t="s">
        <v>794</v>
      </c>
    </row>
    <row r="979" spans="2:16" ht="14.25" x14ac:dyDescent="0.15">
      <c r="B979" s="47">
        <v>103019</v>
      </c>
      <c r="C979" s="6">
        <v>17</v>
      </c>
      <c r="P979" s="6" t="s">
        <v>794</v>
      </c>
    </row>
    <row r="980" spans="2:16" ht="14.25" x14ac:dyDescent="0.15">
      <c r="B980" s="47">
        <v>103020</v>
      </c>
      <c r="C980" s="6">
        <v>17</v>
      </c>
      <c r="P980" s="6" t="s">
        <v>794</v>
      </c>
    </row>
    <row r="981" spans="2:16" ht="14.25" x14ac:dyDescent="0.15">
      <c r="B981" s="47">
        <v>103021</v>
      </c>
      <c r="C981" s="6">
        <v>17</v>
      </c>
      <c r="P981" s="6" t="s">
        <v>794</v>
      </c>
    </row>
    <row r="982" spans="2:16" ht="14.25" x14ac:dyDescent="0.15">
      <c r="B982" s="47">
        <v>103022</v>
      </c>
      <c r="C982" s="6">
        <v>17</v>
      </c>
      <c r="P982" s="6" t="s">
        <v>794</v>
      </c>
    </row>
    <row r="983" spans="2:16" ht="14.25" x14ac:dyDescent="0.15">
      <c r="B983" s="47">
        <v>103023</v>
      </c>
      <c r="C983" s="6">
        <v>17</v>
      </c>
      <c r="P983" s="6" t="s">
        <v>794</v>
      </c>
    </row>
    <row r="984" spans="2:16" ht="14.25" x14ac:dyDescent="0.15">
      <c r="B984" s="47">
        <v>103024</v>
      </c>
      <c r="C984" s="6">
        <v>17</v>
      </c>
      <c r="P984" s="6" t="s">
        <v>794</v>
      </c>
    </row>
    <row r="985" spans="2:16" ht="14.25" x14ac:dyDescent="0.15">
      <c r="B985" s="47">
        <v>103025</v>
      </c>
      <c r="C985" s="6">
        <v>17</v>
      </c>
      <c r="P985" s="6" t="s">
        <v>794</v>
      </c>
    </row>
    <row r="986" spans="2:16" ht="14.25" x14ac:dyDescent="0.15">
      <c r="B986" s="47">
        <v>103026</v>
      </c>
      <c r="C986" s="6">
        <v>17</v>
      </c>
      <c r="P986" s="6" t="s">
        <v>794</v>
      </c>
    </row>
    <row r="987" spans="2:16" ht="14.25" x14ac:dyDescent="0.15">
      <c r="B987" s="47">
        <v>103027</v>
      </c>
      <c r="C987" s="6">
        <v>17</v>
      </c>
      <c r="P987" s="6" t="s">
        <v>794</v>
      </c>
    </row>
    <row r="988" spans="2:16" ht="14.25" x14ac:dyDescent="0.15">
      <c r="B988" s="47">
        <v>103028</v>
      </c>
      <c r="C988" s="6">
        <v>17</v>
      </c>
      <c r="P988" s="6" t="s">
        <v>794</v>
      </c>
    </row>
    <row r="989" spans="2:16" ht="14.25" x14ac:dyDescent="0.15">
      <c r="B989" s="47">
        <v>103029</v>
      </c>
      <c r="C989" s="6">
        <v>17</v>
      </c>
      <c r="P989" s="6" t="s">
        <v>794</v>
      </c>
    </row>
    <row r="990" spans="2:16" ht="14.25" x14ac:dyDescent="0.15">
      <c r="B990" s="47">
        <v>103030</v>
      </c>
      <c r="C990" s="6">
        <v>17</v>
      </c>
      <c r="P990" s="6" t="s">
        <v>794</v>
      </c>
    </row>
    <row r="991" spans="2:16" ht="14.25" x14ac:dyDescent="0.15">
      <c r="B991" s="47">
        <v>103031</v>
      </c>
      <c r="C991" s="6">
        <v>17</v>
      </c>
      <c r="P991" s="6" t="s">
        <v>794</v>
      </c>
    </row>
    <row r="992" spans="2:16" ht="14.25" x14ac:dyDescent="0.15">
      <c r="B992" s="47">
        <v>103032</v>
      </c>
      <c r="C992" s="6">
        <v>17</v>
      </c>
      <c r="P992" s="6" t="s">
        <v>794</v>
      </c>
    </row>
    <row r="993" spans="2:16" ht="14.25" x14ac:dyDescent="0.15">
      <c r="B993" s="47">
        <v>103033</v>
      </c>
      <c r="C993" s="6">
        <v>17</v>
      </c>
      <c r="P993" s="6" t="s">
        <v>794</v>
      </c>
    </row>
    <row r="994" spans="2:16" ht="14.25" x14ac:dyDescent="0.15">
      <c r="B994" s="47">
        <v>103034</v>
      </c>
      <c r="C994" s="6">
        <v>17</v>
      </c>
      <c r="P994" s="6" t="s">
        <v>794</v>
      </c>
    </row>
    <row r="995" spans="2:16" ht="14.25" x14ac:dyDescent="0.15">
      <c r="B995" s="47">
        <v>103035</v>
      </c>
      <c r="C995" s="6">
        <v>17</v>
      </c>
      <c r="P995" s="6" t="s">
        <v>794</v>
      </c>
    </row>
    <row r="996" spans="2:16" ht="14.25" x14ac:dyDescent="0.15">
      <c r="B996" s="47">
        <v>103036</v>
      </c>
      <c r="C996" s="6">
        <v>17</v>
      </c>
      <c r="P996" s="6" t="s">
        <v>794</v>
      </c>
    </row>
    <row r="997" spans="2:16" ht="14.25" x14ac:dyDescent="0.15">
      <c r="B997" s="47">
        <v>103037</v>
      </c>
      <c r="C997" s="6">
        <v>17</v>
      </c>
      <c r="P997" s="6" t="s">
        <v>794</v>
      </c>
    </row>
    <row r="998" spans="2:16" ht="14.25" x14ac:dyDescent="0.15">
      <c r="B998" s="47">
        <v>103038</v>
      </c>
      <c r="C998" s="6">
        <v>17</v>
      </c>
      <c r="P998" s="6" t="s">
        <v>794</v>
      </c>
    </row>
    <row r="999" spans="2:16" ht="14.25" x14ac:dyDescent="0.15">
      <c r="B999" s="47">
        <v>103039</v>
      </c>
      <c r="C999" s="6">
        <v>17</v>
      </c>
      <c r="P999" s="6" t="s">
        <v>794</v>
      </c>
    </row>
    <row r="1000" spans="2:16" ht="14.25" x14ac:dyDescent="0.15">
      <c r="B1000" s="47">
        <v>103040</v>
      </c>
      <c r="C1000" s="6">
        <v>17</v>
      </c>
      <c r="P1000" s="6" t="s">
        <v>794</v>
      </c>
    </row>
    <row r="1001" spans="2:16" ht="14.25" x14ac:dyDescent="0.15">
      <c r="B1001" s="47">
        <v>103041</v>
      </c>
      <c r="C1001" s="6">
        <v>17</v>
      </c>
      <c r="P1001" s="6" t="s">
        <v>794</v>
      </c>
    </row>
    <row r="1002" spans="2:16" ht="14.25" x14ac:dyDescent="0.15">
      <c r="B1002" s="47">
        <v>103042</v>
      </c>
      <c r="C1002" s="6">
        <v>17</v>
      </c>
      <c r="P1002" s="6" t="s">
        <v>794</v>
      </c>
    </row>
    <row r="1003" spans="2:16" ht="14.25" x14ac:dyDescent="0.15">
      <c r="B1003" s="47">
        <v>103043</v>
      </c>
      <c r="C1003" s="6">
        <v>17</v>
      </c>
      <c r="P1003" s="6" t="s">
        <v>794</v>
      </c>
    </row>
    <row r="1004" spans="2:16" ht="14.25" x14ac:dyDescent="0.15">
      <c r="B1004" s="47">
        <v>103044</v>
      </c>
      <c r="C1004" s="6">
        <v>17</v>
      </c>
      <c r="P1004" s="6" t="s">
        <v>794</v>
      </c>
    </row>
    <row r="1005" spans="2:16" ht="14.25" x14ac:dyDescent="0.15">
      <c r="B1005" s="47">
        <v>103045</v>
      </c>
      <c r="C1005" s="6">
        <v>17</v>
      </c>
      <c r="P1005" s="6" t="s">
        <v>794</v>
      </c>
    </row>
    <row r="1006" spans="2:16" ht="14.25" x14ac:dyDescent="0.15">
      <c r="B1006" s="47">
        <v>103046</v>
      </c>
      <c r="C1006" s="6">
        <v>17</v>
      </c>
      <c r="P1006" s="6" t="s">
        <v>794</v>
      </c>
    </row>
    <row r="1007" spans="2:16" ht="14.25" x14ac:dyDescent="0.15">
      <c r="B1007" s="47">
        <v>103047</v>
      </c>
      <c r="C1007" s="6">
        <v>17</v>
      </c>
      <c r="P1007" s="6" t="s">
        <v>794</v>
      </c>
    </row>
    <row r="1008" spans="2:16" ht="14.25" x14ac:dyDescent="0.15">
      <c r="B1008" s="47">
        <v>104000</v>
      </c>
      <c r="D1008" s="6" t="s">
        <v>557</v>
      </c>
      <c r="E1008" s="54"/>
      <c r="P1008" s="6" t="s">
        <v>794</v>
      </c>
    </row>
    <row r="1009" spans="2:16" ht="14.25" x14ac:dyDescent="0.15">
      <c r="B1009" s="48">
        <v>104001</v>
      </c>
      <c r="C1009" s="6">
        <v>18</v>
      </c>
      <c r="D1009" s="6" t="s">
        <v>185</v>
      </c>
      <c r="E1009" s="6" t="s">
        <v>1738</v>
      </c>
      <c r="J1009" s="6">
        <v>0</v>
      </c>
      <c r="L1009" s="4">
        <v>1</v>
      </c>
      <c r="O1009" s="53"/>
      <c r="P1009" s="6" t="s">
        <v>792</v>
      </c>
    </row>
    <row r="1010" spans="2:16" ht="14.25" x14ac:dyDescent="0.15">
      <c r="B1010" s="48">
        <v>104002</v>
      </c>
      <c r="C1010" s="6">
        <v>18</v>
      </c>
      <c r="D1010" s="6" t="s">
        <v>186</v>
      </c>
      <c r="E1010" s="6" t="s">
        <v>1737</v>
      </c>
      <c r="J1010" s="6">
        <v>0</v>
      </c>
      <c r="L1010" s="4">
        <v>2</v>
      </c>
      <c r="O1010" s="53"/>
      <c r="P1010" s="6" t="s">
        <v>796</v>
      </c>
    </row>
    <row r="1011" spans="2:16" ht="14.25" x14ac:dyDescent="0.15">
      <c r="B1011" s="48">
        <v>104003</v>
      </c>
      <c r="C1011" s="6">
        <v>18</v>
      </c>
      <c r="D1011" s="6" t="s">
        <v>192</v>
      </c>
      <c r="E1011" s="6" t="s">
        <v>1738</v>
      </c>
      <c r="J1011" s="6">
        <v>0</v>
      </c>
      <c r="L1011" s="4">
        <v>3</v>
      </c>
      <c r="O1011" s="53"/>
      <c r="P1011" s="6" t="s">
        <v>797</v>
      </c>
    </row>
    <row r="1012" spans="2:16" ht="14.25" x14ac:dyDescent="0.15">
      <c r="B1012" s="48">
        <v>104004</v>
      </c>
      <c r="C1012" s="6">
        <v>18</v>
      </c>
      <c r="D1012" s="6" t="s">
        <v>187</v>
      </c>
      <c r="E1012" s="6" t="s">
        <v>1738</v>
      </c>
      <c r="J1012" s="6">
        <v>0</v>
      </c>
      <c r="L1012" s="4">
        <v>4</v>
      </c>
      <c r="O1012" s="53"/>
      <c r="P1012" s="6" t="s">
        <v>795</v>
      </c>
    </row>
    <row r="1013" spans="2:16" ht="14.25" x14ac:dyDescent="0.15">
      <c r="B1013" s="48">
        <v>104005</v>
      </c>
      <c r="C1013" s="6">
        <v>18</v>
      </c>
      <c r="D1013" s="6" t="s">
        <v>188</v>
      </c>
      <c r="E1013" s="6" t="s">
        <v>1738</v>
      </c>
      <c r="J1013" s="6">
        <v>0</v>
      </c>
      <c r="L1013" s="4">
        <v>5</v>
      </c>
      <c r="P1013" s="6" t="s">
        <v>793</v>
      </c>
    </row>
    <row r="1014" spans="2:16" ht="14.25" x14ac:dyDescent="0.15">
      <c r="B1014" s="48">
        <v>104006</v>
      </c>
      <c r="C1014" s="6">
        <v>18</v>
      </c>
      <c r="D1014" s="6" t="s">
        <v>193</v>
      </c>
      <c r="E1014" s="6" t="s">
        <v>1738</v>
      </c>
      <c r="J1014" s="6">
        <v>0</v>
      </c>
      <c r="L1014" s="4">
        <v>5</v>
      </c>
      <c r="P1014" s="6" t="s">
        <v>793</v>
      </c>
    </row>
    <row r="1015" spans="2:16" ht="14.25" x14ac:dyDescent="0.15">
      <c r="B1015" s="48">
        <v>104007</v>
      </c>
      <c r="C1015" s="6">
        <v>18</v>
      </c>
      <c r="D1015" s="6" t="s">
        <v>189</v>
      </c>
      <c r="E1015" s="6" t="s">
        <v>1787</v>
      </c>
      <c r="J1015" s="6">
        <v>0</v>
      </c>
      <c r="L1015" s="4">
        <v>5</v>
      </c>
      <c r="P1015" s="6" t="s">
        <v>793</v>
      </c>
    </row>
    <row r="1016" spans="2:16" ht="14.25" x14ac:dyDescent="0.15">
      <c r="B1016" s="48">
        <v>104008</v>
      </c>
      <c r="C1016" s="6">
        <v>18</v>
      </c>
      <c r="D1016" s="6" t="s">
        <v>190</v>
      </c>
      <c r="E1016" s="6" t="s">
        <v>1738</v>
      </c>
      <c r="J1016" s="6">
        <v>0</v>
      </c>
      <c r="L1016" s="4">
        <v>5</v>
      </c>
      <c r="P1016" s="6" t="s">
        <v>793</v>
      </c>
    </row>
    <row r="1017" spans="2:16" ht="14.25" x14ac:dyDescent="0.15">
      <c r="B1017" s="48">
        <v>104009</v>
      </c>
      <c r="C1017" s="6">
        <v>18</v>
      </c>
      <c r="D1017" s="6" t="s">
        <v>194</v>
      </c>
      <c r="E1017" s="6" t="s">
        <v>1738</v>
      </c>
      <c r="J1017" s="6">
        <v>0</v>
      </c>
      <c r="L1017" s="4">
        <v>5</v>
      </c>
      <c r="P1017" s="6" t="s">
        <v>793</v>
      </c>
    </row>
    <row r="1018" spans="2:16" ht="14.25" x14ac:dyDescent="0.15">
      <c r="B1018" s="48">
        <v>104010</v>
      </c>
      <c r="C1018" s="6">
        <v>18</v>
      </c>
      <c r="D1018" s="6" t="s">
        <v>191</v>
      </c>
      <c r="E1018" s="6" t="s">
        <v>1738</v>
      </c>
      <c r="J1018" s="6">
        <v>0</v>
      </c>
      <c r="L1018" s="4">
        <v>5</v>
      </c>
      <c r="P1018" s="6" t="s">
        <v>793</v>
      </c>
    </row>
    <row r="1019" spans="2:16" ht="14.25" x14ac:dyDescent="0.15">
      <c r="B1019" s="48">
        <v>105000</v>
      </c>
      <c r="D1019" s="6" t="s">
        <v>558</v>
      </c>
    </row>
    <row r="1020" spans="2:16" ht="14.25" x14ac:dyDescent="0.15">
      <c r="B1020" s="59">
        <v>201001</v>
      </c>
      <c r="C1020" s="6">
        <v>23</v>
      </c>
      <c r="D1020" s="6" t="s">
        <v>569</v>
      </c>
      <c r="E1020" s="6" t="s">
        <v>1738</v>
      </c>
      <c r="F1020" s="109" t="s">
        <v>573</v>
      </c>
    </row>
    <row r="1021" spans="2:16" ht="14.25" x14ac:dyDescent="0.15">
      <c r="B1021" s="59">
        <v>201002</v>
      </c>
      <c r="C1021" s="6">
        <v>23</v>
      </c>
      <c r="D1021" s="6" t="s">
        <v>569</v>
      </c>
      <c r="E1021" s="6" t="s">
        <v>1738</v>
      </c>
      <c r="F1021" s="109" t="s">
        <v>574</v>
      </c>
    </row>
    <row r="1022" spans="2:16" ht="14.25" x14ac:dyDescent="0.15">
      <c r="B1022" s="59">
        <v>201003</v>
      </c>
      <c r="C1022" s="6">
        <v>23</v>
      </c>
      <c r="D1022" s="6" t="s">
        <v>569</v>
      </c>
      <c r="E1022" s="6" t="s">
        <v>1738</v>
      </c>
      <c r="F1022" s="109" t="s">
        <v>575</v>
      </c>
    </row>
    <row r="1023" spans="2:16" ht="14.25" x14ac:dyDescent="0.15">
      <c r="B1023" s="48"/>
    </row>
    <row r="1024" spans="2:16" ht="14.25" x14ac:dyDescent="0.15">
      <c r="B1024" s="48"/>
    </row>
    <row r="1025" spans="2:2" ht="14.25" x14ac:dyDescent="0.15">
      <c r="B1025" s="48"/>
    </row>
    <row r="1026" spans="2:2" ht="14.25" x14ac:dyDescent="0.15">
      <c r="B1026" s="48"/>
    </row>
    <row r="1027" spans="2:2" ht="14.25" x14ac:dyDescent="0.15">
      <c r="B1027" s="48"/>
    </row>
    <row r="1028" spans="2:2" ht="14.25" x14ac:dyDescent="0.15">
      <c r="B1028" s="48"/>
    </row>
    <row r="1029" spans="2:2" ht="14.25" x14ac:dyDescent="0.15">
      <c r="B1029" s="48"/>
    </row>
    <row r="1030" spans="2:2" ht="14.25" x14ac:dyDescent="0.15">
      <c r="B1030" s="48"/>
    </row>
    <row r="1031" spans="2:2" ht="14.25" x14ac:dyDescent="0.15">
      <c r="B1031" s="48"/>
    </row>
    <row r="1032" spans="2:2" ht="14.25" x14ac:dyDescent="0.15">
      <c r="B1032" s="48"/>
    </row>
    <row r="1033" spans="2:2" ht="14.25" x14ac:dyDescent="0.15">
      <c r="B1033" s="48"/>
    </row>
    <row r="1034" spans="2:2" ht="14.25" x14ac:dyDescent="0.15">
      <c r="B1034" s="48"/>
    </row>
    <row r="1035" spans="2:2" ht="14.25" x14ac:dyDescent="0.15">
      <c r="B1035" s="48"/>
    </row>
    <row r="1036" spans="2:2" ht="14.25" x14ac:dyDescent="0.15">
      <c r="B1036" s="48"/>
    </row>
    <row r="1037" spans="2:2" ht="14.25" x14ac:dyDescent="0.15">
      <c r="B1037" s="48"/>
    </row>
    <row r="1038" spans="2:2" ht="14.25" x14ac:dyDescent="0.15">
      <c r="B1038" s="48"/>
    </row>
    <row r="1039" spans="2:2" ht="14.25" x14ac:dyDescent="0.15">
      <c r="B1039" s="48"/>
    </row>
    <row r="1040" spans="2:2" ht="14.25" x14ac:dyDescent="0.15">
      <c r="B1040" s="48"/>
    </row>
    <row r="1041" spans="2:2" ht="14.25" x14ac:dyDescent="0.15">
      <c r="B1041" s="48"/>
    </row>
    <row r="1042" spans="2:2" ht="14.25" x14ac:dyDescent="0.15">
      <c r="B1042" s="48"/>
    </row>
    <row r="1043" spans="2:2" ht="14.25" x14ac:dyDescent="0.15">
      <c r="B1043" s="48"/>
    </row>
    <row r="1044" spans="2:2" ht="14.25" x14ac:dyDescent="0.15">
      <c r="B1044" s="48"/>
    </row>
    <row r="1045" spans="2:2" ht="14.25" x14ac:dyDescent="0.15">
      <c r="B1045" s="48"/>
    </row>
    <row r="1046" spans="2:2" ht="14.25" x14ac:dyDescent="0.15">
      <c r="B1046" s="48"/>
    </row>
    <row r="1047" spans="2:2" ht="14.25" x14ac:dyDescent="0.15">
      <c r="B1047" s="48"/>
    </row>
    <row r="1048" spans="2:2" ht="14.25" x14ac:dyDescent="0.15">
      <c r="B1048" s="48"/>
    </row>
    <row r="1049" spans="2:2" ht="14.25" x14ac:dyDescent="0.15">
      <c r="B1049" s="48"/>
    </row>
    <row r="1050" spans="2:2" ht="14.25" x14ac:dyDescent="0.15">
      <c r="B1050" s="48"/>
    </row>
    <row r="1051" spans="2:2" ht="14.25" x14ac:dyDescent="0.15">
      <c r="B1051" s="48"/>
    </row>
    <row r="1052" spans="2:2" ht="14.25" x14ac:dyDescent="0.15">
      <c r="B1052" s="48"/>
    </row>
    <row r="1053" spans="2:2" ht="14.25" x14ac:dyDescent="0.15">
      <c r="B1053" s="48"/>
    </row>
    <row r="1054" spans="2:2" ht="14.25" x14ac:dyDescent="0.15">
      <c r="B1054" s="48"/>
    </row>
    <row r="1055" spans="2:2" ht="14.25" x14ac:dyDescent="0.15">
      <c r="B1055" s="48"/>
    </row>
    <row r="1056" spans="2:2" ht="14.25" x14ac:dyDescent="0.15">
      <c r="B1056" s="48"/>
    </row>
    <row r="1057" spans="2:2" ht="14.25" x14ac:dyDescent="0.15">
      <c r="B1057" s="48"/>
    </row>
    <row r="1058" spans="2:2" ht="14.25" x14ac:dyDescent="0.15">
      <c r="B1058" s="48"/>
    </row>
    <row r="1059" spans="2:2" ht="14.25" x14ac:dyDescent="0.15">
      <c r="B1059" s="48"/>
    </row>
    <row r="1060" spans="2:2" ht="14.25" x14ac:dyDescent="0.15">
      <c r="B1060" s="48"/>
    </row>
    <row r="1061" spans="2:2" ht="14.25" x14ac:dyDescent="0.15">
      <c r="B1061" s="48"/>
    </row>
    <row r="1062" spans="2:2" ht="14.25" x14ac:dyDescent="0.15">
      <c r="B1062" s="48"/>
    </row>
    <row r="1063" spans="2:2" ht="14.25" x14ac:dyDescent="0.15">
      <c r="B1063" s="48"/>
    </row>
    <row r="1064" spans="2:2" ht="14.25" x14ac:dyDescent="0.15">
      <c r="B1064" s="48"/>
    </row>
    <row r="1065" spans="2:2" ht="14.25" x14ac:dyDescent="0.15">
      <c r="B1065" s="48"/>
    </row>
    <row r="1066" spans="2:2" ht="14.25" x14ac:dyDescent="0.15">
      <c r="B1066" s="48"/>
    </row>
    <row r="1067" spans="2:2" ht="14.25" x14ac:dyDescent="0.15">
      <c r="B1067" s="48"/>
    </row>
    <row r="1068" spans="2:2" ht="14.25" x14ac:dyDescent="0.15">
      <c r="B1068" s="48"/>
    </row>
    <row r="1069" spans="2:2" ht="14.25" x14ac:dyDescent="0.15">
      <c r="B1069" s="48"/>
    </row>
    <row r="1070" spans="2:2" ht="14.25" x14ac:dyDescent="0.15">
      <c r="B1070" s="48"/>
    </row>
    <row r="1071" spans="2:2" ht="14.25" x14ac:dyDescent="0.15">
      <c r="B1071" s="48"/>
    </row>
    <row r="1072" spans="2:2" ht="14.25" x14ac:dyDescent="0.15">
      <c r="B1072" s="48"/>
    </row>
    <row r="1073" spans="2:2" ht="14.25" x14ac:dyDescent="0.15">
      <c r="B1073" s="48"/>
    </row>
    <row r="1074" spans="2:2" ht="14.25" x14ac:dyDescent="0.15">
      <c r="B1074" s="48"/>
    </row>
    <row r="1075" spans="2:2" ht="14.25" x14ac:dyDescent="0.15">
      <c r="B1075" s="48"/>
    </row>
    <row r="1076" spans="2:2" ht="14.25" x14ac:dyDescent="0.15">
      <c r="B1076" s="48"/>
    </row>
    <row r="1077" spans="2:2" ht="14.25" x14ac:dyDescent="0.15">
      <c r="B1077" s="48"/>
    </row>
    <row r="1078" spans="2:2" ht="14.25" x14ac:dyDescent="0.15">
      <c r="B1078" s="48"/>
    </row>
    <row r="1079" spans="2:2" ht="14.25" x14ac:dyDescent="0.15">
      <c r="B1079" s="48"/>
    </row>
    <row r="1080" spans="2:2" ht="14.25" x14ac:dyDescent="0.15">
      <c r="B1080" s="48"/>
    </row>
    <row r="1081" spans="2:2" ht="14.25" x14ac:dyDescent="0.15">
      <c r="B1081" s="48"/>
    </row>
    <row r="1082" spans="2:2" ht="14.25" x14ac:dyDescent="0.15">
      <c r="B1082" s="48"/>
    </row>
    <row r="1083" spans="2:2" ht="14.25" x14ac:dyDescent="0.15">
      <c r="B1083" s="48"/>
    </row>
    <row r="1084" spans="2:2" ht="14.25" x14ac:dyDescent="0.15">
      <c r="B1084" s="48"/>
    </row>
    <row r="1085" spans="2:2" ht="14.25" x14ac:dyDescent="0.15">
      <c r="B1085" s="48"/>
    </row>
    <row r="1086" spans="2:2" ht="14.25" x14ac:dyDescent="0.15">
      <c r="B1086" s="48"/>
    </row>
    <row r="1087" spans="2:2" ht="14.25" x14ac:dyDescent="0.15">
      <c r="B1087" s="48"/>
    </row>
    <row r="1088" spans="2:2" ht="14.25" x14ac:dyDescent="0.15">
      <c r="B1088" s="48"/>
    </row>
    <row r="1089" spans="2:2" ht="14.25" x14ac:dyDescent="0.15">
      <c r="B1089" s="48"/>
    </row>
    <row r="1090" spans="2:2" ht="14.25" x14ac:dyDescent="0.15">
      <c r="B1090" s="48"/>
    </row>
    <row r="1091" spans="2:2" ht="14.25" x14ac:dyDescent="0.15">
      <c r="B1091" s="48"/>
    </row>
    <row r="1092" spans="2:2" ht="14.25" x14ac:dyDescent="0.15">
      <c r="B1092" s="48"/>
    </row>
    <row r="1093" spans="2:2" ht="14.25" x14ac:dyDescent="0.15">
      <c r="B1093" s="48"/>
    </row>
    <row r="1094" spans="2:2" ht="14.25" x14ac:dyDescent="0.15">
      <c r="B1094" s="48"/>
    </row>
    <row r="1095" spans="2:2" ht="14.25" x14ac:dyDescent="0.15">
      <c r="B1095" s="48"/>
    </row>
    <row r="1096" spans="2:2" ht="14.25" x14ac:dyDescent="0.15">
      <c r="B1096" s="48"/>
    </row>
    <row r="1097" spans="2:2" ht="14.25" x14ac:dyDescent="0.15">
      <c r="B1097" s="48"/>
    </row>
    <row r="1098" spans="2:2" ht="14.25" x14ac:dyDescent="0.15">
      <c r="B1098" s="48"/>
    </row>
    <row r="1099" spans="2:2" ht="14.25" x14ac:dyDescent="0.15">
      <c r="B1099" s="48"/>
    </row>
    <row r="1100" spans="2:2" ht="14.25" x14ac:dyDescent="0.15">
      <c r="B1100" s="48"/>
    </row>
    <row r="1101" spans="2:2" ht="14.25" x14ac:dyDescent="0.15">
      <c r="B1101" s="48"/>
    </row>
    <row r="1102" spans="2:2" ht="14.25" x14ac:dyDescent="0.15">
      <c r="B1102" s="48"/>
    </row>
    <row r="1103" spans="2:2" ht="14.25" x14ac:dyDescent="0.15">
      <c r="B1103" s="48"/>
    </row>
    <row r="1104" spans="2:2" ht="14.25" x14ac:dyDescent="0.15">
      <c r="B1104" s="48"/>
    </row>
    <row r="1105" spans="2:2" ht="14.25" x14ac:dyDescent="0.15">
      <c r="B1105" s="48"/>
    </row>
    <row r="1106" spans="2:2" ht="14.25" x14ac:dyDescent="0.15">
      <c r="B1106" s="48"/>
    </row>
    <row r="1107" spans="2:2" ht="14.25" x14ac:dyDescent="0.15">
      <c r="B1107" s="48"/>
    </row>
    <row r="1108" spans="2:2" ht="14.25" x14ac:dyDescent="0.15">
      <c r="B1108" s="48"/>
    </row>
  </sheetData>
  <autoFilter ref="D1:D1108"/>
  <phoneticPr fontId="26" type="noConversion"/>
  <conditionalFormatting sqref="B1109:B1048576 B1009:B1019 B26:B33 B1:B18 B701:B707 B281:B299 B569:B699 B312:B331 B550:B567">
    <cfRule type="duplicateValues" dxfId="48" priority="96"/>
  </conditionalFormatting>
  <conditionalFormatting sqref="A715">
    <cfRule type="duplicateValues" dxfId="47" priority="92"/>
  </conditionalFormatting>
  <conditionalFormatting sqref="B961:B1008">
    <cfRule type="duplicateValues" dxfId="46" priority="103"/>
  </conditionalFormatting>
  <conditionalFormatting sqref="B715:B826">
    <cfRule type="duplicateValues" dxfId="45" priority="90"/>
  </conditionalFormatting>
  <conditionalFormatting sqref="B826:B929">
    <cfRule type="duplicateValues" dxfId="44" priority="113"/>
  </conditionalFormatting>
  <conditionalFormatting sqref="B930:B960">
    <cfRule type="duplicateValues" dxfId="43" priority="79"/>
  </conditionalFormatting>
  <conditionalFormatting sqref="B776:B825">
    <cfRule type="duplicateValues" dxfId="42" priority="78"/>
  </conditionalFormatting>
  <conditionalFormatting sqref="B775">
    <cfRule type="duplicateValues" dxfId="41" priority="77"/>
  </conditionalFormatting>
  <conditionalFormatting sqref="B509:B537">
    <cfRule type="duplicateValues" dxfId="40" priority="132"/>
  </conditionalFormatting>
  <conditionalFormatting sqref="B19:B25">
    <cfRule type="duplicateValues" dxfId="39" priority="139"/>
  </conditionalFormatting>
  <conditionalFormatting sqref="B1020:B1108">
    <cfRule type="duplicateValues" dxfId="38" priority="146"/>
  </conditionalFormatting>
  <conditionalFormatting sqref="B56 B58">
    <cfRule type="duplicateValues" dxfId="37" priority="57"/>
  </conditionalFormatting>
  <conditionalFormatting sqref="B425:B427">
    <cfRule type="duplicateValues" dxfId="36" priority="53"/>
  </conditionalFormatting>
  <conditionalFormatting sqref="B470:B472 B476:B478 B482:B484">
    <cfRule type="duplicateValues" dxfId="35" priority="52"/>
  </conditionalFormatting>
  <conditionalFormatting sqref="B398:B406">
    <cfRule type="duplicateValues" dxfId="34" priority="54"/>
  </conditionalFormatting>
  <conditionalFormatting sqref="B407:B409 B413:B415 B419:B421">
    <cfRule type="duplicateValues" dxfId="33" priority="51"/>
  </conditionalFormatting>
  <conditionalFormatting sqref="B410:B412 B416:B418 B422:B424 B332:B397 B428:B508">
    <cfRule type="duplicateValues" dxfId="32" priority="55"/>
  </conditionalFormatting>
  <conditionalFormatting sqref="B38">
    <cfRule type="duplicateValues" dxfId="31" priority="49"/>
  </conditionalFormatting>
  <conditionalFormatting sqref="B538:B549">
    <cfRule type="duplicateValues" dxfId="30" priority="40"/>
  </conditionalFormatting>
  <conditionalFormatting sqref="B164:B223">
    <cfRule type="duplicateValues" dxfId="29" priority="35"/>
  </conditionalFormatting>
  <conditionalFormatting sqref="B248:B259 B266:B271">
    <cfRule type="duplicateValues" dxfId="28" priority="34"/>
  </conditionalFormatting>
  <conditionalFormatting sqref="B68:B103">
    <cfRule type="duplicateValues" dxfId="27" priority="30"/>
  </conditionalFormatting>
  <conditionalFormatting sqref="B278:B280">
    <cfRule type="duplicateValues" dxfId="26" priority="215"/>
  </conditionalFormatting>
  <conditionalFormatting sqref="B62:B67">
    <cfRule type="duplicateValues" dxfId="25" priority="230"/>
  </conditionalFormatting>
  <conditionalFormatting sqref="B568">
    <cfRule type="duplicateValues" dxfId="24" priority="246"/>
  </conditionalFormatting>
  <conditionalFormatting sqref="B34:B37 B39:B55 B57 B59:B61">
    <cfRule type="duplicateValues" dxfId="23" priority="254"/>
  </conditionalFormatting>
  <conditionalFormatting sqref="B700">
    <cfRule type="duplicateValues" dxfId="22" priority="262"/>
  </conditionalFormatting>
  <conditionalFormatting sqref="B104:B127">
    <cfRule type="duplicateValues" dxfId="21" priority="25"/>
  </conditionalFormatting>
  <conditionalFormatting sqref="B128:B151">
    <cfRule type="duplicateValues" dxfId="20" priority="24"/>
  </conditionalFormatting>
  <conditionalFormatting sqref="B152:B163">
    <cfRule type="duplicateValues" dxfId="19" priority="23"/>
  </conditionalFormatting>
  <conditionalFormatting sqref="B224:B247">
    <cfRule type="duplicateValues" dxfId="18" priority="22"/>
  </conditionalFormatting>
  <conditionalFormatting sqref="B300:B311">
    <cfRule type="duplicateValues" dxfId="17" priority="21"/>
  </conditionalFormatting>
  <conditionalFormatting sqref="D248:D253">
    <cfRule type="duplicateValues" dxfId="16" priority="20"/>
  </conditionalFormatting>
  <conditionalFormatting sqref="E248:E253">
    <cfRule type="duplicateValues" dxfId="15" priority="14"/>
  </conditionalFormatting>
  <conditionalFormatting sqref="F248:F253">
    <cfRule type="duplicateValues" dxfId="14" priority="13"/>
  </conditionalFormatting>
  <conditionalFormatting sqref="B260:B265">
    <cfRule type="duplicateValues" dxfId="13" priority="8"/>
  </conditionalFormatting>
  <conditionalFormatting sqref="D260:D265">
    <cfRule type="duplicateValues" dxfId="12" priority="7"/>
  </conditionalFormatting>
  <conditionalFormatting sqref="E260:E265">
    <cfRule type="duplicateValues" dxfId="11" priority="6"/>
  </conditionalFormatting>
  <conditionalFormatting sqref="F260:F265">
    <cfRule type="duplicateValues" dxfId="10" priority="5"/>
  </conditionalFormatting>
  <conditionalFormatting sqref="B272:B277">
    <cfRule type="duplicateValues" dxfId="9" priority="4"/>
  </conditionalFormatting>
  <conditionalFormatting sqref="D272:D277">
    <cfRule type="duplicateValues" dxfId="8" priority="3"/>
  </conditionalFormatting>
  <conditionalFormatting sqref="E272:E277">
    <cfRule type="duplicateValues" dxfId="7" priority="2"/>
  </conditionalFormatting>
  <conditionalFormatting sqref="F272:F277">
    <cfRule type="duplicateValues" dxfId="6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15"/>
  <sheetViews>
    <sheetView workbookViewId="0">
      <pane ySplit="8" topLeftCell="A44" activePane="bottomLeft" state="frozen"/>
      <selection pane="bottomLeft" activeCell="K52" sqref="K52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4.375" style="6" customWidth="1"/>
    <col min="4" max="4" width="12.75" style="6" customWidth="1"/>
    <col min="5" max="6" width="10.625" style="6" customWidth="1"/>
    <col min="7" max="7" width="14.75" style="6" customWidth="1"/>
    <col min="8" max="8" width="14.5" style="6" customWidth="1"/>
    <col min="9" max="11" width="12.25" style="6" customWidth="1"/>
    <col min="12" max="14" width="9" style="4"/>
    <col min="15" max="15" width="13.125" style="6" bestFit="1" customWidth="1"/>
    <col min="16" max="16384" width="9" style="4"/>
  </cols>
  <sheetData>
    <row r="1" spans="1:15" s="1" customFormat="1" x14ac:dyDescent="0.15">
      <c r="A1" s="5" t="s">
        <v>66</v>
      </c>
      <c r="B1" s="1" t="s">
        <v>13</v>
      </c>
      <c r="E1" s="1" t="s">
        <v>8</v>
      </c>
      <c r="F1" s="1" t="s">
        <v>8</v>
      </c>
      <c r="H1" s="1" t="s">
        <v>8</v>
      </c>
      <c r="I1" s="1" t="s">
        <v>8</v>
      </c>
      <c r="J1" s="1" t="s">
        <v>8</v>
      </c>
      <c r="K1" s="1" t="s">
        <v>13</v>
      </c>
    </row>
    <row r="2" spans="1:15" s="1" customFormat="1" x14ac:dyDescent="0.15">
      <c r="A2" s="5" t="s">
        <v>15</v>
      </c>
      <c r="B2" s="1" t="s">
        <v>8</v>
      </c>
      <c r="E2" s="1" t="s">
        <v>8</v>
      </c>
      <c r="F2" s="1" t="s">
        <v>8</v>
      </c>
      <c r="H2" s="1" t="s">
        <v>8</v>
      </c>
      <c r="I2" s="1" t="s">
        <v>8</v>
      </c>
      <c r="J2" s="1" t="s">
        <v>8</v>
      </c>
      <c r="K2" s="1" t="s">
        <v>13</v>
      </c>
    </row>
    <row r="3" spans="1:15" s="2" customFormat="1" ht="14.25" x14ac:dyDescent="0.15">
      <c r="A3" s="16" t="s">
        <v>8</v>
      </c>
      <c r="B3" s="16" t="s">
        <v>9</v>
      </c>
      <c r="C3" s="16"/>
      <c r="D3" s="16"/>
      <c r="E3" s="16" t="s">
        <v>18</v>
      </c>
      <c r="F3" s="16" t="s">
        <v>71</v>
      </c>
      <c r="G3" s="16"/>
      <c r="H3" s="16" t="s">
        <v>18</v>
      </c>
      <c r="I3" s="16" t="s">
        <v>18</v>
      </c>
      <c r="J3" s="52" t="s">
        <v>18</v>
      </c>
      <c r="K3" s="16" t="s">
        <v>71</v>
      </c>
    </row>
    <row r="4" spans="1:15" s="2" customFormat="1" ht="14.25" x14ac:dyDescent="0.15">
      <c r="A4" s="16"/>
      <c r="B4" s="16" t="s">
        <v>12</v>
      </c>
      <c r="C4" s="16"/>
      <c r="D4" s="16"/>
      <c r="E4" s="16" t="s">
        <v>69</v>
      </c>
      <c r="F4" s="16" t="s">
        <v>75</v>
      </c>
      <c r="G4" s="16"/>
      <c r="H4" s="16" t="s">
        <v>74</v>
      </c>
      <c r="I4" s="16" t="s">
        <v>77</v>
      </c>
      <c r="J4" s="52" t="s">
        <v>21</v>
      </c>
      <c r="K4" s="16" t="s">
        <v>89</v>
      </c>
    </row>
    <row r="5" spans="1:15" s="2" customFormat="1" ht="14.25" x14ac:dyDescent="0.15">
      <c r="A5" s="16"/>
      <c r="B5" s="16" t="str">
        <f>IF(B3="","",IF(B3="INT","i",IF(B3="FLOAT","f",IF(B3="STRING","s"))))</f>
        <v>i</v>
      </c>
      <c r="C5" s="16"/>
      <c r="D5" s="16"/>
      <c r="E5" s="16" t="s">
        <v>25</v>
      </c>
      <c r="F5" s="16" t="str">
        <f>IF(F3="","",IF(F3="INT","i",IF(F3="FLOAT","f",IF(F3="STRING","s"))))</f>
        <v>i</v>
      </c>
      <c r="G5" s="16"/>
      <c r="H5" s="16" t="s">
        <v>25</v>
      </c>
      <c r="I5" s="16" t="s">
        <v>25</v>
      </c>
      <c r="J5" s="52" t="s">
        <v>25</v>
      </c>
      <c r="K5" s="16" t="s">
        <v>90</v>
      </c>
    </row>
    <row r="6" spans="1:15" s="2" customFormat="1" ht="14.25" x14ac:dyDescent="0.15">
      <c r="A6" s="16" t="s">
        <v>8</v>
      </c>
      <c r="B6" s="16" t="str">
        <f>B5&amp;B4</f>
        <v>iID</v>
      </c>
      <c r="C6" s="16"/>
      <c r="D6" s="16"/>
      <c r="E6" s="16" t="str">
        <f>E5&amp;E4</f>
        <v>iItemNum</v>
      </c>
      <c r="F6" s="16" t="str">
        <f>F5&amp;F4</f>
        <v>iCalcRate</v>
      </c>
      <c r="G6" s="16"/>
      <c r="H6" s="16" t="str">
        <f>H5&amp;H4</f>
        <v>iPktId</v>
      </c>
      <c r="I6" s="16" t="str">
        <f>I5&amp;I4</f>
        <v>iItemId</v>
      </c>
      <c r="J6" s="52" t="str">
        <f>J5&amp;J4</f>
        <v>iItemType</v>
      </c>
      <c r="K6" s="16" t="str">
        <f>K5&amp;K4</f>
        <v>iSortLvl</v>
      </c>
    </row>
    <row r="7" spans="1:15" s="3" customFormat="1" ht="28.5" x14ac:dyDescent="0.15">
      <c r="A7" s="16"/>
      <c r="B7" s="16" t="s">
        <v>28</v>
      </c>
      <c r="C7" s="16" t="s">
        <v>67</v>
      </c>
      <c r="D7" s="16" t="s">
        <v>68</v>
      </c>
      <c r="E7" s="16" t="s">
        <v>70</v>
      </c>
      <c r="F7" s="16" t="s">
        <v>72</v>
      </c>
      <c r="G7" s="25" t="s">
        <v>88</v>
      </c>
      <c r="H7" s="16" t="s">
        <v>76</v>
      </c>
      <c r="I7" s="16" t="s">
        <v>78</v>
      </c>
      <c r="J7" s="52" t="s">
        <v>2017</v>
      </c>
      <c r="K7" s="16" t="s">
        <v>91</v>
      </c>
      <c r="L7" s="3" t="s">
        <v>79</v>
      </c>
      <c r="M7" s="3" t="s">
        <v>80</v>
      </c>
      <c r="O7" s="2"/>
    </row>
    <row r="8" spans="1:15" s="3" customFormat="1" ht="27.6" customHeight="1" x14ac:dyDescent="0.15">
      <c r="A8" s="16" t="s">
        <v>11</v>
      </c>
      <c r="B8" s="16" t="e">
        <f>MODE(B9:B790)</f>
        <v>#N/A</v>
      </c>
      <c r="C8" s="16"/>
      <c r="D8" s="16"/>
      <c r="E8" s="16">
        <v>0</v>
      </c>
      <c r="F8" s="16"/>
      <c r="G8" s="25"/>
      <c r="H8" s="16">
        <v>0</v>
      </c>
      <c r="I8" s="16">
        <v>0</v>
      </c>
      <c r="J8" s="52">
        <v>0</v>
      </c>
      <c r="K8" s="16">
        <v>0</v>
      </c>
      <c r="O8" s="2"/>
    </row>
    <row r="9" spans="1:15" ht="14.25" x14ac:dyDescent="0.15">
      <c r="A9" s="17" t="s">
        <v>8</v>
      </c>
      <c r="B9" s="18">
        <v>1</v>
      </c>
      <c r="C9" s="18" t="s">
        <v>1097</v>
      </c>
      <c r="D9" s="18" t="s">
        <v>73</v>
      </c>
      <c r="E9" s="18">
        <v>1000</v>
      </c>
      <c r="F9" s="20">
        <v>10000</v>
      </c>
      <c r="G9" s="19" t="s">
        <v>1098</v>
      </c>
      <c r="H9" s="20">
        <v>50001</v>
      </c>
      <c r="I9" s="20">
        <v>1</v>
      </c>
      <c r="J9" s="20">
        <f>VLOOKUP(I9,Item!B:C,2,0)</f>
        <v>1</v>
      </c>
      <c r="K9" s="20"/>
      <c r="L9" s="7"/>
      <c r="M9" s="8"/>
    </row>
    <row r="10" spans="1:15" ht="14.25" x14ac:dyDescent="0.15">
      <c r="A10" s="17" t="s">
        <v>8</v>
      </c>
      <c r="B10" s="18">
        <v>2</v>
      </c>
      <c r="C10" s="18" t="s">
        <v>1664</v>
      </c>
      <c r="D10" s="18" t="s">
        <v>1665</v>
      </c>
      <c r="E10" s="18">
        <v>60</v>
      </c>
      <c r="F10" s="20">
        <v>10000</v>
      </c>
      <c r="G10" s="19" t="s">
        <v>1099</v>
      </c>
      <c r="H10" s="20">
        <v>50002</v>
      </c>
      <c r="I10" s="20">
        <v>14</v>
      </c>
      <c r="J10" s="20">
        <f>VLOOKUP(I10,Item!B:C,2,0)</f>
        <v>1</v>
      </c>
      <c r="K10" s="20"/>
      <c r="L10" s="7"/>
      <c r="M10" s="8"/>
    </row>
    <row r="11" spans="1:15" ht="14.25" x14ac:dyDescent="0.15">
      <c r="A11" s="4" t="s">
        <v>81</v>
      </c>
      <c r="B11" s="18">
        <v>3</v>
      </c>
      <c r="C11" s="18" t="s">
        <v>1100</v>
      </c>
      <c r="D11" s="18" t="s">
        <v>1101</v>
      </c>
      <c r="E11" s="18">
        <v>1</v>
      </c>
      <c r="F11" s="20">
        <v>10000</v>
      </c>
      <c r="G11" s="19" t="s">
        <v>1099</v>
      </c>
      <c r="H11" s="20">
        <v>50003</v>
      </c>
      <c r="I11" s="20">
        <v>316</v>
      </c>
      <c r="J11" s="20">
        <f>VLOOKUP(I11,Item!B:C,2,0)</f>
        <v>2</v>
      </c>
      <c r="K11" s="20"/>
    </row>
    <row r="12" spans="1:15" ht="14.25" x14ac:dyDescent="0.15">
      <c r="A12" s="4" t="s">
        <v>81</v>
      </c>
      <c r="B12" s="18">
        <v>4</v>
      </c>
      <c r="C12" s="18" t="s">
        <v>1100</v>
      </c>
      <c r="D12" s="18" t="s">
        <v>1102</v>
      </c>
      <c r="E12" s="18">
        <v>1</v>
      </c>
      <c r="F12" s="20">
        <v>10000</v>
      </c>
      <c r="G12" s="19" t="s">
        <v>1099</v>
      </c>
      <c r="H12" s="20">
        <v>50003</v>
      </c>
      <c r="I12" s="20">
        <v>207</v>
      </c>
      <c r="J12" s="20">
        <f>VLOOKUP(I12,Item!B:C,2,0)</f>
        <v>2</v>
      </c>
      <c r="K12" s="20"/>
    </row>
    <row r="13" spans="1:15" ht="14.25" x14ac:dyDescent="0.15">
      <c r="A13" s="4" t="s">
        <v>81</v>
      </c>
      <c r="B13" s="18">
        <v>5</v>
      </c>
      <c r="C13" s="18" t="s">
        <v>1100</v>
      </c>
      <c r="D13" s="18" t="s">
        <v>1103</v>
      </c>
      <c r="E13" s="18">
        <v>1</v>
      </c>
      <c r="F13" s="20">
        <v>10000</v>
      </c>
      <c r="G13" s="19" t="s">
        <v>1099</v>
      </c>
      <c r="H13" s="20">
        <v>50003</v>
      </c>
      <c r="I13" s="20">
        <v>208</v>
      </c>
      <c r="J13" s="20">
        <f>VLOOKUP(I13,Item!B:C,2,0)</f>
        <v>2</v>
      </c>
      <c r="K13" s="20"/>
    </row>
    <row r="14" spans="1:15" ht="14.25" x14ac:dyDescent="0.15">
      <c r="A14" s="4" t="s">
        <v>1104</v>
      </c>
      <c r="B14" s="18">
        <v>6</v>
      </c>
      <c r="C14" s="18" t="s">
        <v>1105</v>
      </c>
      <c r="D14" s="18" t="s">
        <v>1106</v>
      </c>
      <c r="E14" s="18">
        <v>1</v>
      </c>
      <c r="F14" s="20">
        <v>3300</v>
      </c>
      <c r="G14" s="19" t="s">
        <v>1470</v>
      </c>
      <c r="H14" s="20">
        <v>50004</v>
      </c>
      <c r="I14" s="20">
        <v>316</v>
      </c>
      <c r="J14" s="20">
        <f>VLOOKUP(I14,Item!B:C,2,0)</f>
        <v>2</v>
      </c>
      <c r="K14" s="20"/>
    </row>
    <row r="15" spans="1:15" ht="14.25" x14ac:dyDescent="0.15">
      <c r="A15" s="4" t="s">
        <v>81</v>
      </c>
      <c r="B15" s="18">
        <v>7</v>
      </c>
      <c r="C15" s="18" t="s">
        <v>1107</v>
      </c>
      <c r="D15" s="18" t="s">
        <v>1102</v>
      </c>
      <c r="E15" s="18">
        <v>1</v>
      </c>
      <c r="F15" s="20">
        <v>3300</v>
      </c>
      <c r="G15" s="19" t="s">
        <v>1470</v>
      </c>
      <c r="H15" s="20">
        <v>50004</v>
      </c>
      <c r="I15" s="20">
        <v>207</v>
      </c>
      <c r="J15" s="20">
        <f>VLOOKUP(I15,Item!B:C,2,0)</f>
        <v>2</v>
      </c>
    </row>
    <row r="16" spans="1:15" ht="14.25" x14ac:dyDescent="0.15">
      <c r="A16" s="4" t="s">
        <v>81</v>
      </c>
      <c r="B16" s="18">
        <v>8</v>
      </c>
      <c r="C16" s="18" t="s">
        <v>1108</v>
      </c>
      <c r="D16" s="18" t="s">
        <v>1109</v>
      </c>
      <c r="E16" s="18">
        <v>1</v>
      </c>
      <c r="F16" s="20">
        <v>3300</v>
      </c>
      <c r="G16" s="19" t="s">
        <v>1470</v>
      </c>
      <c r="H16" s="20">
        <v>50004</v>
      </c>
      <c r="I16" s="20">
        <v>208</v>
      </c>
      <c r="J16" s="20">
        <f>VLOOKUP(I16,Item!B:C,2,0)</f>
        <v>2</v>
      </c>
    </row>
    <row r="17" spans="1:10" ht="14.25" x14ac:dyDescent="0.15">
      <c r="A17" s="4" t="s">
        <v>81</v>
      </c>
      <c r="B17" s="18">
        <v>9</v>
      </c>
      <c r="C17" s="18" t="s">
        <v>1110</v>
      </c>
      <c r="D17" s="18" t="s">
        <v>1106</v>
      </c>
      <c r="E17" s="18">
        <v>1</v>
      </c>
      <c r="F17" s="20">
        <v>3300</v>
      </c>
      <c r="G17" s="19" t="s">
        <v>1471</v>
      </c>
      <c r="H17" s="20">
        <v>50005</v>
      </c>
      <c r="I17" s="20">
        <v>316</v>
      </c>
      <c r="J17" s="20">
        <f>VLOOKUP(I17,Item!B:C,2,0)</f>
        <v>2</v>
      </c>
    </row>
    <row r="18" spans="1:10" ht="14.25" x14ac:dyDescent="0.15">
      <c r="A18" s="4" t="s">
        <v>81</v>
      </c>
      <c r="B18" s="18">
        <v>10</v>
      </c>
      <c r="C18" s="18" t="s">
        <v>1110</v>
      </c>
      <c r="D18" s="18" t="s">
        <v>1111</v>
      </c>
      <c r="E18" s="18">
        <v>1</v>
      </c>
      <c r="F18" s="20">
        <v>3300</v>
      </c>
      <c r="G18" s="19" t="s">
        <v>1471</v>
      </c>
      <c r="H18" s="20">
        <v>50005</v>
      </c>
      <c r="I18" s="20">
        <v>207</v>
      </c>
      <c r="J18" s="20">
        <f>VLOOKUP(I18,Item!B:C,2,0)</f>
        <v>2</v>
      </c>
    </row>
    <row r="19" spans="1:10" ht="14.25" x14ac:dyDescent="0.15">
      <c r="A19" s="4" t="s">
        <v>1112</v>
      </c>
      <c r="B19" s="18">
        <v>11</v>
      </c>
      <c r="C19" s="18" t="s">
        <v>1113</v>
      </c>
      <c r="D19" s="18" t="s">
        <v>1114</v>
      </c>
      <c r="E19" s="18">
        <v>1</v>
      </c>
      <c r="F19" s="20">
        <v>3300</v>
      </c>
      <c r="G19" s="19" t="s">
        <v>1471</v>
      </c>
      <c r="H19" s="20">
        <v>50005</v>
      </c>
      <c r="I19" s="20">
        <v>208</v>
      </c>
      <c r="J19" s="20">
        <f>VLOOKUP(I19,Item!B:C,2,0)</f>
        <v>2</v>
      </c>
    </row>
    <row r="20" spans="1:10" ht="14.25" x14ac:dyDescent="0.15">
      <c r="A20" s="4" t="s">
        <v>1472</v>
      </c>
      <c r="B20" s="18">
        <v>12</v>
      </c>
      <c r="C20" s="18" t="s">
        <v>1473</v>
      </c>
      <c r="D20" s="18" t="s">
        <v>1666</v>
      </c>
      <c r="E20" s="18">
        <v>1</v>
      </c>
      <c r="F20" s="20">
        <v>2000</v>
      </c>
      <c r="G20" s="19" t="s">
        <v>1474</v>
      </c>
      <c r="H20" s="20">
        <v>50006</v>
      </c>
      <c r="I20" s="20">
        <v>12001</v>
      </c>
      <c r="J20" s="20">
        <f>VLOOKUP(I20,Item!B:C,2,0)</f>
        <v>32</v>
      </c>
    </row>
    <row r="21" spans="1:10" ht="14.25" x14ac:dyDescent="0.15">
      <c r="A21" s="4" t="s">
        <v>13</v>
      </c>
      <c r="B21" s="18">
        <v>13</v>
      </c>
      <c r="C21" s="18" t="s">
        <v>1475</v>
      </c>
      <c r="D21" s="18" t="s">
        <v>1668</v>
      </c>
      <c r="E21" s="18">
        <v>1</v>
      </c>
      <c r="F21" s="20">
        <v>2000</v>
      </c>
      <c r="G21" s="19" t="s">
        <v>1474</v>
      </c>
      <c r="H21" s="20">
        <v>50006</v>
      </c>
      <c r="I21" s="20">
        <v>12021</v>
      </c>
      <c r="J21" s="20">
        <f>VLOOKUP(I21,Item!B:C,2,0)</f>
        <v>32</v>
      </c>
    </row>
    <row r="22" spans="1:10" ht="14.25" x14ac:dyDescent="0.15">
      <c r="A22" s="4" t="s">
        <v>13</v>
      </c>
      <c r="B22" s="18">
        <v>14</v>
      </c>
      <c r="C22" s="18" t="s">
        <v>1476</v>
      </c>
      <c r="D22" s="18" t="s">
        <v>1477</v>
      </c>
      <c r="E22" s="18">
        <v>1</v>
      </c>
      <c r="F22" s="20">
        <v>2000</v>
      </c>
      <c r="G22" s="19" t="s">
        <v>1478</v>
      </c>
      <c r="H22" s="20">
        <v>50006</v>
      </c>
      <c r="I22" s="20">
        <v>12041</v>
      </c>
      <c r="J22" s="20">
        <f>VLOOKUP(I22,Item!B:C,2,0)</f>
        <v>32</v>
      </c>
    </row>
    <row r="23" spans="1:10" ht="14.25" x14ac:dyDescent="0.15">
      <c r="A23" s="4" t="s">
        <v>1472</v>
      </c>
      <c r="B23" s="18">
        <v>15</v>
      </c>
      <c r="C23" s="18" t="s">
        <v>1475</v>
      </c>
      <c r="D23" s="18" t="s">
        <v>1675</v>
      </c>
      <c r="E23" s="18">
        <v>1</v>
      </c>
      <c r="F23" s="20">
        <v>2000</v>
      </c>
      <c r="G23" s="19" t="s">
        <v>1478</v>
      </c>
      <c r="H23" s="20">
        <v>50006</v>
      </c>
      <c r="I23" s="20">
        <v>12061</v>
      </c>
      <c r="J23" s="20">
        <f>VLOOKUP(I23,Item!B:C,2,0)</f>
        <v>32</v>
      </c>
    </row>
    <row r="24" spans="1:10" ht="14.25" x14ac:dyDescent="0.15">
      <c r="A24" s="4" t="s">
        <v>1472</v>
      </c>
      <c r="B24" s="18">
        <v>16</v>
      </c>
      <c r="C24" s="18" t="s">
        <v>1476</v>
      </c>
      <c r="D24" s="18" t="s">
        <v>1479</v>
      </c>
      <c r="E24" s="18">
        <v>1</v>
      </c>
      <c r="F24" s="20">
        <v>2000</v>
      </c>
      <c r="G24" s="19" t="s">
        <v>1480</v>
      </c>
      <c r="H24" s="20">
        <v>50006</v>
      </c>
      <c r="I24" s="20">
        <v>12081</v>
      </c>
      <c r="J24" s="20">
        <f>VLOOKUP(I24,Item!B:C,2,0)</f>
        <v>32</v>
      </c>
    </row>
    <row r="25" spans="1:10" ht="14.25" x14ac:dyDescent="0.15">
      <c r="A25" s="4" t="s">
        <v>13</v>
      </c>
      <c r="B25" s="18">
        <v>17</v>
      </c>
      <c r="C25" s="18" t="s">
        <v>1584</v>
      </c>
      <c r="D25" s="18" t="s">
        <v>1666</v>
      </c>
      <c r="E25" s="18">
        <v>1</v>
      </c>
      <c r="F25" s="20">
        <v>2000</v>
      </c>
      <c r="G25" s="19" t="s">
        <v>1583</v>
      </c>
      <c r="H25" s="20">
        <v>50007</v>
      </c>
      <c r="I25" s="20">
        <v>220500</v>
      </c>
      <c r="J25" s="20">
        <v>19</v>
      </c>
    </row>
    <row r="26" spans="1:10" ht="14.25" x14ac:dyDescent="0.15">
      <c r="A26" s="4" t="s">
        <v>13</v>
      </c>
      <c r="B26" s="18">
        <v>18</v>
      </c>
      <c r="C26" s="18" t="s">
        <v>1584</v>
      </c>
      <c r="D26" s="18" t="s">
        <v>1668</v>
      </c>
      <c r="E26" s="18">
        <v>1</v>
      </c>
      <c r="F26" s="20">
        <v>2000</v>
      </c>
      <c r="G26" s="19" t="s">
        <v>1583</v>
      </c>
      <c r="H26" s="20">
        <v>50007</v>
      </c>
      <c r="I26" s="20">
        <v>222510</v>
      </c>
      <c r="J26" s="20">
        <v>19</v>
      </c>
    </row>
    <row r="27" spans="1:10" ht="14.25" x14ac:dyDescent="0.15">
      <c r="A27" s="4" t="s">
        <v>13</v>
      </c>
      <c r="B27" s="18">
        <v>19</v>
      </c>
      <c r="C27" s="18" t="s">
        <v>1584</v>
      </c>
      <c r="D27" s="18" t="s">
        <v>1038</v>
      </c>
      <c r="E27" s="18">
        <v>1</v>
      </c>
      <c r="F27" s="20">
        <v>2000</v>
      </c>
      <c r="G27" s="19" t="s">
        <v>1583</v>
      </c>
      <c r="H27" s="20">
        <v>50007</v>
      </c>
      <c r="I27" s="20">
        <v>224500</v>
      </c>
      <c r="J27" s="20">
        <v>19</v>
      </c>
    </row>
    <row r="28" spans="1:10" ht="14.25" x14ac:dyDescent="0.15">
      <c r="A28" s="4" t="s">
        <v>13</v>
      </c>
      <c r="B28" s="18">
        <v>20</v>
      </c>
      <c r="C28" s="18" t="s">
        <v>1584</v>
      </c>
      <c r="D28" s="18" t="s">
        <v>1675</v>
      </c>
      <c r="E28" s="18">
        <v>1</v>
      </c>
      <c r="F28" s="20">
        <v>2000</v>
      </c>
      <c r="G28" s="19" t="s">
        <v>1583</v>
      </c>
      <c r="H28" s="20">
        <v>50007</v>
      </c>
      <c r="I28" s="20">
        <v>226500</v>
      </c>
      <c r="J28" s="20">
        <v>19</v>
      </c>
    </row>
    <row r="29" spans="1:10" ht="14.25" x14ac:dyDescent="0.15">
      <c r="A29" s="4" t="s">
        <v>13</v>
      </c>
      <c r="B29" s="18">
        <v>21</v>
      </c>
      <c r="C29" s="18" t="s">
        <v>1584</v>
      </c>
      <c r="D29" s="18" t="s">
        <v>1045</v>
      </c>
      <c r="E29" s="18">
        <v>1</v>
      </c>
      <c r="F29" s="20">
        <v>2000</v>
      </c>
      <c r="G29" s="19" t="s">
        <v>1583</v>
      </c>
      <c r="H29" s="20">
        <v>50007</v>
      </c>
      <c r="I29" s="20">
        <v>228500</v>
      </c>
      <c r="J29" s="20">
        <v>19</v>
      </c>
    </row>
    <row r="30" spans="1:10" ht="14.25" x14ac:dyDescent="0.15">
      <c r="A30" s="4" t="s">
        <v>13</v>
      </c>
      <c r="B30" s="18">
        <v>22</v>
      </c>
      <c r="C30" s="6" t="s">
        <v>2018</v>
      </c>
      <c r="D30" s="6" t="s">
        <v>2026</v>
      </c>
      <c r="E30" s="6">
        <v>60</v>
      </c>
      <c r="F30" s="20">
        <v>10000</v>
      </c>
      <c r="G30" s="19" t="s">
        <v>1098</v>
      </c>
      <c r="H30" s="6">
        <v>50008</v>
      </c>
      <c r="I30" s="6">
        <v>2</v>
      </c>
      <c r="J30" s="6">
        <v>1</v>
      </c>
    </row>
    <row r="31" spans="1:10" ht="14.25" x14ac:dyDescent="0.15">
      <c r="A31" s="4" t="s">
        <v>13</v>
      </c>
      <c r="B31" s="18">
        <v>23</v>
      </c>
      <c r="C31" s="6" t="s">
        <v>2018</v>
      </c>
      <c r="D31" s="18" t="s">
        <v>1106</v>
      </c>
      <c r="E31" s="6">
        <v>3</v>
      </c>
      <c r="F31" s="20">
        <v>10000</v>
      </c>
      <c r="G31" s="19" t="s">
        <v>1098</v>
      </c>
      <c r="H31" s="6">
        <v>50008</v>
      </c>
      <c r="I31" s="20">
        <v>316</v>
      </c>
      <c r="J31" s="6">
        <v>2</v>
      </c>
    </row>
    <row r="32" spans="1:10" ht="14.25" x14ac:dyDescent="0.15">
      <c r="A32" s="4" t="s">
        <v>13</v>
      </c>
      <c r="B32" s="18">
        <v>24</v>
      </c>
      <c r="C32" s="6" t="s">
        <v>2019</v>
      </c>
      <c r="D32" s="6" t="s">
        <v>2026</v>
      </c>
      <c r="E32" s="6">
        <v>300</v>
      </c>
      <c r="F32" s="20">
        <v>10000</v>
      </c>
      <c r="G32" s="19" t="s">
        <v>1098</v>
      </c>
      <c r="H32" s="6">
        <v>50009</v>
      </c>
      <c r="I32" s="6">
        <v>2</v>
      </c>
      <c r="J32" s="6">
        <v>1</v>
      </c>
    </row>
    <row r="33" spans="1:10" ht="14.25" x14ac:dyDescent="0.15">
      <c r="A33" s="4" t="s">
        <v>13</v>
      </c>
      <c r="B33" s="18">
        <v>25</v>
      </c>
      <c r="C33" s="6" t="s">
        <v>2019</v>
      </c>
      <c r="D33" s="18" t="s">
        <v>1106</v>
      </c>
      <c r="E33" s="6">
        <v>15</v>
      </c>
      <c r="F33" s="20">
        <v>10000</v>
      </c>
      <c r="G33" s="19" t="s">
        <v>1098</v>
      </c>
      <c r="H33" s="6">
        <v>50009</v>
      </c>
      <c r="I33" s="20">
        <v>316</v>
      </c>
      <c r="J33" s="6">
        <v>2</v>
      </c>
    </row>
    <row r="34" spans="1:10" ht="14.25" x14ac:dyDescent="0.15">
      <c r="A34" s="4" t="s">
        <v>13</v>
      </c>
      <c r="B34" s="18">
        <v>26</v>
      </c>
      <c r="C34" s="6" t="s">
        <v>2020</v>
      </c>
      <c r="D34" s="6" t="s">
        <v>2026</v>
      </c>
      <c r="E34" s="6">
        <v>680</v>
      </c>
      <c r="F34" s="20">
        <v>10000</v>
      </c>
      <c r="G34" s="19" t="s">
        <v>1098</v>
      </c>
      <c r="H34" s="6">
        <v>50010</v>
      </c>
      <c r="I34" s="6">
        <v>2</v>
      </c>
      <c r="J34" s="6">
        <v>1</v>
      </c>
    </row>
    <row r="35" spans="1:10" ht="14.25" x14ac:dyDescent="0.15">
      <c r="A35" s="4" t="s">
        <v>13</v>
      </c>
      <c r="B35" s="18">
        <v>27</v>
      </c>
      <c r="C35" s="6" t="s">
        <v>2020</v>
      </c>
      <c r="D35" s="18" t="s">
        <v>1106</v>
      </c>
      <c r="E35" s="6">
        <v>30</v>
      </c>
      <c r="F35" s="20">
        <v>10000</v>
      </c>
      <c r="G35" s="19" t="s">
        <v>1098</v>
      </c>
      <c r="H35" s="6">
        <v>50010</v>
      </c>
      <c r="I35" s="20">
        <v>316</v>
      </c>
      <c r="J35" s="6">
        <v>2</v>
      </c>
    </row>
    <row r="36" spans="1:10" ht="14.25" x14ac:dyDescent="0.15">
      <c r="A36" s="4" t="s">
        <v>13</v>
      </c>
      <c r="B36" s="18">
        <v>28</v>
      </c>
      <c r="C36" s="6" t="s">
        <v>2021</v>
      </c>
      <c r="D36" s="6" t="s">
        <v>2026</v>
      </c>
      <c r="E36" s="6">
        <v>1280</v>
      </c>
      <c r="F36" s="20">
        <v>10000</v>
      </c>
      <c r="G36" s="19" t="s">
        <v>1098</v>
      </c>
      <c r="H36" s="6">
        <v>50011</v>
      </c>
      <c r="I36" s="6">
        <v>2</v>
      </c>
      <c r="J36" s="6">
        <v>1</v>
      </c>
    </row>
    <row r="37" spans="1:10" ht="14.25" x14ac:dyDescent="0.15">
      <c r="A37" s="4" t="s">
        <v>13</v>
      </c>
      <c r="B37" s="18">
        <v>29</v>
      </c>
      <c r="C37" s="6" t="s">
        <v>2021</v>
      </c>
      <c r="D37" s="18" t="s">
        <v>1106</v>
      </c>
      <c r="E37" s="6">
        <v>60</v>
      </c>
      <c r="F37" s="20">
        <v>10000</v>
      </c>
      <c r="G37" s="19" t="s">
        <v>1098</v>
      </c>
      <c r="H37" s="6">
        <v>50011</v>
      </c>
      <c r="I37" s="20">
        <v>316</v>
      </c>
      <c r="J37" s="6">
        <v>2</v>
      </c>
    </row>
    <row r="38" spans="1:10" ht="14.25" x14ac:dyDescent="0.15">
      <c r="A38" s="4" t="s">
        <v>13</v>
      </c>
      <c r="B38" s="18">
        <v>30</v>
      </c>
      <c r="C38" s="6" t="s">
        <v>2022</v>
      </c>
      <c r="D38" s="6" t="s">
        <v>2026</v>
      </c>
      <c r="E38" s="6">
        <v>3680</v>
      </c>
      <c r="F38" s="20">
        <v>10000</v>
      </c>
      <c r="G38" s="19" t="s">
        <v>1098</v>
      </c>
      <c r="H38" s="6">
        <v>50012</v>
      </c>
      <c r="I38" s="6">
        <v>2</v>
      </c>
      <c r="J38" s="6">
        <v>1</v>
      </c>
    </row>
    <row r="39" spans="1:10" ht="14.25" x14ac:dyDescent="0.15">
      <c r="A39" s="4" t="s">
        <v>13</v>
      </c>
      <c r="B39" s="18">
        <v>31</v>
      </c>
      <c r="C39" s="6" t="s">
        <v>2022</v>
      </c>
      <c r="D39" s="18" t="s">
        <v>1106</v>
      </c>
      <c r="E39" s="6">
        <v>180</v>
      </c>
      <c r="F39" s="20">
        <v>10000</v>
      </c>
      <c r="G39" s="19" t="s">
        <v>1098</v>
      </c>
      <c r="H39" s="6">
        <v>50012</v>
      </c>
      <c r="I39" s="20">
        <v>316</v>
      </c>
      <c r="J39" s="6">
        <v>2</v>
      </c>
    </row>
    <row r="40" spans="1:10" ht="14.25" x14ac:dyDescent="0.15">
      <c r="A40" s="4" t="s">
        <v>13</v>
      </c>
      <c r="B40" s="6">
        <v>32</v>
      </c>
      <c r="C40" s="6" t="s">
        <v>2037</v>
      </c>
      <c r="D40" s="6" t="s">
        <v>2036</v>
      </c>
      <c r="E40" s="6">
        <v>1</v>
      </c>
      <c r="F40" s="6">
        <v>2000</v>
      </c>
      <c r="G40" s="19" t="s">
        <v>1478</v>
      </c>
      <c r="H40" s="6">
        <v>50013</v>
      </c>
      <c r="I40" s="6">
        <v>55202</v>
      </c>
      <c r="J40" s="6">
        <v>33</v>
      </c>
    </row>
    <row r="41" spans="1:10" ht="14.25" x14ac:dyDescent="0.15">
      <c r="A41" s="4" t="s">
        <v>13</v>
      </c>
      <c r="B41" s="6">
        <v>33</v>
      </c>
      <c r="C41" s="6" t="s">
        <v>2037</v>
      </c>
      <c r="D41" s="6" t="s">
        <v>2042</v>
      </c>
      <c r="E41" s="6">
        <v>1</v>
      </c>
      <c r="F41" s="6">
        <v>2000</v>
      </c>
      <c r="G41" s="19" t="s">
        <v>1478</v>
      </c>
      <c r="H41" s="6">
        <v>50013</v>
      </c>
      <c r="I41" s="6">
        <v>55221</v>
      </c>
      <c r="J41" s="6">
        <v>33</v>
      </c>
    </row>
    <row r="42" spans="1:10" ht="14.25" x14ac:dyDescent="0.15">
      <c r="A42" s="4" t="s">
        <v>13</v>
      </c>
      <c r="B42" s="6">
        <v>34</v>
      </c>
      <c r="C42" s="6" t="s">
        <v>2037</v>
      </c>
      <c r="D42" s="6" t="s">
        <v>2035</v>
      </c>
      <c r="E42" s="6">
        <v>1</v>
      </c>
      <c r="F42" s="6">
        <v>2000</v>
      </c>
      <c r="G42" s="19" t="s">
        <v>1478</v>
      </c>
      <c r="H42" s="6">
        <v>50013</v>
      </c>
      <c r="I42" s="6">
        <v>55203</v>
      </c>
      <c r="J42" s="6">
        <v>33</v>
      </c>
    </row>
    <row r="43" spans="1:10" ht="14.25" x14ac:dyDescent="0.15">
      <c r="A43" s="4" t="s">
        <v>13</v>
      </c>
      <c r="B43" s="6">
        <v>141</v>
      </c>
      <c r="C43" s="6" t="s">
        <v>2119</v>
      </c>
      <c r="D43" s="6" t="s">
        <v>2121</v>
      </c>
      <c r="E43" s="6">
        <v>5</v>
      </c>
      <c r="F43" s="6">
        <v>2000</v>
      </c>
      <c r="G43" s="19" t="s">
        <v>1478</v>
      </c>
      <c r="H43" s="6">
        <v>50014</v>
      </c>
      <c r="I43" s="6">
        <v>80001</v>
      </c>
      <c r="J43" s="6">
        <v>9</v>
      </c>
    </row>
    <row r="44" spans="1:10" ht="14.25" x14ac:dyDescent="0.15">
      <c r="A44" s="4" t="s">
        <v>13</v>
      </c>
      <c r="B44" s="6">
        <v>142</v>
      </c>
      <c r="C44" s="6" t="s">
        <v>2119</v>
      </c>
      <c r="D44" s="6" t="s">
        <v>2122</v>
      </c>
      <c r="E44" s="6">
        <v>5</v>
      </c>
      <c r="F44" s="6">
        <v>2000</v>
      </c>
      <c r="G44" s="19" t="s">
        <v>1478</v>
      </c>
      <c r="H44" s="6">
        <v>50014</v>
      </c>
      <c r="I44" s="6">
        <v>80004</v>
      </c>
      <c r="J44" s="6">
        <v>9</v>
      </c>
    </row>
    <row r="45" spans="1:10" ht="14.25" x14ac:dyDescent="0.15">
      <c r="A45" s="4" t="s">
        <v>13</v>
      </c>
      <c r="B45" s="6">
        <v>143</v>
      </c>
      <c r="C45" s="6" t="s">
        <v>2119</v>
      </c>
      <c r="D45" s="6" t="s">
        <v>2123</v>
      </c>
      <c r="E45" s="6">
        <v>5</v>
      </c>
      <c r="F45" s="6">
        <v>2000</v>
      </c>
      <c r="G45" s="19" t="s">
        <v>1478</v>
      </c>
      <c r="H45" s="6">
        <v>50014</v>
      </c>
      <c r="I45" s="6">
        <v>80007</v>
      </c>
      <c r="J45" s="6">
        <v>9</v>
      </c>
    </row>
    <row r="46" spans="1:10" ht="14.25" x14ac:dyDescent="0.15">
      <c r="A46" s="4" t="s">
        <v>13</v>
      </c>
      <c r="B46" s="6">
        <v>144</v>
      </c>
      <c r="C46" s="6" t="s">
        <v>2119</v>
      </c>
      <c r="D46" s="6" t="s">
        <v>2124</v>
      </c>
      <c r="E46" s="6">
        <v>5</v>
      </c>
      <c r="F46" s="6">
        <v>2000</v>
      </c>
      <c r="G46" s="19" t="s">
        <v>1478</v>
      </c>
      <c r="H46" s="6">
        <v>50014</v>
      </c>
      <c r="I46" s="6">
        <v>80010</v>
      </c>
      <c r="J46" s="6">
        <v>9</v>
      </c>
    </row>
    <row r="47" spans="1:10" ht="14.25" x14ac:dyDescent="0.15">
      <c r="A47" s="4" t="s">
        <v>13</v>
      </c>
      <c r="B47" s="6">
        <v>145</v>
      </c>
      <c r="C47" s="6" t="s">
        <v>2119</v>
      </c>
      <c r="D47" s="6" t="s">
        <v>2125</v>
      </c>
      <c r="E47" s="6">
        <v>5</v>
      </c>
      <c r="F47" s="6">
        <v>2000</v>
      </c>
      <c r="G47" s="19" t="s">
        <v>1478</v>
      </c>
      <c r="H47" s="6">
        <v>50014</v>
      </c>
      <c r="I47" s="6">
        <v>80013</v>
      </c>
      <c r="J47" s="6">
        <v>9</v>
      </c>
    </row>
    <row r="48" spans="1:10" ht="14.25" x14ac:dyDescent="0.15">
      <c r="G48" s="19"/>
    </row>
    <row r="49" spans="1:10" ht="14.25" x14ac:dyDescent="0.15">
      <c r="G49" s="19"/>
    </row>
    <row r="50" spans="1:10" ht="14.25" x14ac:dyDescent="0.15">
      <c r="G50" s="19"/>
    </row>
    <row r="51" spans="1:10" ht="14.25" x14ac:dyDescent="0.15">
      <c r="G51" s="19"/>
    </row>
    <row r="52" spans="1:10" ht="14.25" x14ac:dyDescent="0.15">
      <c r="A52" s="4" t="s">
        <v>13</v>
      </c>
      <c r="B52" s="6">
        <v>901</v>
      </c>
      <c r="C52" s="6" t="s">
        <v>2114</v>
      </c>
      <c r="D52" s="6" t="s">
        <v>2119</v>
      </c>
      <c r="E52" s="6">
        <v>1</v>
      </c>
      <c r="F52" s="20">
        <v>10000</v>
      </c>
      <c r="G52" s="19" t="s">
        <v>1098</v>
      </c>
      <c r="H52" s="6">
        <v>50090</v>
      </c>
      <c r="I52" s="6">
        <v>50014</v>
      </c>
      <c r="J52" s="6">
        <v>6</v>
      </c>
    </row>
    <row r="53" spans="1:10" ht="14.25" x14ac:dyDescent="0.15">
      <c r="A53" s="4" t="s">
        <v>13</v>
      </c>
      <c r="B53" s="6">
        <v>902</v>
      </c>
      <c r="C53" s="6" t="s">
        <v>2114</v>
      </c>
      <c r="D53" s="6" t="s">
        <v>2026</v>
      </c>
      <c r="E53" s="6">
        <v>60</v>
      </c>
      <c r="F53" s="20">
        <v>10000</v>
      </c>
      <c r="G53" s="19" t="s">
        <v>1098</v>
      </c>
      <c r="H53" s="6">
        <v>50090</v>
      </c>
      <c r="I53" s="6">
        <v>2</v>
      </c>
      <c r="J53" s="6">
        <v>1</v>
      </c>
    </row>
    <row r="54" spans="1:10" ht="14.25" x14ac:dyDescent="0.15">
      <c r="A54" s="4" t="s">
        <v>13</v>
      </c>
      <c r="B54" s="6">
        <v>911</v>
      </c>
      <c r="C54" s="6" t="s">
        <v>2115</v>
      </c>
      <c r="D54" s="6" t="s">
        <v>2057</v>
      </c>
      <c r="E54" s="6">
        <v>5</v>
      </c>
      <c r="F54" s="20">
        <v>10000</v>
      </c>
      <c r="G54" s="19" t="s">
        <v>1098</v>
      </c>
      <c r="H54" s="6">
        <v>50091</v>
      </c>
      <c r="I54" s="6">
        <v>316</v>
      </c>
      <c r="J54" s="6">
        <v>2</v>
      </c>
    </row>
    <row r="55" spans="1:10" ht="14.25" x14ac:dyDescent="0.15">
      <c r="A55" s="4" t="s">
        <v>13</v>
      </c>
      <c r="B55" s="6">
        <v>912</v>
      </c>
      <c r="C55" s="6" t="s">
        <v>2115</v>
      </c>
      <c r="D55" s="6" t="s">
        <v>816</v>
      </c>
      <c r="E55" s="6">
        <v>5</v>
      </c>
      <c r="F55" s="20">
        <v>10000</v>
      </c>
      <c r="G55" s="19" t="s">
        <v>1098</v>
      </c>
      <c r="H55" s="6">
        <v>50091</v>
      </c>
      <c r="I55" s="6">
        <v>10012</v>
      </c>
      <c r="J55" s="6">
        <v>32</v>
      </c>
    </row>
    <row r="56" spans="1:10" ht="14.25" x14ac:dyDescent="0.15">
      <c r="A56" s="4" t="s">
        <v>13</v>
      </c>
      <c r="B56" s="6">
        <v>913</v>
      </c>
      <c r="C56" s="6" t="s">
        <v>2115</v>
      </c>
      <c r="D56" s="6" t="s">
        <v>706</v>
      </c>
      <c r="E56" s="6">
        <v>5</v>
      </c>
      <c r="F56" s="20">
        <v>10000</v>
      </c>
      <c r="G56" s="19" t="s">
        <v>1098</v>
      </c>
      <c r="H56" s="6">
        <v>50091</v>
      </c>
      <c r="I56" s="6">
        <v>10022</v>
      </c>
      <c r="J56" s="6">
        <v>32</v>
      </c>
    </row>
    <row r="57" spans="1:10" ht="14.25" x14ac:dyDescent="0.15">
      <c r="A57" s="4" t="s">
        <v>13</v>
      </c>
      <c r="B57" s="6">
        <v>921</v>
      </c>
      <c r="C57" s="6" t="s">
        <v>2117</v>
      </c>
      <c r="D57" s="6" t="s">
        <v>2057</v>
      </c>
      <c r="E57" s="6">
        <v>10</v>
      </c>
      <c r="F57" s="20">
        <v>10000</v>
      </c>
      <c r="G57" s="19" t="s">
        <v>1098</v>
      </c>
      <c r="H57" s="6">
        <v>50092</v>
      </c>
      <c r="I57" s="6">
        <v>316</v>
      </c>
      <c r="J57" s="6">
        <v>2</v>
      </c>
    </row>
    <row r="58" spans="1:10" ht="14.25" x14ac:dyDescent="0.15">
      <c r="A58" s="4" t="s">
        <v>13</v>
      </c>
      <c r="B58" s="6">
        <v>922</v>
      </c>
      <c r="C58" s="6" t="s">
        <v>2117</v>
      </c>
      <c r="D58" s="6" t="s">
        <v>2128</v>
      </c>
      <c r="E58" s="6">
        <v>20</v>
      </c>
      <c r="F58" s="20">
        <v>10000</v>
      </c>
      <c r="G58" s="19" t="s">
        <v>1098</v>
      </c>
      <c r="H58" s="6">
        <v>50092</v>
      </c>
      <c r="I58" s="6">
        <v>301</v>
      </c>
      <c r="J58" s="6">
        <v>2</v>
      </c>
    </row>
    <row r="60" spans="1:10" ht="14.25" x14ac:dyDescent="0.15">
      <c r="A60" s="4" t="s">
        <v>13</v>
      </c>
      <c r="B60" s="6">
        <v>1001</v>
      </c>
      <c r="C60" s="6" t="s">
        <v>2046</v>
      </c>
      <c r="D60" s="6" t="s">
        <v>2047</v>
      </c>
      <c r="E60" s="6">
        <v>200</v>
      </c>
      <c r="F60" s="20">
        <v>10000</v>
      </c>
      <c r="G60" s="19" t="s">
        <v>1098</v>
      </c>
      <c r="H60" s="6">
        <v>50100</v>
      </c>
      <c r="I60" s="6">
        <v>2</v>
      </c>
      <c r="J60" s="6">
        <v>1</v>
      </c>
    </row>
    <row r="61" spans="1:10" ht="14.25" x14ac:dyDescent="0.15">
      <c r="A61" s="4" t="s">
        <v>13</v>
      </c>
      <c r="B61" s="6">
        <v>1002</v>
      </c>
      <c r="C61" s="6" t="s">
        <v>2046</v>
      </c>
      <c r="D61" s="6" t="s">
        <v>2048</v>
      </c>
      <c r="E61" s="6">
        <v>1</v>
      </c>
      <c r="F61" s="20">
        <v>10000</v>
      </c>
      <c r="G61" s="19" t="s">
        <v>1098</v>
      </c>
      <c r="H61" s="6">
        <v>50100</v>
      </c>
      <c r="I61" s="6">
        <v>55104</v>
      </c>
      <c r="J61" s="6">
        <v>33</v>
      </c>
    </row>
    <row r="62" spans="1:10" ht="14.25" x14ac:dyDescent="0.15">
      <c r="A62" s="4" t="s">
        <v>13</v>
      </c>
      <c r="B62" s="6">
        <v>1011</v>
      </c>
      <c r="C62" s="6" t="s">
        <v>2049</v>
      </c>
      <c r="D62" s="6" t="s">
        <v>827</v>
      </c>
      <c r="E62" s="6">
        <v>4</v>
      </c>
      <c r="F62" s="20">
        <v>10000</v>
      </c>
      <c r="G62" s="19" t="s">
        <v>1098</v>
      </c>
      <c r="H62" s="6">
        <v>50101</v>
      </c>
      <c r="I62" s="6">
        <v>11001</v>
      </c>
      <c r="J62" s="6">
        <v>32</v>
      </c>
    </row>
    <row r="63" spans="1:10" ht="14.25" x14ac:dyDescent="0.15">
      <c r="A63" s="4" t="s">
        <v>13</v>
      </c>
      <c r="B63" s="6">
        <v>1012</v>
      </c>
      <c r="C63" s="6" t="s">
        <v>2049</v>
      </c>
      <c r="D63" s="6" t="s">
        <v>830</v>
      </c>
      <c r="E63" s="6">
        <v>4</v>
      </c>
      <c r="F63" s="20">
        <v>10000</v>
      </c>
      <c r="G63" s="19" t="s">
        <v>1098</v>
      </c>
      <c r="H63" s="6">
        <v>50101</v>
      </c>
      <c r="I63" s="6">
        <v>11021</v>
      </c>
      <c r="J63" s="6">
        <v>32</v>
      </c>
    </row>
    <row r="64" spans="1:10" ht="14.25" x14ac:dyDescent="0.15">
      <c r="A64" s="4" t="s">
        <v>13</v>
      </c>
      <c r="B64" s="6">
        <v>1013</v>
      </c>
      <c r="C64" s="6" t="s">
        <v>2049</v>
      </c>
      <c r="D64" s="6" t="s">
        <v>1902</v>
      </c>
      <c r="E64" s="6">
        <v>4</v>
      </c>
      <c r="F64" s="20">
        <v>10000</v>
      </c>
      <c r="G64" s="19" t="s">
        <v>1098</v>
      </c>
      <c r="H64" s="6">
        <v>50101</v>
      </c>
      <c r="I64" s="6">
        <v>11041</v>
      </c>
      <c r="J64" s="6">
        <v>32</v>
      </c>
    </row>
    <row r="65" spans="1:10" ht="14.25" x14ac:dyDescent="0.15">
      <c r="A65" s="4" t="s">
        <v>13</v>
      </c>
      <c r="B65" s="6">
        <v>1014</v>
      </c>
      <c r="C65" s="6" t="s">
        <v>2049</v>
      </c>
      <c r="D65" s="6" t="s">
        <v>814</v>
      </c>
      <c r="E65" s="6">
        <v>80</v>
      </c>
      <c r="F65" s="20">
        <v>10000</v>
      </c>
      <c r="G65" s="19" t="s">
        <v>1098</v>
      </c>
      <c r="H65" s="6">
        <v>50101</v>
      </c>
      <c r="I65" s="6">
        <v>10011</v>
      </c>
      <c r="J65" s="6">
        <v>32</v>
      </c>
    </row>
    <row r="66" spans="1:10" ht="14.25" x14ac:dyDescent="0.15">
      <c r="A66" s="4" t="s">
        <v>13</v>
      </c>
      <c r="B66" s="6">
        <v>1021</v>
      </c>
      <c r="C66" s="6" t="s">
        <v>2055</v>
      </c>
      <c r="D66" s="6" t="s">
        <v>2059</v>
      </c>
      <c r="E66" s="6">
        <v>1</v>
      </c>
      <c r="F66" s="20">
        <v>10000</v>
      </c>
      <c r="G66" s="19" t="s">
        <v>1098</v>
      </c>
      <c r="H66" s="6">
        <v>50102</v>
      </c>
      <c r="I66" s="6">
        <v>55001</v>
      </c>
      <c r="J66" s="6">
        <v>33</v>
      </c>
    </row>
    <row r="67" spans="1:10" ht="14.25" x14ac:dyDescent="0.15">
      <c r="A67" s="4" t="s">
        <v>13</v>
      </c>
      <c r="B67" s="6">
        <v>1022</v>
      </c>
      <c r="C67" s="6" t="s">
        <v>2055</v>
      </c>
      <c r="D67" s="6" t="s">
        <v>814</v>
      </c>
      <c r="E67" s="6">
        <v>60</v>
      </c>
      <c r="F67" s="20">
        <v>10000</v>
      </c>
      <c r="G67" s="19" t="s">
        <v>1098</v>
      </c>
      <c r="H67" s="6">
        <v>50102</v>
      </c>
      <c r="I67" s="6">
        <v>10011</v>
      </c>
      <c r="J67" s="6">
        <v>32</v>
      </c>
    </row>
    <row r="68" spans="1:10" ht="14.25" x14ac:dyDescent="0.15">
      <c r="A68" s="4" t="s">
        <v>13</v>
      </c>
      <c r="B68" s="6">
        <v>1031</v>
      </c>
      <c r="C68" s="6" t="s">
        <v>2056</v>
      </c>
      <c r="D68" s="6" t="s">
        <v>2057</v>
      </c>
      <c r="E68" s="6">
        <v>5</v>
      </c>
      <c r="F68" s="20">
        <v>10000</v>
      </c>
      <c r="G68" s="19" t="s">
        <v>1098</v>
      </c>
      <c r="H68" s="6">
        <v>50103</v>
      </c>
      <c r="I68" s="6">
        <v>316</v>
      </c>
      <c r="J68" s="6">
        <v>2</v>
      </c>
    </row>
    <row r="69" spans="1:10" ht="14.25" x14ac:dyDescent="0.15">
      <c r="A69" s="4" t="s">
        <v>13</v>
      </c>
      <c r="B69" s="6">
        <v>1032</v>
      </c>
      <c r="C69" s="6" t="s">
        <v>2056</v>
      </c>
      <c r="D69" s="6" t="s">
        <v>814</v>
      </c>
      <c r="E69" s="6">
        <v>90</v>
      </c>
      <c r="F69" s="20">
        <v>10000</v>
      </c>
      <c r="G69" s="19" t="s">
        <v>1098</v>
      </c>
      <c r="H69" s="6">
        <v>50103</v>
      </c>
      <c r="I69" s="6">
        <v>10011</v>
      </c>
      <c r="J69" s="6">
        <v>32</v>
      </c>
    </row>
    <row r="70" spans="1:10" ht="14.25" x14ac:dyDescent="0.15">
      <c r="A70" s="4" t="s">
        <v>13</v>
      </c>
      <c r="B70" s="6">
        <v>1041</v>
      </c>
      <c r="C70" s="6" t="s">
        <v>2053</v>
      </c>
      <c r="D70" s="6" t="s">
        <v>2058</v>
      </c>
      <c r="E70" s="6">
        <v>1</v>
      </c>
      <c r="F70" s="20">
        <v>10000</v>
      </c>
      <c r="G70" s="19" t="s">
        <v>1098</v>
      </c>
      <c r="H70" s="6">
        <v>50104</v>
      </c>
      <c r="I70" s="6">
        <v>55004</v>
      </c>
      <c r="J70" s="6">
        <v>33</v>
      </c>
    </row>
    <row r="71" spans="1:10" ht="14.25" x14ac:dyDescent="0.15">
      <c r="A71" s="4" t="s">
        <v>13</v>
      </c>
      <c r="B71" s="6">
        <v>1042</v>
      </c>
      <c r="C71" s="6" t="s">
        <v>2053</v>
      </c>
      <c r="D71" s="6" t="s">
        <v>814</v>
      </c>
      <c r="E71" s="6">
        <v>120</v>
      </c>
      <c r="F71" s="20">
        <v>10000</v>
      </c>
      <c r="G71" s="19" t="s">
        <v>1098</v>
      </c>
      <c r="H71" s="6">
        <v>50104</v>
      </c>
      <c r="I71" s="6">
        <v>10011</v>
      </c>
      <c r="J71" s="6">
        <v>32</v>
      </c>
    </row>
    <row r="72" spans="1:10" ht="14.25" x14ac:dyDescent="0.15">
      <c r="A72" s="4" t="s">
        <v>13</v>
      </c>
      <c r="B72" s="6">
        <v>1051</v>
      </c>
      <c r="C72" s="6" t="s">
        <v>2054</v>
      </c>
      <c r="D72" s="6" t="s">
        <v>2060</v>
      </c>
      <c r="E72" s="6">
        <v>10</v>
      </c>
      <c r="F72" s="20">
        <v>10000</v>
      </c>
      <c r="G72" s="19" t="s">
        <v>1098</v>
      </c>
      <c r="H72" s="6">
        <v>50105</v>
      </c>
      <c r="I72" s="6">
        <v>316</v>
      </c>
      <c r="J72" s="6">
        <v>2</v>
      </c>
    </row>
    <row r="73" spans="1:10" ht="14.25" x14ac:dyDescent="0.15">
      <c r="A73" s="4" t="s">
        <v>13</v>
      </c>
      <c r="B73" s="6">
        <v>2001</v>
      </c>
      <c r="C73" s="6" t="s">
        <v>2067</v>
      </c>
      <c r="D73" s="6" t="s">
        <v>816</v>
      </c>
      <c r="E73" s="6">
        <v>25</v>
      </c>
      <c r="F73" s="20">
        <v>10000</v>
      </c>
      <c r="G73" s="19" t="s">
        <v>1098</v>
      </c>
      <c r="H73" s="6">
        <v>50200</v>
      </c>
      <c r="I73" s="6">
        <v>10012</v>
      </c>
      <c r="J73" s="6">
        <v>32</v>
      </c>
    </row>
    <row r="74" spans="1:10" ht="14.25" x14ac:dyDescent="0.15">
      <c r="A74" s="4" t="s">
        <v>13</v>
      </c>
      <c r="B74" s="6">
        <v>2002</v>
      </c>
      <c r="C74" s="6" t="s">
        <v>2067</v>
      </c>
      <c r="D74" s="6" t="s">
        <v>2073</v>
      </c>
      <c r="E74" s="6">
        <v>3</v>
      </c>
      <c r="F74" s="20">
        <v>10000</v>
      </c>
      <c r="G74" s="19" t="s">
        <v>1098</v>
      </c>
      <c r="H74" s="6">
        <v>50200</v>
      </c>
      <c r="I74" s="6">
        <v>11003</v>
      </c>
      <c r="J74" s="6">
        <v>32</v>
      </c>
    </row>
    <row r="75" spans="1:10" ht="14.25" x14ac:dyDescent="0.15">
      <c r="A75" s="4" t="s">
        <v>13</v>
      </c>
      <c r="B75" s="6">
        <v>2003</v>
      </c>
      <c r="C75" s="6" t="s">
        <v>2067</v>
      </c>
      <c r="D75" s="6" t="s">
        <v>2074</v>
      </c>
      <c r="E75" s="6">
        <v>3</v>
      </c>
      <c r="F75" s="20">
        <v>10000</v>
      </c>
      <c r="G75" s="19" t="s">
        <v>1098</v>
      </c>
      <c r="H75" s="6">
        <v>50200</v>
      </c>
      <c r="I75" s="6">
        <v>11023</v>
      </c>
      <c r="J75" s="6">
        <v>32</v>
      </c>
    </row>
    <row r="76" spans="1:10" ht="14.25" x14ac:dyDescent="0.15">
      <c r="A76" s="4" t="s">
        <v>13</v>
      </c>
      <c r="B76" s="6">
        <v>2004</v>
      </c>
      <c r="C76" s="6" t="s">
        <v>2067</v>
      </c>
      <c r="D76" s="6" t="s">
        <v>2075</v>
      </c>
      <c r="E76" s="6">
        <v>3</v>
      </c>
      <c r="F76" s="20">
        <v>10000</v>
      </c>
      <c r="G76" s="19" t="s">
        <v>1098</v>
      </c>
      <c r="H76" s="6">
        <v>50200</v>
      </c>
      <c r="I76" s="6">
        <v>11043</v>
      </c>
      <c r="J76" s="6">
        <v>32</v>
      </c>
    </row>
    <row r="77" spans="1:10" ht="14.25" x14ac:dyDescent="0.15">
      <c r="A77" s="4" t="s">
        <v>13</v>
      </c>
      <c r="B77" s="6">
        <v>2011</v>
      </c>
      <c r="C77" s="6" t="s">
        <v>2069</v>
      </c>
      <c r="D77" s="6" t="s">
        <v>706</v>
      </c>
      <c r="E77" s="6">
        <v>25</v>
      </c>
      <c r="F77" s="20">
        <v>10000</v>
      </c>
      <c r="G77" s="19" t="s">
        <v>1098</v>
      </c>
      <c r="H77" s="6">
        <v>50201</v>
      </c>
      <c r="I77" s="6">
        <v>10022</v>
      </c>
      <c r="J77" s="6">
        <v>32</v>
      </c>
    </row>
    <row r="78" spans="1:10" ht="14.25" x14ac:dyDescent="0.15">
      <c r="A78" s="4" t="s">
        <v>13</v>
      </c>
      <c r="B78" s="6">
        <v>2012</v>
      </c>
      <c r="C78" s="6" t="s">
        <v>2069</v>
      </c>
      <c r="D78" s="6" t="s">
        <v>1446</v>
      </c>
      <c r="E78" s="6">
        <v>5</v>
      </c>
      <c r="F78" s="20">
        <v>10000</v>
      </c>
      <c r="G78" s="19" t="s">
        <v>1098</v>
      </c>
      <c r="H78" s="6">
        <v>50201</v>
      </c>
      <c r="I78" s="6">
        <v>11603</v>
      </c>
      <c r="J78" s="6">
        <v>32</v>
      </c>
    </row>
    <row r="79" spans="1:10" ht="14.25" x14ac:dyDescent="0.15">
      <c r="A79" s="4" t="s">
        <v>13</v>
      </c>
      <c r="B79" s="6">
        <v>2013</v>
      </c>
      <c r="C79" s="6" t="s">
        <v>2069</v>
      </c>
      <c r="D79" s="6" t="s">
        <v>1458</v>
      </c>
      <c r="E79" s="6">
        <v>5</v>
      </c>
      <c r="F79" s="20">
        <v>10000</v>
      </c>
      <c r="G79" s="19" t="s">
        <v>1098</v>
      </c>
      <c r="H79" s="6">
        <v>50201</v>
      </c>
      <c r="I79" s="6">
        <v>11623</v>
      </c>
      <c r="J79" s="6">
        <v>32</v>
      </c>
    </row>
    <row r="80" spans="1:10" x14ac:dyDescent="0.15">
      <c r="A80" s="4" t="s">
        <v>13</v>
      </c>
      <c r="B80" s="6">
        <v>2111</v>
      </c>
      <c r="C80" s="6" t="s">
        <v>2086</v>
      </c>
      <c r="D80" s="6" t="s">
        <v>2057</v>
      </c>
      <c r="E80" s="6">
        <v>10</v>
      </c>
      <c r="F80" s="6">
        <v>10000</v>
      </c>
      <c r="G80" s="6" t="s">
        <v>2085</v>
      </c>
      <c r="H80" s="6">
        <v>50211</v>
      </c>
      <c r="I80" s="6">
        <v>316</v>
      </c>
      <c r="J80" s="6">
        <v>2</v>
      </c>
    </row>
    <row r="81" spans="1:10" ht="14.25" x14ac:dyDescent="0.15">
      <c r="A81" s="4" t="s">
        <v>13</v>
      </c>
      <c r="B81" s="6">
        <v>3001</v>
      </c>
      <c r="C81" s="6" t="s">
        <v>2087</v>
      </c>
      <c r="D81" s="6" t="s">
        <v>2090</v>
      </c>
      <c r="E81" s="6">
        <v>1</v>
      </c>
      <c r="F81" s="6">
        <v>10000</v>
      </c>
      <c r="G81" s="19" t="s">
        <v>1583</v>
      </c>
      <c r="H81" s="6">
        <v>50300</v>
      </c>
      <c r="I81" s="6">
        <v>220500</v>
      </c>
      <c r="J81" s="6">
        <v>19</v>
      </c>
    </row>
    <row r="82" spans="1:10" ht="14.25" x14ac:dyDescent="0.15">
      <c r="A82" s="4" t="s">
        <v>13</v>
      </c>
      <c r="B82" s="6">
        <v>3002</v>
      </c>
      <c r="C82" s="6" t="s">
        <v>2087</v>
      </c>
      <c r="D82" s="6" t="s">
        <v>2091</v>
      </c>
      <c r="E82" s="6">
        <v>1</v>
      </c>
      <c r="F82" s="6">
        <v>10000</v>
      </c>
      <c r="G82" s="19" t="s">
        <v>1583</v>
      </c>
      <c r="H82" s="6">
        <v>50300</v>
      </c>
      <c r="I82" s="6">
        <v>224500</v>
      </c>
      <c r="J82" s="6">
        <v>19</v>
      </c>
    </row>
    <row r="83" spans="1:10" ht="14.25" x14ac:dyDescent="0.15">
      <c r="A83" s="4" t="s">
        <v>13</v>
      </c>
      <c r="B83" s="6">
        <v>3003</v>
      </c>
      <c r="C83" s="6" t="s">
        <v>2087</v>
      </c>
      <c r="D83" s="6" t="s">
        <v>2092</v>
      </c>
      <c r="E83" s="6">
        <v>1</v>
      </c>
      <c r="F83" s="6">
        <v>10000</v>
      </c>
      <c r="G83" s="19" t="s">
        <v>1583</v>
      </c>
      <c r="H83" s="6">
        <v>50300</v>
      </c>
      <c r="I83" s="6">
        <v>228500</v>
      </c>
      <c r="J83" s="6">
        <v>19</v>
      </c>
    </row>
    <row r="84" spans="1:10" ht="14.25" x14ac:dyDescent="0.15">
      <c r="A84" s="4" t="s">
        <v>13</v>
      </c>
      <c r="B84" s="6">
        <v>3004</v>
      </c>
      <c r="C84" s="6" t="s">
        <v>2087</v>
      </c>
      <c r="D84" s="6" t="s">
        <v>2093</v>
      </c>
      <c r="E84" s="6">
        <v>1</v>
      </c>
      <c r="F84" s="6">
        <v>10000</v>
      </c>
      <c r="G84" s="19" t="s">
        <v>1583</v>
      </c>
      <c r="H84" s="6">
        <v>50300</v>
      </c>
      <c r="I84" s="6">
        <v>222510</v>
      </c>
      <c r="J84" s="6">
        <v>19</v>
      </c>
    </row>
    <row r="85" spans="1:10" ht="14.25" x14ac:dyDescent="0.15">
      <c r="A85" s="4" t="s">
        <v>13</v>
      </c>
      <c r="B85" s="6">
        <v>3005</v>
      </c>
      <c r="C85" s="6" t="s">
        <v>2087</v>
      </c>
      <c r="D85" s="6" t="s">
        <v>2094</v>
      </c>
      <c r="E85" s="6">
        <v>1</v>
      </c>
      <c r="F85" s="6">
        <v>10000</v>
      </c>
      <c r="G85" s="19" t="s">
        <v>1583</v>
      </c>
      <c r="H85" s="6">
        <v>50300</v>
      </c>
      <c r="I85" s="6">
        <v>226500</v>
      </c>
      <c r="J85" s="6">
        <v>19</v>
      </c>
    </row>
    <row r="86" spans="1:10" ht="14.25" x14ac:dyDescent="0.15">
      <c r="A86" s="4" t="s">
        <v>13</v>
      </c>
      <c r="B86" s="6">
        <v>3011</v>
      </c>
      <c r="C86" s="6" t="s">
        <v>2095</v>
      </c>
      <c r="D86" s="6" t="s">
        <v>1666</v>
      </c>
      <c r="E86" s="6">
        <v>1</v>
      </c>
      <c r="F86" s="6">
        <v>333</v>
      </c>
      <c r="G86" s="19" t="s">
        <v>1478</v>
      </c>
      <c r="H86" s="6">
        <v>50304</v>
      </c>
      <c r="I86" s="6">
        <v>12001</v>
      </c>
      <c r="J86" s="6">
        <v>32</v>
      </c>
    </row>
    <row r="87" spans="1:10" ht="14.25" x14ac:dyDescent="0.15">
      <c r="A87" s="4" t="s">
        <v>13</v>
      </c>
      <c r="B87" s="6">
        <v>3012</v>
      </c>
      <c r="C87" s="6" t="s">
        <v>2095</v>
      </c>
      <c r="D87" s="6" t="s">
        <v>2098</v>
      </c>
      <c r="E87" s="6">
        <v>1</v>
      </c>
      <c r="F87" s="6">
        <v>333</v>
      </c>
      <c r="G87" s="19" t="s">
        <v>1478</v>
      </c>
      <c r="H87" s="6">
        <v>50304</v>
      </c>
      <c r="I87" s="6">
        <v>12002</v>
      </c>
      <c r="J87" s="6">
        <v>32</v>
      </c>
    </row>
    <row r="88" spans="1:10" ht="14.25" x14ac:dyDescent="0.15">
      <c r="A88" s="4" t="s">
        <v>13</v>
      </c>
      <c r="B88" s="6">
        <v>3013</v>
      </c>
      <c r="C88" s="6" t="s">
        <v>2095</v>
      </c>
      <c r="D88" s="6" t="s">
        <v>2099</v>
      </c>
      <c r="E88" s="6">
        <v>1</v>
      </c>
      <c r="F88" s="6">
        <v>333</v>
      </c>
      <c r="G88" s="19" t="s">
        <v>1478</v>
      </c>
      <c r="H88" s="6">
        <v>50304</v>
      </c>
      <c r="I88" s="6">
        <v>12003</v>
      </c>
      <c r="J88" s="6">
        <v>32</v>
      </c>
    </row>
    <row r="89" spans="1:10" ht="14.25" x14ac:dyDescent="0.15">
      <c r="A89" s="4" t="s">
        <v>13</v>
      </c>
      <c r="B89" s="6">
        <v>3014</v>
      </c>
      <c r="C89" s="6" t="s">
        <v>2095</v>
      </c>
      <c r="D89" s="6" t="s">
        <v>1667</v>
      </c>
      <c r="E89" s="6">
        <v>1</v>
      </c>
      <c r="F89" s="6">
        <v>333</v>
      </c>
      <c r="G89" s="19" t="s">
        <v>1478</v>
      </c>
      <c r="H89" s="6">
        <v>50304</v>
      </c>
      <c r="I89" s="6">
        <v>12004</v>
      </c>
      <c r="J89" s="6">
        <v>32</v>
      </c>
    </row>
    <row r="90" spans="1:10" ht="14.25" x14ac:dyDescent="0.15">
      <c r="A90" s="4" t="s">
        <v>13</v>
      </c>
      <c r="B90" s="6">
        <v>3015</v>
      </c>
      <c r="C90" s="6" t="s">
        <v>2095</v>
      </c>
      <c r="D90" s="6" t="s">
        <v>2100</v>
      </c>
      <c r="E90" s="6">
        <v>1</v>
      </c>
      <c r="F90" s="6">
        <v>333</v>
      </c>
      <c r="G90" s="19" t="s">
        <v>1478</v>
      </c>
      <c r="H90" s="6">
        <v>50304</v>
      </c>
      <c r="I90" s="6">
        <v>12005</v>
      </c>
      <c r="J90" s="6">
        <v>32</v>
      </c>
    </row>
    <row r="91" spans="1:10" ht="14.25" x14ac:dyDescent="0.15">
      <c r="A91" s="4" t="s">
        <v>13</v>
      </c>
      <c r="B91" s="6">
        <v>3016</v>
      </c>
      <c r="C91" s="6" t="s">
        <v>2095</v>
      </c>
      <c r="D91" s="6" t="s">
        <v>2101</v>
      </c>
      <c r="E91" s="6">
        <v>1</v>
      </c>
      <c r="F91" s="6">
        <v>333</v>
      </c>
      <c r="G91" s="19" t="s">
        <v>1478</v>
      </c>
      <c r="H91" s="6">
        <v>50304</v>
      </c>
      <c r="I91" s="6">
        <v>12006</v>
      </c>
      <c r="J91" s="6">
        <v>32</v>
      </c>
    </row>
    <row r="92" spans="1:10" ht="14.25" x14ac:dyDescent="0.15">
      <c r="A92" s="4" t="s">
        <v>13</v>
      </c>
      <c r="B92" s="6">
        <v>3017</v>
      </c>
      <c r="C92" s="6" t="s">
        <v>2095</v>
      </c>
      <c r="D92" s="6" t="s">
        <v>1668</v>
      </c>
      <c r="E92" s="6">
        <v>1</v>
      </c>
      <c r="F92" s="6">
        <v>333</v>
      </c>
      <c r="G92" s="19" t="s">
        <v>1478</v>
      </c>
      <c r="H92" s="6">
        <v>50304</v>
      </c>
      <c r="I92" s="6">
        <v>12021</v>
      </c>
      <c r="J92" s="6">
        <v>32</v>
      </c>
    </row>
    <row r="93" spans="1:10" ht="14.25" x14ac:dyDescent="0.15">
      <c r="A93" s="4" t="s">
        <v>13</v>
      </c>
      <c r="B93" s="6">
        <v>3018</v>
      </c>
      <c r="C93" s="6" t="s">
        <v>2095</v>
      </c>
      <c r="D93" s="6" t="s">
        <v>1669</v>
      </c>
      <c r="E93" s="6">
        <v>1</v>
      </c>
      <c r="F93" s="6">
        <v>333</v>
      </c>
      <c r="G93" s="19" t="s">
        <v>1478</v>
      </c>
      <c r="H93" s="6">
        <v>50304</v>
      </c>
      <c r="I93" s="6">
        <v>12022</v>
      </c>
      <c r="J93" s="6">
        <v>32</v>
      </c>
    </row>
    <row r="94" spans="1:10" ht="14.25" x14ac:dyDescent="0.15">
      <c r="A94" s="4" t="s">
        <v>13</v>
      </c>
      <c r="B94" s="6">
        <v>3019</v>
      </c>
      <c r="C94" s="6" t="s">
        <v>2095</v>
      </c>
      <c r="D94" s="6" t="s">
        <v>1670</v>
      </c>
      <c r="E94" s="6">
        <v>1</v>
      </c>
      <c r="F94" s="6">
        <v>333</v>
      </c>
      <c r="G94" s="19" t="s">
        <v>1478</v>
      </c>
      <c r="H94" s="6">
        <v>50304</v>
      </c>
      <c r="I94" s="6">
        <v>12023</v>
      </c>
      <c r="J94" s="6">
        <v>32</v>
      </c>
    </row>
    <row r="95" spans="1:10" ht="14.25" x14ac:dyDescent="0.15">
      <c r="A95" s="4" t="s">
        <v>13</v>
      </c>
      <c r="B95" s="6">
        <v>3020</v>
      </c>
      <c r="C95" s="6" t="s">
        <v>2095</v>
      </c>
      <c r="D95" s="6" t="s">
        <v>1671</v>
      </c>
      <c r="E95" s="6">
        <v>1</v>
      </c>
      <c r="F95" s="6">
        <v>333</v>
      </c>
      <c r="G95" s="19" t="s">
        <v>1478</v>
      </c>
      <c r="H95" s="6">
        <v>50304</v>
      </c>
      <c r="I95" s="6">
        <v>12024</v>
      </c>
      <c r="J95" s="6">
        <v>32</v>
      </c>
    </row>
    <row r="96" spans="1:10" ht="14.25" x14ac:dyDescent="0.15">
      <c r="A96" s="4" t="s">
        <v>13</v>
      </c>
      <c r="B96" s="6">
        <v>3021</v>
      </c>
      <c r="C96" s="6" t="s">
        <v>2095</v>
      </c>
      <c r="D96" s="6" t="s">
        <v>1672</v>
      </c>
      <c r="E96" s="6">
        <v>1</v>
      </c>
      <c r="F96" s="6">
        <v>333</v>
      </c>
      <c r="G96" s="19" t="s">
        <v>1478</v>
      </c>
      <c r="H96" s="6">
        <v>50304</v>
      </c>
      <c r="I96" s="6">
        <v>12025</v>
      </c>
      <c r="J96" s="6">
        <v>32</v>
      </c>
    </row>
    <row r="97" spans="1:10" ht="14.25" x14ac:dyDescent="0.15">
      <c r="A97" s="4" t="s">
        <v>13</v>
      </c>
      <c r="B97" s="6">
        <v>3022</v>
      </c>
      <c r="C97" s="6" t="s">
        <v>2095</v>
      </c>
      <c r="D97" s="6" t="s">
        <v>1673</v>
      </c>
      <c r="E97" s="6">
        <v>1</v>
      </c>
      <c r="F97" s="6">
        <v>333</v>
      </c>
      <c r="G97" s="19" t="s">
        <v>1478</v>
      </c>
      <c r="H97" s="6">
        <v>50304</v>
      </c>
      <c r="I97" s="6">
        <v>12026</v>
      </c>
      <c r="J97" s="6">
        <v>32</v>
      </c>
    </row>
    <row r="98" spans="1:10" ht="14.25" x14ac:dyDescent="0.15">
      <c r="A98" s="4" t="s">
        <v>13</v>
      </c>
      <c r="B98" s="6">
        <v>3023</v>
      </c>
      <c r="C98" s="6" t="s">
        <v>2095</v>
      </c>
      <c r="D98" s="6" t="s">
        <v>2102</v>
      </c>
      <c r="E98" s="6">
        <v>1</v>
      </c>
      <c r="F98" s="6">
        <v>333</v>
      </c>
      <c r="G98" s="19" t="s">
        <v>1478</v>
      </c>
      <c r="H98" s="6">
        <v>50304</v>
      </c>
      <c r="I98" s="6">
        <v>12041</v>
      </c>
      <c r="J98" s="6">
        <v>32</v>
      </c>
    </row>
    <row r="99" spans="1:10" ht="14.25" x14ac:dyDescent="0.15">
      <c r="A99" s="4" t="s">
        <v>13</v>
      </c>
      <c r="B99" s="6">
        <v>3024</v>
      </c>
      <c r="C99" s="6" t="s">
        <v>2095</v>
      </c>
      <c r="D99" s="6" t="s">
        <v>2103</v>
      </c>
      <c r="E99" s="6">
        <v>1</v>
      </c>
      <c r="F99" s="6">
        <v>333</v>
      </c>
      <c r="G99" s="19" t="s">
        <v>1478</v>
      </c>
      <c r="H99" s="6">
        <v>50304</v>
      </c>
      <c r="I99" s="6">
        <v>12042</v>
      </c>
      <c r="J99" s="6">
        <v>32</v>
      </c>
    </row>
    <row r="100" spans="1:10" ht="14.25" x14ac:dyDescent="0.15">
      <c r="A100" s="4" t="s">
        <v>13</v>
      </c>
      <c r="B100" s="6">
        <v>3025</v>
      </c>
      <c r="C100" s="6" t="s">
        <v>2095</v>
      </c>
      <c r="D100" s="6" t="s">
        <v>2104</v>
      </c>
      <c r="E100" s="6">
        <v>1</v>
      </c>
      <c r="F100" s="6">
        <v>333</v>
      </c>
      <c r="G100" s="19" t="s">
        <v>1478</v>
      </c>
      <c r="H100" s="6">
        <v>50304</v>
      </c>
      <c r="I100" s="6">
        <v>12043</v>
      </c>
      <c r="J100" s="6">
        <v>32</v>
      </c>
    </row>
    <row r="101" spans="1:10" ht="14.25" x14ac:dyDescent="0.15">
      <c r="A101" s="4" t="s">
        <v>13</v>
      </c>
      <c r="B101" s="6">
        <v>3026</v>
      </c>
      <c r="C101" s="6" t="s">
        <v>2095</v>
      </c>
      <c r="D101" s="6" t="s">
        <v>1674</v>
      </c>
      <c r="E101" s="6">
        <v>1</v>
      </c>
      <c r="F101" s="6">
        <v>333</v>
      </c>
      <c r="G101" s="19" t="s">
        <v>1478</v>
      </c>
      <c r="H101" s="6">
        <v>50304</v>
      </c>
      <c r="I101" s="6">
        <v>12044</v>
      </c>
      <c r="J101" s="6">
        <v>32</v>
      </c>
    </row>
    <row r="102" spans="1:10" ht="14.25" x14ac:dyDescent="0.15">
      <c r="A102" s="4" t="s">
        <v>13</v>
      </c>
      <c r="B102" s="6">
        <v>3027</v>
      </c>
      <c r="C102" s="6" t="s">
        <v>2095</v>
      </c>
      <c r="D102" s="6" t="s">
        <v>2105</v>
      </c>
      <c r="E102" s="6">
        <v>1</v>
      </c>
      <c r="F102" s="6">
        <v>333</v>
      </c>
      <c r="G102" s="19" t="s">
        <v>1478</v>
      </c>
      <c r="H102" s="6">
        <v>50304</v>
      </c>
      <c r="I102" s="6">
        <v>12045</v>
      </c>
      <c r="J102" s="6">
        <v>32</v>
      </c>
    </row>
    <row r="103" spans="1:10" ht="14.25" x14ac:dyDescent="0.15">
      <c r="A103" s="4" t="s">
        <v>13</v>
      </c>
      <c r="B103" s="6">
        <v>3028</v>
      </c>
      <c r="C103" s="6" t="s">
        <v>2095</v>
      </c>
      <c r="D103" s="6" t="s">
        <v>2106</v>
      </c>
      <c r="E103" s="6">
        <v>1</v>
      </c>
      <c r="F103" s="6">
        <v>333</v>
      </c>
      <c r="G103" s="19" t="s">
        <v>1478</v>
      </c>
      <c r="H103" s="6">
        <v>50304</v>
      </c>
      <c r="I103" s="6">
        <v>12046</v>
      </c>
      <c r="J103" s="6">
        <v>32</v>
      </c>
    </row>
    <row r="104" spans="1:10" ht="14.25" x14ac:dyDescent="0.15">
      <c r="A104" s="4" t="s">
        <v>13</v>
      </c>
      <c r="B104" s="6">
        <v>3029</v>
      </c>
      <c r="C104" s="6" t="s">
        <v>2095</v>
      </c>
      <c r="D104" s="6" t="s">
        <v>1675</v>
      </c>
      <c r="E104" s="6">
        <v>1</v>
      </c>
      <c r="F104" s="6">
        <v>333</v>
      </c>
      <c r="G104" s="19" t="s">
        <v>1478</v>
      </c>
      <c r="H104" s="6">
        <v>50304</v>
      </c>
      <c r="I104" s="6">
        <v>12061</v>
      </c>
      <c r="J104" s="6">
        <v>32</v>
      </c>
    </row>
    <row r="105" spans="1:10" ht="14.25" x14ac:dyDescent="0.15">
      <c r="A105" s="4" t="s">
        <v>13</v>
      </c>
      <c r="B105" s="6">
        <v>3030</v>
      </c>
      <c r="C105" s="6" t="s">
        <v>2095</v>
      </c>
      <c r="D105" s="6" t="s">
        <v>1676</v>
      </c>
      <c r="E105" s="6">
        <v>1</v>
      </c>
      <c r="F105" s="6">
        <v>333</v>
      </c>
      <c r="G105" s="19" t="s">
        <v>1478</v>
      </c>
      <c r="H105" s="6">
        <v>50304</v>
      </c>
      <c r="I105" s="6">
        <v>12062</v>
      </c>
      <c r="J105" s="6">
        <v>32</v>
      </c>
    </row>
    <row r="106" spans="1:10" ht="14.25" x14ac:dyDescent="0.15">
      <c r="A106" s="4" t="s">
        <v>13</v>
      </c>
      <c r="B106" s="6">
        <v>3031</v>
      </c>
      <c r="C106" s="6" t="s">
        <v>2095</v>
      </c>
      <c r="D106" s="6" t="s">
        <v>1677</v>
      </c>
      <c r="E106" s="6">
        <v>1</v>
      </c>
      <c r="F106" s="6">
        <v>333</v>
      </c>
      <c r="G106" s="19" t="s">
        <v>1478</v>
      </c>
      <c r="H106" s="6">
        <v>50304</v>
      </c>
      <c r="I106" s="6">
        <v>12063</v>
      </c>
      <c r="J106" s="6">
        <v>32</v>
      </c>
    </row>
    <row r="107" spans="1:10" ht="14.25" x14ac:dyDescent="0.15">
      <c r="A107" s="4" t="s">
        <v>13</v>
      </c>
      <c r="B107" s="6">
        <v>3032</v>
      </c>
      <c r="C107" s="6" t="s">
        <v>2095</v>
      </c>
      <c r="D107" s="6" t="s">
        <v>1678</v>
      </c>
      <c r="E107" s="6">
        <v>1</v>
      </c>
      <c r="F107" s="6">
        <v>333</v>
      </c>
      <c r="G107" s="19" t="s">
        <v>1478</v>
      </c>
      <c r="H107" s="6">
        <v>50304</v>
      </c>
      <c r="I107" s="6">
        <v>12064</v>
      </c>
      <c r="J107" s="6">
        <v>32</v>
      </c>
    </row>
    <row r="108" spans="1:10" ht="14.25" x14ac:dyDescent="0.15">
      <c r="A108" s="4" t="s">
        <v>13</v>
      </c>
      <c r="B108" s="6">
        <v>3033</v>
      </c>
      <c r="C108" s="6" t="s">
        <v>2095</v>
      </c>
      <c r="D108" s="6" t="s">
        <v>1679</v>
      </c>
      <c r="E108" s="6">
        <v>1</v>
      </c>
      <c r="F108" s="6">
        <v>333</v>
      </c>
      <c r="G108" s="19" t="s">
        <v>1478</v>
      </c>
      <c r="H108" s="6">
        <v>50304</v>
      </c>
      <c r="I108" s="6">
        <v>12065</v>
      </c>
      <c r="J108" s="6">
        <v>32</v>
      </c>
    </row>
    <row r="109" spans="1:10" ht="14.25" x14ac:dyDescent="0.15">
      <c r="A109" s="4" t="s">
        <v>13</v>
      </c>
      <c r="B109" s="6">
        <v>3034</v>
      </c>
      <c r="C109" s="6" t="s">
        <v>2095</v>
      </c>
      <c r="D109" s="6" t="s">
        <v>1680</v>
      </c>
      <c r="E109" s="6">
        <v>1</v>
      </c>
      <c r="F109" s="6">
        <v>333</v>
      </c>
      <c r="G109" s="19" t="s">
        <v>1478</v>
      </c>
      <c r="H109" s="6">
        <v>50304</v>
      </c>
      <c r="I109" s="6">
        <v>12066</v>
      </c>
      <c r="J109" s="6">
        <v>32</v>
      </c>
    </row>
    <row r="110" spans="1:10" ht="14.25" x14ac:dyDescent="0.15">
      <c r="A110" s="4" t="s">
        <v>13</v>
      </c>
      <c r="B110" s="6">
        <v>3035</v>
      </c>
      <c r="C110" s="6" t="s">
        <v>2095</v>
      </c>
      <c r="D110" s="6" t="s">
        <v>2107</v>
      </c>
      <c r="E110" s="6">
        <v>1</v>
      </c>
      <c r="F110" s="6">
        <v>333</v>
      </c>
      <c r="G110" s="19" t="s">
        <v>1478</v>
      </c>
      <c r="H110" s="6">
        <v>50304</v>
      </c>
      <c r="I110" s="6">
        <v>12081</v>
      </c>
      <c r="J110" s="6">
        <v>32</v>
      </c>
    </row>
    <row r="111" spans="1:10" ht="14.25" x14ac:dyDescent="0.15">
      <c r="A111" s="4" t="s">
        <v>13</v>
      </c>
      <c r="B111" s="6">
        <v>3036</v>
      </c>
      <c r="C111" s="6" t="s">
        <v>2095</v>
      </c>
      <c r="D111" s="6" t="s">
        <v>2108</v>
      </c>
      <c r="E111" s="6">
        <v>1</v>
      </c>
      <c r="F111" s="6">
        <v>333</v>
      </c>
      <c r="G111" s="19" t="s">
        <v>1478</v>
      </c>
      <c r="H111" s="6">
        <v>50304</v>
      </c>
      <c r="I111" s="6">
        <v>12082</v>
      </c>
      <c r="J111" s="6">
        <v>32</v>
      </c>
    </row>
    <row r="112" spans="1:10" ht="14.25" x14ac:dyDescent="0.15">
      <c r="A112" s="4" t="s">
        <v>13</v>
      </c>
      <c r="B112" s="6">
        <v>3037</v>
      </c>
      <c r="C112" s="6" t="s">
        <v>2095</v>
      </c>
      <c r="D112" s="6" t="s">
        <v>2109</v>
      </c>
      <c r="E112" s="6">
        <v>1</v>
      </c>
      <c r="F112" s="6">
        <v>333</v>
      </c>
      <c r="G112" s="19" t="s">
        <v>1478</v>
      </c>
      <c r="H112" s="6">
        <v>50304</v>
      </c>
      <c r="I112" s="6">
        <v>12083</v>
      </c>
      <c r="J112" s="6">
        <v>32</v>
      </c>
    </row>
    <row r="113" spans="1:10" ht="14.25" x14ac:dyDescent="0.15">
      <c r="A113" s="4" t="s">
        <v>13</v>
      </c>
      <c r="B113" s="6">
        <v>3038</v>
      </c>
      <c r="C113" s="6" t="s">
        <v>2095</v>
      </c>
      <c r="D113" s="6" t="s">
        <v>2110</v>
      </c>
      <c r="E113" s="6">
        <v>1</v>
      </c>
      <c r="F113" s="6">
        <v>333</v>
      </c>
      <c r="G113" s="19" t="s">
        <v>1478</v>
      </c>
      <c r="H113" s="6">
        <v>50304</v>
      </c>
      <c r="I113" s="6">
        <v>12084</v>
      </c>
      <c r="J113" s="6">
        <v>32</v>
      </c>
    </row>
    <row r="114" spans="1:10" ht="14.25" x14ac:dyDescent="0.15">
      <c r="A114" s="4" t="s">
        <v>13</v>
      </c>
      <c r="B114" s="6">
        <v>3039</v>
      </c>
      <c r="C114" s="6" t="s">
        <v>2095</v>
      </c>
      <c r="D114" s="6" t="s">
        <v>2111</v>
      </c>
      <c r="E114" s="6">
        <v>1</v>
      </c>
      <c r="F114" s="6">
        <v>333</v>
      </c>
      <c r="G114" s="19" t="s">
        <v>1478</v>
      </c>
      <c r="H114" s="6">
        <v>50304</v>
      </c>
      <c r="I114" s="6">
        <v>12085</v>
      </c>
      <c r="J114" s="6">
        <v>32</v>
      </c>
    </row>
    <row r="115" spans="1:10" ht="14.25" x14ac:dyDescent="0.15">
      <c r="A115" s="4" t="s">
        <v>13</v>
      </c>
      <c r="B115" s="6">
        <v>3040</v>
      </c>
      <c r="C115" s="6" t="s">
        <v>2095</v>
      </c>
      <c r="D115" s="6" t="s">
        <v>2112</v>
      </c>
      <c r="E115" s="6">
        <v>1</v>
      </c>
      <c r="F115" s="6">
        <v>334</v>
      </c>
      <c r="G115" s="19" t="s">
        <v>1478</v>
      </c>
      <c r="H115" s="6">
        <v>50304</v>
      </c>
      <c r="I115" s="6">
        <v>12086</v>
      </c>
      <c r="J115" s="6">
        <v>32</v>
      </c>
    </row>
  </sheetData>
  <phoneticPr fontId="26" type="noConversion"/>
  <conditionalFormatting sqref="H40">
    <cfRule type="duplicateValues" dxfId="5" priority="4"/>
  </conditionalFormatting>
  <conditionalFormatting sqref="H41">
    <cfRule type="duplicateValues" dxfId="4" priority="3"/>
  </conditionalFormatting>
  <conditionalFormatting sqref="H42:H56 H58:H59">
    <cfRule type="duplicateValues" dxfId="3" priority="2"/>
  </conditionalFormatting>
  <conditionalFormatting sqref="H57">
    <cfRule type="duplicateValues" dxfId="2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5"/>
  <sheetViews>
    <sheetView workbookViewId="0">
      <selection activeCell="D30" sqref="D30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5" width="22.75" style="6" bestFit="1" customWidth="1"/>
    <col min="6" max="6" width="12.25" style="6" customWidth="1"/>
    <col min="7" max="7" width="9" style="4"/>
    <col min="8" max="8" width="13.125" style="6" bestFit="1" customWidth="1"/>
    <col min="9" max="16384" width="9" style="4"/>
  </cols>
  <sheetData>
    <row r="1" spans="1:8" s="1" customFormat="1" x14ac:dyDescent="0.15">
      <c r="A1" s="5" t="s">
        <v>66</v>
      </c>
      <c r="D1" s="1" t="s">
        <v>8</v>
      </c>
      <c r="E1" s="1" t="s">
        <v>8</v>
      </c>
    </row>
    <row r="2" spans="1:8" s="1" customFormat="1" x14ac:dyDescent="0.15">
      <c r="A2" s="5" t="s">
        <v>142</v>
      </c>
      <c r="B2" s="1" t="s">
        <v>8</v>
      </c>
      <c r="C2" s="1" t="s">
        <v>8</v>
      </c>
      <c r="D2" s="1" t="s">
        <v>8</v>
      </c>
      <c r="E2" s="1" t="s">
        <v>8</v>
      </c>
    </row>
    <row r="3" spans="1:8" s="2" customFormat="1" ht="14.25" x14ac:dyDescent="0.15">
      <c r="A3" s="16" t="s">
        <v>8</v>
      </c>
      <c r="B3" s="16" t="s">
        <v>9</v>
      </c>
      <c r="C3" s="16" t="s">
        <v>18</v>
      </c>
      <c r="D3" s="16" t="s">
        <v>143</v>
      </c>
      <c r="E3" s="16" t="s">
        <v>143</v>
      </c>
      <c r="F3" s="16"/>
    </row>
    <row r="4" spans="1:8" s="2" customFormat="1" ht="14.25" x14ac:dyDescent="0.15">
      <c r="A4" s="16"/>
      <c r="B4" s="16" t="s">
        <v>12</v>
      </c>
      <c r="C4" s="16" t="s">
        <v>129</v>
      </c>
      <c r="D4" s="16" t="s">
        <v>136</v>
      </c>
      <c r="E4" s="16" t="s">
        <v>144</v>
      </c>
      <c r="F4" s="16"/>
    </row>
    <row r="5" spans="1:8" s="2" customFormat="1" ht="14.25" x14ac:dyDescent="0.15">
      <c r="A5" s="16"/>
      <c r="B5" s="16" t="str">
        <f>IF(B3="","",IF(B3="INT","i",IF(B3="FLOAT","f",IF(B3="STRING","s"))))</f>
        <v>i</v>
      </c>
      <c r="C5" s="16" t="s">
        <v>25</v>
      </c>
      <c r="D5" s="16" t="str">
        <f>IF(D3="","",IF(D3="INT","i",IF(D3="FLOAT","f",IF(D3="STRING","s"))))</f>
        <v>s</v>
      </c>
      <c r="E5" s="16" t="str">
        <f>IF(E3="","",IF(E3="INT","i",IF(E3="FLOAT","f",IF(E3="STRING","s"))))</f>
        <v>s</v>
      </c>
      <c r="F5" s="16"/>
    </row>
    <row r="6" spans="1:8" s="2" customFormat="1" ht="14.25" x14ac:dyDescent="0.15">
      <c r="A6" s="16" t="s">
        <v>8</v>
      </c>
      <c r="B6" s="16" t="str">
        <f>B5&amp;B4</f>
        <v>iID</v>
      </c>
      <c r="C6" s="16" t="str">
        <f>C5&amp;C4</f>
        <v>iItemLevel</v>
      </c>
      <c r="D6" s="16" t="str">
        <f>D5&amp;D4</f>
        <v>sQualityName</v>
      </c>
      <c r="E6" s="16" t="str">
        <f>E5&amp;E4</f>
        <v>sQualityName1</v>
      </c>
      <c r="F6" s="16"/>
    </row>
    <row r="7" spans="1:8" s="3" customFormat="1" ht="14.25" x14ac:dyDescent="0.15">
      <c r="A7" s="16"/>
      <c r="B7" s="16" t="s">
        <v>28</v>
      </c>
      <c r="C7" s="16" t="s">
        <v>130</v>
      </c>
      <c r="D7" s="16" t="s">
        <v>137</v>
      </c>
      <c r="E7" s="16" t="s">
        <v>145</v>
      </c>
      <c r="F7" s="16"/>
      <c r="H7" s="2"/>
    </row>
    <row r="8" spans="1:8" s="3" customFormat="1" ht="27.6" customHeight="1" x14ac:dyDescent="0.15">
      <c r="A8" s="16" t="s">
        <v>11</v>
      </c>
      <c r="B8" s="16" t="e">
        <f>MODE(B9:B773)</f>
        <v>#N/A</v>
      </c>
      <c r="C8" s="16">
        <v>0</v>
      </c>
      <c r="D8" s="16"/>
      <c r="E8" s="16"/>
      <c r="F8" s="16"/>
      <c r="H8" s="2"/>
    </row>
    <row r="9" spans="1:8" ht="14.25" x14ac:dyDescent="0.15">
      <c r="A9" s="17" t="s">
        <v>8</v>
      </c>
      <c r="B9" s="18">
        <v>1</v>
      </c>
      <c r="C9" s="18">
        <v>1</v>
      </c>
      <c r="D9" s="20" t="s">
        <v>131</v>
      </c>
      <c r="E9" s="20" t="s">
        <v>148</v>
      </c>
      <c r="F9" s="20"/>
    </row>
    <row r="10" spans="1:8" ht="14.25" x14ac:dyDescent="0.15">
      <c r="A10" s="17" t="s">
        <v>8</v>
      </c>
      <c r="B10" s="18">
        <v>2</v>
      </c>
      <c r="C10" s="18">
        <v>2</v>
      </c>
      <c r="D10" s="20" t="s">
        <v>132</v>
      </c>
      <c r="E10" s="20" t="s">
        <v>147</v>
      </c>
      <c r="F10" s="20"/>
    </row>
    <row r="11" spans="1:8" ht="14.25" x14ac:dyDescent="0.15">
      <c r="A11" s="4" t="s">
        <v>13</v>
      </c>
      <c r="B11" s="18">
        <v>3</v>
      </c>
      <c r="C11" s="18">
        <v>3</v>
      </c>
      <c r="D11" s="20" t="s">
        <v>133</v>
      </c>
      <c r="E11" s="20" t="s">
        <v>139</v>
      </c>
      <c r="F11" s="20"/>
    </row>
    <row r="12" spans="1:8" ht="14.25" x14ac:dyDescent="0.15">
      <c r="A12" s="4" t="s">
        <v>13</v>
      </c>
      <c r="B12" s="18">
        <v>4</v>
      </c>
      <c r="C12" s="18">
        <v>4</v>
      </c>
      <c r="D12" s="20" t="s">
        <v>134</v>
      </c>
      <c r="E12" s="20" t="s">
        <v>138</v>
      </c>
      <c r="F12" s="20"/>
    </row>
    <row r="13" spans="1:8" ht="14.25" x14ac:dyDescent="0.15">
      <c r="A13" s="4" t="s">
        <v>13</v>
      </c>
      <c r="B13" s="18">
        <v>5</v>
      </c>
      <c r="C13" s="18">
        <v>5</v>
      </c>
      <c r="D13" s="20" t="s">
        <v>135</v>
      </c>
      <c r="E13" s="20" t="s">
        <v>146</v>
      </c>
      <c r="F13" s="20"/>
    </row>
    <row r="14" spans="1:8" ht="14.25" x14ac:dyDescent="0.15">
      <c r="D14" s="19"/>
      <c r="E14" s="19"/>
    </row>
    <row r="15" spans="1:8" ht="14.25" x14ac:dyDescent="0.15">
      <c r="D15" s="19"/>
      <c r="E15" s="19"/>
    </row>
    <row r="16" spans="1:8" ht="14.25" x14ac:dyDescent="0.15">
      <c r="D16" s="19"/>
      <c r="E16" s="19"/>
    </row>
    <row r="17" spans="4:5" ht="14.25" x14ac:dyDescent="0.15">
      <c r="D17" s="19"/>
      <c r="E17" s="19"/>
    </row>
    <row r="18" spans="4:5" ht="14.25" x14ac:dyDescent="0.15">
      <c r="D18" s="19"/>
      <c r="E18" s="19"/>
    </row>
    <row r="19" spans="4:5" ht="14.25" x14ac:dyDescent="0.15">
      <c r="D19" s="19"/>
      <c r="E19" s="19"/>
    </row>
    <row r="20" spans="4:5" ht="14.25" x14ac:dyDescent="0.15">
      <c r="D20" s="19"/>
      <c r="E20" s="19"/>
    </row>
    <row r="21" spans="4:5" x14ac:dyDescent="0.15">
      <c r="D21"/>
      <c r="E21"/>
    </row>
    <row r="22" spans="4:5" x14ac:dyDescent="0.15">
      <c r="D22"/>
      <c r="E22"/>
    </row>
    <row r="23" spans="4:5" x14ac:dyDescent="0.15">
      <c r="D23"/>
      <c r="E23"/>
    </row>
    <row r="24" spans="4:5" x14ac:dyDescent="0.15">
      <c r="D24"/>
      <c r="E24"/>
    </row>
    <row r="25" spans="4:5" x14ac:dyDescent="0.15">
      <c r="D25"/>
      <c r="E25"/>
    </row>
    <row r="26" spans="4:5" x14ac:dyDescent="0.15">
      <c r="D26"/>
      <c r="E26"/>
    </row>
    <row r="27" spans="4:5" x14ac:dyDescent="0.15">
      <c r="D27"/>
      <c r="E27"/>
    </row>
    <row r="28" spans="4:5" x14ac:dyDescent="0.15">
      <c r="D28"/>
      <c r="E28"/>
    </row>
    <row r="29" spans="4:5" x14ac:dyDescent="0.15">
      <c r="D29"/>
      <c r="E29"/>
    </row>
    <row r="30" spans="4:5" x14ac:dyDescent="0.15">
      <c r="D30"/>
      <c r="E30"/>
    </row>
    <row r="31" spans="4:5" x14ac:dyDescent="0.15">
      <c r="D31"/>
      <c r="E31"/>
    </row>
    <row r="32" spans="4:5" x14ac:dyDescent="0.15">
      <c r="D32"/>
      <c r="E32"/>
    </row>
    <row r="33" spans="4:5" x14ac:dyDescent="0.15">
      <c r="D33"/>
      <c r="E33"/>
    </row>
    <row r="34" spans="4:5" x14ac:dyDescent="0.15">
      <c r="D34"/>
      <c r="E34"/>
    </row>
    <row r="35" spans="4:5" x14ac:dyDescent="0.15">
      <c r="D35"/>
      <c r="E35"/>
    </row>
    <row r="36" spans="4:5" x14ac:dyDescent="0.15">
      <c r="D36"/>
      <c r="E36"/>
    </row>
    <row r="37" spans="4:5" x14ac:dyDescent="0.15">
      <c r="D37"/>
      <c r="E37"/>
    </row>
    <row r="38" spans="4:5" x14ac:dyDescent="0.15">
      <c r="D38"/>
      <c r="E38"/>
    </row>
    <row r="39" spans="4:5" x14ac:dyDescent="0.15">
      <c r="D39"/>
      <c r="E39"/>
    </row>
    <row r="40" spans="4:5" x14ac:dyDescent="0.15">
      <c r="D40"/>
      <c r="E40"/>
    </row>
    <row r="41" spans="4:5" x14ac:dyDescent="0.15">
      <c r="D41"/>
      <c r="E41"/>
    </row>
    <row r="42" spans="4:5" x14ac:dyDescent="0.15">
      <c r="D42"/>
      <c r="E42"/>
    </row>
    <row r="43" spans="4:5" x14ac:dyDescent="0.15">
      <c r="D43"/>
      <c r="E43"/>
    </row>
    <row r="44" spans="4:5" x14ac:dyDescent="0.15">
      <c r="D44"/>
      <c r="E44"/>
    </row>
    <row r="45" spans="4:5" x14ac:dyDescent="0.15">
      <c r="D45"/>
      <c r="E45"/>
    </row>
    <row r="46" spans="4:5" x14ac:dyDescent="0.15">
      <c r="D46"/>
      <c r="E46"/>
    </row>
    <row r="47" spans="4:5" x14ac:dyDescent="0.15">
      <c r="D47"/>
      <c r="E47"/>
    </row>
    <row r="48" spans="4:5" x14ac:dyDescent="0.15">
      <c r="D48"/>
      <c r="E48"/>
    </row>
    <row r="49" spans="4:5" x14ac:dyDescent="0.15">
      <c r="D49"/>
      <c r="E49"/>
    </row>
    <row r="50" spans="4:5" x14ac:dyDescent="0.15">
      <c r="D50"/>
      <c r="E50"/>
    </row>
    <row r="51" spans="4:5" x14ac:dyDescent="0.15">
      <c r="D51"/>
      <c r="E51"/>
    </row>
    <row r="52" spans="4:5" x14ac:dyDescent="0.15">
      <c r="D52"/>
      <c r="E52"/>
    </row>
    <row r="53" spans="4:5" x14ac:dyDescent="0.15">
      <c r="D53"/>
      <c r="E53"/>
    </row>
    <row r="54" spans="4:5" x14ac:dyDescent="0.15">
      <c r="D54"/>
      <c r="E54"/>
    </row>
    <row r="55" spans="4:5" x14ac:dyDescent="0.15">
      <c r="D55"/>
      <c r="E55"/>
    </row>
    <row r="56" spans="4:5" x14ac:dyDescent="0.15">
      <c r="D56"/>
      <c r="E56"/>
    </row>
    <row r="57" spans="4:5" x14ac:dyDescent="0.15">
      <c r="D57"/>
      <c r="E57"/>
    </row>
    <row r="58" spans="4:5" x14ac:dyDescent="0.15">
      <c r="D58"/>
      <c r="E58"/>
    </row>
    <row r="59" spans="4:5" x14ac:dyDescent="0.15">
      <c r="D59"/>
      <c r="E59"/>
    </row>
    <row r="60" spans="4:5" x14ac:dyDescent="0.15">
      <c r="D60"/>
      <c r="E60"/>
    </row>
    <row r="61" spans="4:5" x14ac:dyDescent="0.15">
      <c r="D61"/>
      <c r="E61"/>
    </row>
    <row r="62" spans="4:5" x14ac:dyDescent="0.15">
      <c r="D62"/>
      <c r="E62"/>
    </row>
    <row r="63" spans="4:5" x14ac:dyDescent="0.15">
      <c r="D63"/>
      <c r="E63"/>
    </row>
    <row r="64" spans="4:5" x14ac:dyDescent="0.15">
      <c r="D64"/>
      <c r="E64"/>
    </row>
    <row r="65" spans="4:5" x14ac:dyDescent="0.15">
      <c r="D65"/>
      <c r="E65"/>
    </row>
    <row r="66" spans="4:5" x14ac:dyDescent="0.15">
      <c r="D66"/>
      <c r="E66"/>
    </row>
    <row r="67" spans="4:5" x14ac:dyDescent="0.15">
      <c r="D67"/>
      <c r="E67"/>
    </row>
    <row r="68" spans="4:5" x14ac:dyDescent="0.15">
      <c r="D68"/>
      <c r="E68"/>
    </row>
    <row r="69" spans="4:5" x14ac:dyDescent="0.15">
      <c r="D69"/>
      <c r="E69"/>
    </row>
    <row r="70" spans="4:5" x14ac:dyDescent="0.15">
      <c r="D70"/>
      <c r="E70"/>
    </row>
    <row r="71" spans="4:5" x14ac:dyDescent="0.15">
      <c r="D71"/>
      <c r="E71"/>
    </row>
    <row r="72" spans="4:5" x14ac:dyDescent="0.15">
      <c r="D72"/>
      <c r="E72"/>
    </row>
    <row r="73" spans="4:5" x14ac:dyDescent="0.15">
      <c r="D73"/>
      <c r="E73"/>
    </row>
    <row r="74" spans="4:5" x14ac:dyDescent="0.15">
      <c r="D74"/>
      <c r="E74"/>
    </row>
    <row r="75" spans="4:5" x14ac:dyDescent="0.15">
      <c r="D75"/>
      <c r="E75"/>
    </row>
    <row r="76" spans="4:5" x14ac:dyDescent="0.15">
      <c r="D76"/>
      <c r="E76"/>
    </row>
    <row r="77" spans="4:5" x14ac:dyDescent="0.15">
      <c r="D77"/>
      <c r="E77"/>
    </row>
    <row r="78" spans="4:5" x14ac:dyDescent="0.15">
      <c r="D78"/>
      <c r="E78"/>
    </row>
    <row r="79" spans="4:5" x14ac:dyDescent="0.15">
      <c r="D79"/>
      <c r="E79"/>
    </row>
    <row r="80" spans="4:5" x14ac:dyDescent="0.15">
      <c r="D80"/>
      <c r="E80"/>
    </row>
    <row r="81" spans="4:5" x14ac:dyDescent="0.15">
      <c r="D81"/>
      <c r="E81"/>
    </row>
    <row r="82" spans="4:5" x14ac:dyDescent="0.15">
      <c r="D82"/>
      <c r="E82"/>
    </row>
    <row r="83" spans="4:5" x14ac:dyDescent="0.15">
      <c r="D83"/>
      <c r="E83"/>
    </row>
    <row r="84" spans="4:5" x14ac:dyDescent="0.15">
      <c r="D84"/>
      <c r="E84"/>
    </row>
    <row r="85" spans="4:5" x14ac:dyDescent="0.15">
      <c r="D85"/>
      <c r="E85"/>
    </row>
    <row r="86" spans="4:5" x14ac:dyDescent="0.15">
      <c r="D86"/>
      <c r="E86"/>
    </row>
    <row r="87" spans="4:5" x14ac:dyDescent="0.15">
      <c r="D87"/>
      <c r="E87"/>
    </row>
    <row r="88" spans="4:5" x14ac:dyDescent="0.15">
      <c r="D88"/>
      <c r="E88"/>
    </row>
    <row r="89" spans="4:5" x14ac:dyDescent="0.15">
      <c r="D89"/>
      <c r="E89"/>
    </row>
    <row r="90" spans="4:5" x14ac:dyDescent="0.15">
      <c r="D90"/>
      <c r="E90"/>
    </row>
    <row r="91" spans="4:5" x14ac:dyDescent="0.15">
      <c r="D91"/>
      <c r="E91"/>
    </row>
    <row r="92" spans="4:5" x14ac:dyDescent="0.15">
      <c r="D92"/>
      <c r="E92"/>
    </row>
    <row r="93" spans="4:5" x14ac:dyDescent="0.15">
      <c r="D93"/>
      <c r="E93"/>
    </row>
    <row r="94" spans="4:5" x14ac:dyDescent="0.15">
      <c r="D94"/>
      <c r="E94"/>
    </row>
    <row r="95" spans="4:5" x14ac:dyDescent="0.15">
      <c r="D95"/>
      <c r="E95"/>
    </row>
    <row r="96" spans="4:5" x14ac:dyDescent="0.15">
      <c r="D96"/>
      <c r="E96"/>
    </row>
    <row r="97" spans="4:5" x14ac:dyDescent="0.15">
      <c r="D97"/>
      <c r="E97"/>
    </row>
    <row r="98" spans="4:5" x14ac:dyDescent="0.15">
      <c r="D98"/>
      <c r="E98"/>
    </row>
    <row r="99" spans="4:5" x14ac:dyDescent="0.15">
      <c r="D99"/>
      <c r="E99"/>
    </row>
    <row r="100" spans="4:5" x14ac:dyDescent="0.15">
      <c r="D100"/>
      <c r="E100"/>
    </row>
    <row r="101" spans="4:5" x14ac:dyDescent="0.15">
      <c r="D101"/>
      <c r="E101"/>
    </row>
    <row r="102" spans="4:5" x14ac:dyDescent="0.15">
      <c r="D102"/>
      <c r="E102"/>
    </row>
    <row r="103" spans="4:5" x14ac:dyDescent="0.15">
      <c r="D103"/>
      <c r="E103"/>
    </row>
    <row r="104" spans="4:5" x14ac:dyDescent="0.15">
      <c r="D104"/>
      <c r="E104"/>
    </row>
    <row r="105" spans="4:5" x14ac:dyDescent="0.15">
      <c r="D105"/>
      <c r="E105"/>
    </row>
    <row r="106" spans="4:5" x14ac:dyDescent="0.15">
      <c r="D106"/>
      <c r="E106"/>
    </row>
    <row r="107" spans="4:5" x14ac:dyDescent="0.15">
      <c r="D107"/>
      <c r="E107"/>
    </row>
    <row r="108" spans="4:5" x14ac:dyDescent="0.15">
      <c r="D108"/>
      <c r="E108"/>
    </row>
    <row r="109" spans="4:5" x14ac:dyDescent="0.15">
      <c r="D109"/>
      <c r="E109"/>
    </row>
    <row r="110" spans="4:5" x14ac:dyDescent="0.15">
      <c r="D110"/>
      <c r="E110"/>
    </row>
    <row r="111" spans="4:5" x14ac:dyDescent="0.15">
      <c r="D111"/>
      <c r="E111"/>
    </row>
    <row r="112" spans="4:5" x14ac:dyDescent="0.15">
      <c r="D112"/>
      <c r="E112"/>
    </row>
    <row r="113" spans="4:5" x14ac:dyDescent="0.15">
      <c r="D113"/>
      <c r="E113"/>
    </row>
    <row r="114" spans="4:5" x14ac:dyDescent="0.15">
      <c r="D114"/>
      <c r="E114"/>
    </row>
    <row r="115" spans="4:5" x14ac:dyDescent="0.15">
      <c r="D115"/>
      <c r="E115"/>
    </row>
    <row r="116" spans="4:5" x14ac:dyDescent="0.15">
      <c r="D116"/>
      <c r="E116"/>
    </row>
    <row r="117" spans="4:5" x14ac:dyDescent="0.15">
      <c r="D117"/>
      <c r="E117"/>
    </row>
    <row r="118" spans="4:5" x14ac:dyDescent="0.15">
      <c r="D118"/>
      <c r="E118"/>
    </row>
    <row r="119" spans="4:5" x14ac:dyDescent="0.15">
      <c r="D119"/>
      <c r="E119"/>
    </row>
    <row r="120" spans="4:5" x14ac:dyDescent="0.15">
      <c r="D120"/>
      <c r="E120"/>
    </row>
    <row r="121" spans="4:5" x14ac:dyDescent="0.15">
      <c r="D121"/>
      <c r="E121"/>
    </row>
    <row r="122" spans="4:5" x14ac:dyDescent="0.15">
      <c r="D122"/>
      <c r="E122"/>
    </row>
    <row r="123" spans="4:5" x14ac:dyDescent="0.15">
      <c r="D123"/>
      <c r="E123"/>
    </row>
    <row r="124" spans="4:5" x14ac:dyDescent="0.15">
      <c r="D124"/>
      <c r="E124"/>
    </row>
    <row r="125" spans="4:5" x14ac:dyDescent="0.15">
      <c r="D125"/>
      <c r="E125"/>
    </row>
    <row r="126" spans="4:5" x14ac:dyDescent="0.15">
      <c r="D126"/>
      <c r="E126"/>
    </row>
    <row r="127" spans="4:5" x14ac:dyDescent="0.15">
      <c r="D127"/>
      <c r="E127"/>
    </row>
    <row r="128" spans="4:5" x14ac:dyDescent="0.15">
      <c r="D128"/>
      <c r="E128"/>
    </row>
    <row r="129" spans="4:5" x14ac:dyDescent="0.15">
      <c r="D129"/>
      <c r="E129"/>
    </row>
    <row r="130" spans="4:5" x14ac:dyDescent="0.15">
      <c r="D130"/>
      <c r="E130"/>
    </row>
    <row r="131" spans="4:5" x14ac:dyDescent="0.15">
      <c r="D131"/>
      <c r="E131"/>
    </row>
    <row r="132" spans="4:5" x14ac:dyDescent="0.15">
      <c r="D132"/>
      <c r="E132"/>
    </row>
    <row r="133" spans="4:5" x14ac:dyDescent="0.15">
      <c r="D133"/>
      <c r="E133"/>
    </row>
    <row r="134" spans="4:5" x14ac:dyDescent="0.15">
      <c r="D134"/>
      <c r="E134"/>
    </row>
    <row r="135" spans="4:5" x14ac:dyDescent="0.15">
      <c r="D135"/>
      <c r="E135"/>
    </row>
    <row r="136" spans="4:5" x14ac:dyDescent="0.15">
      <c r="D136"/>
      <c r="E136"/>
    </row>
    <row r="137" spans="4:5" x14ac:dyDescent="0.15">
      <c r="D137"/>
      <c r="E137"/>
    </row>
    <row r="138" spans="4:5" x14ac:dyDescent="0.15">
      <c r="D138"/>
      <c r="E138"/>
    </row>
    <row r="139" spans="4:5" x14ac:dyDescent="0.15">
      <c r="D139"/>
      <c r="E139"/>
    </row>
    <row r="140" spans="4:5" x14ac:dyDescent="0.15">
      <c r="D140"/>
      <c r="E140"/>
    </row>
    <row r="141" spans="4:5" x14ac:dyDescent="0.15">
      <c r="D141"/>
      <c r="E141"/>
    </row>
    <row r="142" spans="4:5" x14ac:dyDescent="0.15">
      <c r="D142"/>
      <c r="E142"/>
    </row>
    <row r="143" spans="4:5" x14ac:dyDescent="0.15">
      <c r="D143"/>
      <c r="E143"/>
    </row>
    <row r="144" spans="4:5" x14ac:dyDescent="0.15">
      <c r="D144"/>
      <c r="E144"/>
    </row>
    <row r="145" spans="4:5" x14ac:dyDescent="0.15">
      <c r="D145"/>
      <c r="E145"/>
    </row>
    <row r="146" spans="4:5" x14ac:dyDescent="0.15">
      <c r="D146"/>
      <c r="E146"/>
    </row>
    <row r="147" spans="4:5" x14ac:dyDescent="0.15">
      <c r="D147"/>
      <c r="E147"/>
    </row>
    <row r="148" spans="4:5" x14ac:dyDescent="0.15">
      <c r="D148"/>
      <c r="E148"/>
    </row>
    <row r="149" spans="4:5" x14ac:dyDescent="0.15">
      <c r="D149"/>
      <c r="E149"/>
    </row>
    <row r="150" spans="4:5" x14ac:dyDescent="0.15">
      <c r="D150"/>
      <c r="E150"/>
    </row>
    <row r="151" spans="4:5" x14ac:dyDescent="0.15">
      <c r="D151"/>
      <c r="E151"/>
    </row>
    <row r="152" spans="4:5" x14ac:dyDescent="0.15">
      <c r="D152"/>
      <c r="E152"/>
    </row>
    <row r="153" spans="4:5" x14ac:dyDescent="0.15">
      <c r="D153"/>
      <c r="E153"/>
    </row>
    <row r="154" spans="4:5" x14ac:dyDescent="0.15">
      <c r="D154"/>
      <c r="E154"/>
    </row>
    <row r="155" spans="4:5" x14ac:dyDescent="0.15">
      <c r="D155"/>
      <c r="E155"/>
    </row>
    <row r="156" spans="4:5" x14ac:dyDescent="0.15">
      <c r="D156"/>
      <c r="E156"/>
    </row>
    <row r="157" spans="4:5" x14ac:dyDescent="0.15">
      <c r="D157"/>
      <c r="E157"/>
    </row>
    <row r="158" spans="4:5" x14ac:dyDescent="0.15">
      <c r="D158"/>
      <c r="E158"/>
    </row>
    <row r="159" spans="4:5" x14ac:dyDescent="0.15">
      <c r="D159"/>
      <c r="E159"/>
    </row>
    <row r="160" spans="4:5" x14ac:dyDescent="0.15">
      <c r="D160"/>
      <c r="E160"/>
    </row>
    <row r="161" spans="4:5" x14ac:dyDescent="0.15">
      <c r="D161"/>
      <c r="E161"/>
    </row>
    <row r="162" spans="4:5" x14ac:dyDescent="0.15">
      <c r="D162"/>
      <c r="E162"/>
    </row>
    <row r="163" spans="4:5" x14ac:dyDescent="0.15">
      <c r="D163"/>
      <c r="E163"/>
    </row>
    <row r="164" spans="4:5" x14ac:dyDescent="0.15">
      <c r="D164"/>
      <c r="E164"/>
    </row>
    <row r="165" spans="4:5" x14ac:dyDescent="0.15">
      <c r="D165"/>
      <c r="E165"/>
    </row>
    <row r="166" spans="4:5" x14ac:dyDescent="0.15">
      <c r="D166"/>
      <c r="E166"/>
    </row>
    <row r="167" spans="4:5" x14ac:dyDescent="0.15">
      <c r="D167"/>
      <c r="E167"/>
    </row>
    <row r="168" spans="4:5" x14ac:dyDescent="0.15">
      <c r="D168"/>
      <c r="E168"/>
    </row>
    <row r="169" spans="4:5" x14ac:dyDescent="0.15">
      <c r="D169"/>
      <c r="E169"/>
    </row>
    <row r="170" spans="4:5" x14ac:dyDescent="0.15">
      <c r="D170"/>
      <c r="E170"/>
    </row>
    <row r="171" spans="4:5" x14ac:dyDescent="0.15">
      <c r="D171"/>
      <c r="E171"/>
    </row>
    <row r="172" spans="4:5" x14ac:dyDescent="0.15">
      <c r="D172"/>
      <c r="E172"/>
    </row>
    <row r="173" spans="4:5" x14ac:dyDescent="0.15">
      <c r="D173"/>
      <c r="E173"/>
    </row>
    <row r="174" spans="4:5" x14ac:dyDescent="0.15">
      <c r="D174"/>
      <c r="E174"/>
    </row>
    <row r="175" spans="4:5" x14ac:dyDescent="0.15">
      <c r="D175"/>
      <c r="E175"/>
    </row>
    <row r="176" spans="4:5" x14ac:dyDescent="0.15">
      <c r="D176"/>
      <c r="E176"/>
    </row>
    <row r="177" spans="4:5" x14ac:dyDescent="0.15">
      <c r="D177"/>
      <c r="E177"/>
    </row>
    <row r="178" spans="4:5" x14ac:dyDescent="0.15">
      <c r="D178"/>
      <c r="E178"/>
    </row>
    <row r="179" spans="4:5" x14ac:dyDescent="0.15">
      <c r="D179"/>
      <c r="E179"/>
    </row>
    <row r="180" spans="4:5" x14ac:dyDescent="0.15">
      <c r="D180"/>
      <c r="E180"/>
    </row>
    <row r="181" spans="4:5" x14ac:dyDescent="0.15">
      <c r="D181"/>
      <c r="E181"/>
    </row>
    <row r="182" spans="4:5" x14ac:dyDescent="0.15">
      <c r="D182"/>
      <c r="E182"/>
    </row>
    <row r="183" spans="4:5" x14ac:dyDescent="0.15">
      <c r="D183"/>
      <c r="E183"/>
    </row>
    <row r="184" spans="4:5" x14ac:dyDescent="0.15">
      <c r="D184"/>
      <c r="E184"/>
    </row>
    <row r="185" spans="4:5" x14ac:dyDescent="0.15">
      <c r="D185"/>
      <c r="E185"/>
    </row>
    <row r="186" spans="4:5" x14ac:dyDescent="0.15">
      <c r="D186"/>
      <c r="E186"/>
    </row>
    <row r="187" spans="4:5" x14ac:dyDescent="0.15">
      <c r="D187"/>
      <c r="E187"/>
    </row>
    <row r="188" spans="4:5" x14ac:dyDescent="0.15">
      <c r="D188"/>
      <c r="E188"/>
    </row>
    <row r="189" spans="4:5" x14ac:dyDescent="0.15">
      <c r="D189"/>
      <c r="E189"/>
    </row>
    <row r="190" spans="4:5" x14ac:dyDescent="0.15">
      <c r="D190"/>
      <c r="E190"/>
    </row>
    <row r="191" spans="4:5" x14ac:dyDescent="0.15">
      <c r="D191"/>
      <c r="E191"/>
    </row>
    <row r="192" spans="4:5" x14ac:dyDescent="0.15">
      <c r="D192"/>
      <c r="E192"/>
    </row>
    <row r="193" spans="4:5" x14ac:dyDescent="0.15">
      <c r="D193"/>
      <c r="E193"/>
    </row>
    <row r="194" spans="4:5" x14ac:dyDescent="0.15">
      <c r="D194"/>
      <c r="E194"/>
    </row>
    <row r="195" spans="4:5" x14ac:dyDescent="0.15">
      <c r="D195"/>
      <c r="E195"/>
    </row>
    <row r="196" spans="4:5" x14ac:dyDescent="0.15">
      <c r="D196"/>
      <c r="E196"/>
    </row>
    <row r="197" spans="4:5" x14ac:dyDescent="0.15">
      <c r="D197"/>
      <c r="E197"/>
    </row>
    <row r="198" spans="4:5" ht="14.25" x14ac:dyDescent="0.15">
      <c r="D198" s="24"/>
      <c r="E198" s="24"/>
    </row>
    <row r="199" spans="4:5" ht="14.25" x14ac:dyDescent="0.15">
      <c r="D199" s="24"/>
      <c r="E199" s="24"/>
    </row>
    <row r="200" spans="4:5" ht="14.25" x14ac:dyDescent="0.15">
      <c r="D200" s="24"/>
      <c r="E200" s="24"/>
    </row>
    <row r="216" spans="4:5" ht="14.25" x14ac:dyDescent="0.15">
      <c r="D216" s="19"/>
      <c r="E216" s="19"/>
    </row>
    <row r="217" spans="4:5" ht="14.25" x14ac:dyDescent="0.15">
      <c r="D217" s="19"/>
      <c r="E217" s="19"/>
    </row>
    <row r="218" spans="4:5" ht="14.25" x14ac:dyDescent="0.15">
      <c r="D218" s="19"/>
      <c r="E218" s="19"/>
    </row>
    <row r="219" spans="4:5" ht="14.25" x14ac:dyDescent="0.15">
      <c r="D219" s="19"/>
      <c r="E219" s="19"/>
    </row>
    <row r="220" spans="4:5" ht="14.25" x14ac:dyDescent="0.15">
      <c r="D220" s="19"/>
      <c r="E220" s="19"/>
    </row>
    <row r="221" spans="4:5" ht="14.25" x14ac:dyDescent="0.15">
      <c r="D221" s="19"/>
      <c r="E221" s="19"/>
    </row>
    <row r="222" spans="4:5" ht="14.25" x14ac:dyDescent="0.15">
      <c r="D222" s="19"/>
      <c r="E222" s="19"/>
    </row>
    <row r="223" spans="4:5" ht="14.25" x14ac:dyDescent="0.15">
      <c r="D223" s="19"/>
      <c r="E223" s="19"/>
    </row>
    <row r="224" spans="4:5" ht="14.25" x14ac:dyDescent="0.15">
      <c r="D224" s="19"/>
      <c r="E224" s="19"/>
    </row>
    <row r="225" spans="4:5" ht="14.25" x14ac:dyDescent="0.15">
      <c r="D225" s="19"/>
      <c r="E225" s="19"/>
    </row>
    <row r="226" spans="4:5" ht="14.25" x14ac:dyDescent="0.15">
      <c r="D226" s="19"/>
      <c r="E226" s="19"/>
    </row>
    <row r="227" spans="4:5" ht="14.25" x14ac:dyDescent="0.15">
      <c r="D227" s="19"/>
      <c r="E227" s="19"/>
    </row>
    <row r="228" spans="4:5" ht="14.25" x14ac:dyDescent="0.15">
      <c r="D228" s="19"/>
      <c r="E228" s="19"/>
    </row>
    <row r="229" spans="4:5" ht="14.25" x14ac:dyDescent="0.15">
      <c r="D229" s="19"/>
      <c r="E229" s="19"/>
    </row>
    <row r="230" spans="4:5" ht="14.25" x14ac:dyDescent="0.15">
      <c r="D230" s="19"/>
      <c r="E230" s="19"/>
    </row>
    <row r="231" spans="4:5" ht="14.25" x14ac:dyDescent="0.15">
      <c r="D231" s="19"/>
      <c r="E231" s="19"/>
    </row>
    <row r="232" spans="4:5" ht="14.25" x14ac:dyDescent="0.15">
      <c r="D232" s="19"/>
      <c r="E232" s="19"/>
    </row>
    <row r="233" spans="4:5" ht="14.25" x14ac:dyDescent="0.15">
      <c r="D233" s="19"/>
      <c r="E233" s="19"/>
    </row>
    <row r="234" spans="4:5" ht="14.25" x14ac:dyDescent="0.15">
      <c r="D234" s="19"/>
      <c r="E234" s="19"/>
    </row>
    <row r="235" spans="4:5" ht="14.25" x14ac:dyDescent="0.15">
      <c r="D235" s="19"/>
      <c r="E235" s="19"/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3"/>
  <sheetViews>
    <sheetView workbookViewId="0">
      <pane ySplit="8" topLeftCell="A9" activePane="bottomLeft" state="frozen"/>
      <selection pane="bottomLeft" activeCell="D11" sqref="D11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4" width="9" style="4"/>
    <col min="5" max="5" width="13.125" style="6" bestFit="1" customWidth="1"/>
    <col min="6" max="16384" width="9" style="4"/>
  </cols>
  <sheetData>
    <row r="1" spans="1:5" s="1" customFormat="1" x14ac:dyDescent="0.15">
      <c r="A1" s="5" t="s">
        <v>554</v>
      </c>
      <c r="B1" s="1" t="s">
        <v>13</v>
      </c>
      <c r="C1" s="1" t="s">
        <v>8</v>
      </c>
    </row>
    <row r="2" spans="1:5" s="1" customFormat="1" x14ac:dyDescent="0.15">
      <c r="A2" s="5" t="s">
        <v>15</v>
      </c>
      <c r="B2" s="1" t="s">
        <v>8</v>
      </c>
      <c r="C2" s="1" t="s">
        <v>8</v>
      </c>
    </row>
    <row r="3" spans="1:5" s="2" customFormat="1" ht="14.25" x14ac:dyDescent="0.15">
      <c r="A3" s="52" t="s">
        <v>8</v>
      </c>
      <c r="B3" s="52" t="s">
        <v>9</v>
      </c>
      <c r="C3" s="52" t="s">
        <v>18</v>
      </c>
    </row>
    <row r="4" spans="1:5" s="2" customFormat="1" ht="14.25" x14ac:dyDescent="0.15">
      <c r="A4" s="52"/>
      <c r="B4" s="52" t="s">
        <v>12</v>
      </c>
      <c r="C4" s="52" t="s">
        <v>543</v>
      </c>
    </row>
    <row r="5" spans="1:5" s="2" customFormat="1" ht="14.25" x14ac:dyDescent="0.15">
      <c r="A5" s="52"/>
      <c r="B5" s="52" t="str">
        <f>IF(B3="","",IF(B3="INT","i",IF(B3="FLOAT","f",IF(B3="STRING","s"))))</f>
        <v>i</v>
      </c>
      <c r="C5" s="52" t="s">
        <v>25</v>
      </c>
    </row>
    <row r="6" spans="1:5" s="2" customFormat="1" ht="14.25" x14ac:dyDescent="0.15">
      <c r="A6" s="52" t="s">
        <v>8</v>
      </c>
      <c r="B6" s="52" t="str">
        <f>B5&amp;B4</f>
        <v>iID</v>
      </c>
      <c r="C6" s="52" t="str">
        <f>C5&amp;C4</f>
        <v>iFastTime</v>
      </c>
    </row>
    <row r="7" spans="1:5" s="3" customFormat="1" ht="14.25" x14ac:dyDescent="0.15">
      <c r="A7" s="52"/>
      <c r="B7" s="52" t="s">
        <v>542</v>
      </c>
      <c r="C7" s="52" t="s">
        <v>544</v>
      </c>
      <c r="E7" s="2"/>
    </row>
    <row r="8" spans="1:5" s="3" customFormat="1" ht="27.6" customHeight="1" x14ac:dyDescent="0.15">
      <c r="A8" s="52" t="s">
        <v>11</v>
      </c>
      <c r="B8" s="52">
        <v>0</v>
      </c>
      <c r="C8" s="52">
        <v>0</v>
      </c>
      <c r="E8" s="2"/>
    </row>
    <row r="9" spans="1:5" ht="14.25" x14ac:dyDescent="0.15">
      <c r="A9" s="17" t="s">
        <v>8</v>
      </c>
      <c r="B9" s="18">
        <v>301</v>
      </c>
      <c r="C9" s="18">
        <v>300</v>
      </c>
      <c r="D9" s="4" t="s">
        <v>547</v>
      </c>
    </row>
    <row r="10" spans="1:5" ht="14.25" x14ac:dyDescent="0.15">
      <c r="A10" s="17" t="s">
        <v>8</v>
      </c>
      <c r="B10" s="18">
        <v>302</v>
      </c>
      <c r="C10" s="18">
        <v>1800</v>
      </c>
      <c r="D10" s="4" t="s">
        <v>548</v>
      </c>
    </row>
    <row r="11" spans="1:5" ht="14.25" x14ac:dyDescent="0.15">
      <c r="A11" s="4" t="s">
        <v>13</v>
      </c>
      <c r="B11" s="18">
        <v>303</v>
      </c>
      <c r="C11" s="18">
        <v>3600</v>
      </c>
      <c r="D11" s="4" t="s">
        <v>546</v>
      </c>
    </row>
    <row r="12" spans="1:5" ht="14.25" x14ac:dyDescent="0.15">
      <c r="A12" s="4" t="s">
        <v>13</v>
      </c>
      <c r="B12" s="18">
        <v>304</v>
      </c>
      <c r="C12" s="18">
        <v>21600</v>
      </c>
      <c r="D12" s="4" t="s">
        <v>550</v>
      </c>
    </row>
    <row r="13" spans="1:5" ht="14.25" x14ac:dyDescent="0.15">
      <c r="A13" s="4" t="s">
        <v>545</v>
      </c>
      <c r="B13" s="18">
        <v>305</v>
      </c>
      <c r="C13" s="18">
        <v>86400</v>
      </c>
      <c r="D13" s="4" t="s">
        <v>549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5"/>
  <sheetViews>
    <sheetView workbookViewId="0">
      <selection activeCell="B10" sqref="B10:B15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4" width="14.75" style="4" customWidth="1"/>
    <col min="5" max="5" width="13.125" style="6" bestFit="1" customWidth="1"/>
    <col min="6" max="16384" width="9" style="4"/>
  </cols>
  <sheetData>
    <row r="1" spans="1:5" s="1" customFormat="1" x14ac:dyDescent="0.15">
      <c r="A1" s="5" t="s">
        <v>66</v>
      </c>
      <c r="B1" s="1" t="s">
        <v>13</v>
      </c>
      <c r="C1" s="1" t="s">
        <v>8</v>
      </c>
      <c r="D1" s="1" t="s">
        <v>8</v>
      </c>
    </row>
    <row r="2" spans="1:5" s="1" customFormat="1" x14ac:dyDescent="0.15">
      <c r="A2" s="5" t="s">
        <v>15</v>
      </c>
      <c r="B2" s="1" t="s">
        <v>8</v>
      </c>
      <c r="C2" s="1" t="s">
        <v>8</v>
      </c>
      <c r="D2" s="1" t="s">
        <v>8</v>
      </c>
    </row>
    <row r="3" spans="1:5" s="2" customFormat="1" ht="14.25" x14ac:dyDescent="0.15">
      <c r="A3" s="52" t="s">
        <v>8</v>
      </c>
      <c r="B3" s="52" t="s">
        <v>9</v>
      </c>
      <c r="C3" s="52" t="s">
        <v>18</v>
      </c>
      <c r="D3" s="52" t="s">
        <v>18</v>
      </c>
    </row>
    <row r="4" spans="1:5" s="2" customFormat="1" ht="14.25" x14ac:dyDescent="0.15">
      <c r="A4" s="52"/>
      <c r="B4" s="52" t="s">
        <v>12</v>
      </c>
      <c r="C4" s="52" t="s">
        <v>686</v>
      </c>
      <c r="D4" s="52" t="s">
        <v>681</v>
      </c>
    </row>
    <row r="5" spans="1:5" s="2" customFormat="1" ht="14.25" x14ac:dyDescent="0.15">
      <c r="A5" s="52"/>
      <c r="B5" s="52" t="str">
        <f>IF(B3="","",IF(B3="INT","i",IF(B3="FLOAT","f",IF(B3="STRING","s"))))</f>
        <v>i</v>
      </c>
      <c r="C5" s="52" t="s">
        <v>25</v>
      </c>
      <c r="D5" s="52" t="s">
        <v>25</v>
      </c>
    </row>
    <row r="6" spans="1:5" s="2" customFormat="1" ht="14.25" x14ac:dyDescent="0.15">
      <c r="A6" s="52" t="s">
        <v>8</v>
      </c>
      <c r="B6" s="52" t="str">
        <f>B5&amp;B4</f>
        <v>iID</v>
      </c>
      <c r="C6" s="52" t="str">
        <f>C5&amp;C4</f>
        <v>iExp</v>
      </c>
      <c r="D6" s="52" t="str">
        <f>D5&amp;D4</f>
        <v>itype</v>
      </c>
    </row>
    <row r="7" spans="1:5" s="3" customFormat="1" ht="14.25" x14ac:dyDescent="0.15">
      <c r="A7" s="52"/>
      <c r="B7" s="52" t="s">
        <v>78</v>
      </c>
      <c r="C7" s="52" t="s">
        <v>654</v>
      </c>
      <c r="D7" s="52" t="s">
        <v>683</v>
      </c>
      <c r="E7" s="2"/>
    </row>
    <row r="8" spans="1:5" s="3" customFormat="1" ht="27.6" customHeight="1" x14ac:dyDescent="0.15">
      <c r="A8" s="52" t="s">
        <v>11</v>
      </c>
      <c r="B8" s="52">
        <v>0</v>
      </c>
      <c r="C8" s="52">
        <v>0</v>
      </c>
      <c r="D8" s="52">
        <v>1</v>
      </c>
      <c r="E8" s="2"/>
    </row>
    <row r="9" spans="1:5" s="68" customFormat="1" ht="33" customHeight="1" x14ac:dyDescent="0.15">
      <c r="A9" s="66"/>
      <c r="B9" s="66"/>
      <c r="C9" s="66"/>
      <c r="D9" s="69" t="s">
        <v>682</v>
      </c>
      <c r="E9" s="67"/>
    </row>
    <row r="10" spans="1:5" ht="14.25" x14ac:dyDescent="0.15">
      <c r="A10" s="17" t="s">
        <v>8</v>
      </c>
      <c r="B10" s="18">
        <v>10011</v>
      </c>
      <c r="C10" s="18">
        <v>100</v>
      </c>
      <c r="D10" s="4">
        <v>1</v>
      </c>
    </row>
    <row r="11" spans="1:5" ht="14.25" x14ac:dyDescent="0.15">
      <c r="A11" s="17" t="s">
        <v>8</v>
      </c>
      <c r="B11" s="18">
        <v>10012</v>
      </c>
      <c r="C11" s="18">
        <v>500</v>
      </c>
      <c r="D11" s="4">
        <v>1</v>
      </c>
    </row>
    <row r="12" spans="1:5" ht="14.25" x14ac:dyDescent="0.15">
      <c r="A12" s="4" t="s">
        <v>13</v>
      </c>
      <c r="B12" s="18">
        <v>10013</v>
      </c>
      <c r="C12" s="18">
        <v>5000</v>
      </c>
      <c r="D12" s="4">
        <v>1</v>
      </c>
    </row>
    <row r="13" spans="1:5" x14ac:dyDescent="0.15">
      <c r="A13" s="4" t="s">
        <v>13</v>
      </c>
      <c r="B13" s="6">
        <v>10021</v>
      </c>
      <c r="C13" s="6">
        <v>100</v>
      </c>
      <c r="D13" s="4">
        <v>2</v>
      </c>
    </row>
    <row r="14" spans="1:5" x14ac:dyDescent="0.15">
      <c r="A14" s="4" t="s">
        <v>13</v>
      </c>
      <c r="B14" s="6">
        <v>10022</v>
      </c>
      <c r="C14" s="6">
        <v>500</v>
      </c>
      <c r="D14" s="4">
        <v>2</v>
      </c>
    </row>
    <row r="15" spans="1:5" x14ac:dyDescent="0.15">
      <c r="A15" s="4" t="s">
        <v>13</v>
      </c>
      <c r="B15" s="6">
        <v>10023</v>
      </c>
      <c r="C15" s="6">
        <v>5000</v>
      </c>
      <c r="D15" s="4">
        <v>2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workbookViewId="0">
      <selection activeCell="H21" sqref="H21"/>
    </sheetView>
  </sheetViews>
  <sheetFormatPr defaultColWidth="9" defaultRowHeight="13.5" x14ac:dyDescent="0.15"/>
  <cols>
    <col min="1" max="1" width="9" style="4" customWidth="1"/>
    <col min="2" max="5" width="10.625" style="6" customWidth="1"/>
    <col min="6" max="6" width="14.75" style="4" customWidth="1"/>
    <col min="7" max="7" width="13.125" style="6" bestFit="1" customWidth="1"/>
    <col min="8" max="16384" width="9" style="4"/>
  </cols>
  <sheetData>
    <row r="1" spans="1:8" s="1" customFormat="1" x14ac:dyDescent="0.15">
      <c r="A1" s="5" t="s">
        <v>66</v>
      </c>
      <c r="B1" s="1" t="s">
        <v>13</v>
      </c>
      <c r="C1" s="1" t="s">
        <v>13</v>
      </c>
      <c r="D1" s="1" t="s">
        <v>13</v>
      </c>
      <c r="E1" s="1" t="s">
        <v>8</v>
      </c>
      <c r="F1" s="1" t="s">
        <v>8</v>
      </c>
      <c r="G1" s="1" t="s">
        <v>8</v>
      </c>
      <c r="H1" s="1" t="s">
        <v>8</v>
      </c>
    </row>
    <row r="2" spans="1:8" s="1" customFormat="1" x14ac:dyDescent="0.15">
      <c r="A2" s="5" t="s">
        <v>15</v>
      </c>
      <c r="B2" s="1" t="s">
        <v>8</v>
      </c>
      <c r="C2" s="1" t="s">
        <v>8</v>
      </c>
      <c r="D2" s="1" t="s">
        <v>8</v>
      </c>
      <c r="E2" s="1" t="s">
        <v>8</v>
      </c>
      <c r="F2" s="1" t="s">
        <v>8</v>
      </c>
      <c r="G2" s="1" t="s">
        <v>8</v>
      </c>
      <c r="H2" s="1" t="s">
        <v>8</v>
      </c>
    </row>
    <row r="3" spans="1:8" s="2" customFormat="1" ht="14.25" x14ac:dyDescent="0.15">
      <c r="A3" s="52" t="s">
        <v>8</v>
      </c>
      <c r="B3" s="52" t="s">
        <v>9</v>
      </c>
      <c r="C3" s="52" t="s">
        <v>9</v>
      </c>
      <c r="D3" s="52" t="s">
        <v>9</v>
      </c>
      <c r="E3" s="52" t="s">
        <v>9</v>
      </c>
      <c r="F3" s="52" t="s">
        <v>9</v>
      </c>
      <c r="G3" s="52" t="s">
        <v>9</v>
      </c>
      <c r="H3" s="52" t="s">
        <v>9</v>
      </c>
    </row>
    <row r="4" spans="1:8" s="2" customFormat="1" ht="14.25" x14ac:dyDescent="0.15">
      <c r="A4" s="52"/>
      <c r="B4" s="52" t="s">
        <v>12</v>
      </c>
      <c r="C4" s="52" t="s">
        <v>777</v>
      </c>
      <c r="D4" s="52" t="s">
        <v>784</v>
      </c>
      <c r="E4" s="52" t="s">
        <v>778</v>
      </c>
      <c r="F4" s="52" t="s">
        <v>779</v>
      </c>
      <c r="G4" s="52" t="s">
        <v>785</v>
      </c>
      <c r="H4" s="52" t="s">
        <v>786</v>
      </c>
    </row>
    <row r="5" spans="1:8" s="2" customFormat="1" ht="14.25" x14ac:dyDescent="0.15">
      <c r="A5" s="52"/>
      <c r="B5" s="52" t="str">
        <f>IF(B3="","",IF(B3="INT","i",IF(B3="FLOAT","f",IF(B3="STRING","s"))))</f>
        <v>i</v>
      </c>
      <c r="C5" s="52" t="str">
        <f>IF(C3="","",IF(C3="INT","i",IF(C3="FLOAT","f",IF(C3="STRING","s"))))</f>
        <v>i</v>
      </c>
      <c r="D5" s="52" t="str">
        <f>IF(D3="","",IF(D3="INT","i",IF(D3="FLOAT","f",IF(D3="STRING","s"))))</f>
        <v>i</v>
      </c>
      <c r="E5" s="52" t="s">
        <v>780</v>
      </c>
      <c r="F5" s="52" t="s">
        <v>780</v>
      </c>
      <c r="G5" s="52" t="s">
        <v>780</v>
      </c>
      <c r="H5" s="52" t="s">
        <v>780</v>
      </c>
    </row>
    <row r="6" spans="1:8" s="2" customFormat="1" ht="14.25" x14ac:dyDescent="0.15">
      <c r="A6" s="52" t="s">
        <v>8</v>
      </c>
      <c r="B6" s="52" t="str">
        <f>B5&amp;B4</f>
        <v>iID</v>
      </c>
      <c r="C6" s="52" t="str">
        <f>C5&amp;C4</f>
        <v>iItemID</v>
      </c>
      <c r="D6" s="52" t="str">
        <f>D5&amp;D4</f>
        <v>iGetNum</v>
      </c>
      <c r="E6" s="52" t="str">
        <f>E5&amp;E4</f>
        <v>iLunBegin</v>
      </c>
      <c r="F6" s="52" t="str">
        <f>F5&amp;F4</f>
        <v>iLunEnd</v>
      </c>
      <c r="G6" s="52" t="s">
        <v>787</v>
      </c>
      <c r="H6" s="52" t="s">
        <v>788</v>
      </c>
    </row>
    <row r="7" spans="1:8" s="3" customFormat="1" ht="14.25" x14ac:dyDescent="0.15">
      <c r="A7" s="52"/>
      <c r="B7" s="52" t="s">
        <v>776</v>
      </c>
      <c r="C7" s="52" t="s">
        <v>78</v>
      </c>
      <c r="D7" s="52" t="s">
        <v>783</v>
      </c>
      <c r="E7" s="52" t="s">
        <v>781</v>
      </c>
      <c r="F7" s="52" t="s">
        <v>782</v>
      </c>
      <c r="G7" s="52" t="s">
        <v>789</v>
      </c>
      <c r="H7" s="52" t="s">
        <v>790</v>
      </c>
    </row>
    <row r="8" spans="1:8" s="3" customFormat="1" ht="27.6" customHeight="1" x14ac:dyDescent="0.15">
      <c r="A8" s="52" t="s">
        <v>11</v>
      </c>
      <c r="B8" s="52">
        <v>0</v>
      </c>
      <c r="C8" s="52">
        <v>1</v>
      </c>
      <c r="D8" s="52">
        <v>1</v>
      </c>
      <c r="E8" s="52">
        <v>1</v>
      </c>
      <c r="F8" s="52"/>
      <c r="G8" s="52">
        <v>2</v>
      </c>
      <c r="H8" s="52">
        <v>1</v>
      </c>
    </row>
    <row r="9" spans="1:8" s="68" customFormat="1" ht="14.25" x14ac:dyDescent="0.15">
      <c r="A9" s="66"/>
      <c r="B9" s="66"/>
      <c r="C9" s="66"/>
      <c r="D9" s="66"/>
      <c r="E9" s="66"/>
      <c r="F9" s="69"/>
      <c r="G9" s="67"/>
    </row>
    <row r="10" spans="1:8" ht="14.25" x14ac:dyDescent="0.15">
      <c r="A10" s="17" t="s">
        <v>8</v>
      </c>
      <c r="B10" s="18">
        <v>1</v>
      </c>
      <c r="C10" s="6">
        <v>1</v>
      </c>
      <c r="D10" s="6">
        <v>1000</v>
      </c>
      <c r="E10" s="6">
        <v>1</v>
      </c>
      <c r="F10" s="4">
        <v>999</v>
      </c>
      <c r="H10" s="4">
        <v>50</v>
      </c>
    </row>
    <row r="11" spans="1:8" ht="14.25" x14ac:dyDescent="0.15">
      <c r="A11" s="17" t="s">
        <v>8</v>
      </c>
      <c r="B11" s="18">
        <v>2</v>
      </c>
      <c r="C11" s="6">
        <v>10</v>
      </c>
      <c r="D11" s="6">
        <v>60</v>
      </c>
      <c r="E11" s="18">
        <v>1</v>
      </c>
      <c r="F11" s="4">
        <v>2</v>
      </c>
      <c r="H11" s="4">
        <v>40</v>
      </c>
    </row>
    <row r="12" spans="1:8" ht="14.25" x14ac:dyDescent="0.15">
      <c r="B12" s="18">
        <v>3</v>
      </c>
      <c r="C12" s="6">
        <v>10</v>
      </c>
      <c r="D12" s="6">
        <v>60</v>
      </c>
      <c r="E12" s="18">
        <v>3</v>
      </c>
      <c r="F12" s="4">
        <v>4</v>
      </c>
      <c r="H12" s="4">
        <v>60</v>
      </c>
    </row>
    <row r="13" spans="1:8" ht="14.25" x14ac:dyDescent="0.15">
      <c r="B13" s="18">
        <v>4</v>
      </c>
      <c r="C13" s="6">
        <v>10</v>
      </c>
      <c r="D13" s="6">
        <v>60</v>
      </c>
      <c r="E13" s="18">
        <v>5</v>
      </c>
      <c r="F13" s="4">
        <v>6</v>
      </c>
      <c r="H13" s="4">
        <v>80</v>
      </c>
    </row>
    <row r="14" spans="1:8" ht="14.25" x14ac:dyDescent="0.15">
      <c r="B14" s="18">
        <v>5</v>
      </c>
      <c r="C14" s="6">
        <v>10</v>
      </c>
      <c r="D14" s="6">
        <v>60</v>
      </c>
      <c r="E14" s="6">
        <v>7</v>
      </c>
      <c r="F14" s="4">
        <v>8</v>
      </c>
      <c r="H14" s="4">
        <v>100</v>
      </c>
    </row>
    <row r="15" spans="1:8" ht="14.25" x14ac:dyDescent="0.15">
      <c r="B15" s="18">
        <v>6</v>
      </c>
      <c r="C15" s="6">
        <v>10</v>
      </c>
      <c r="D15" s="6">
        <v>60</v>
      </c>
      <c r="E15" s="6">
        <v>9</v>
      </c>
      <c r="F15" s="4">
        <v>10</v>
      </c>
      <c r="H15" s="4">
        <v>120</v>
      </c>
    </row>
    <row r="16" spans="1:8" ht="14.25" x14ac:dyDescent="0.15">
      <c r="A16" s="17" t="s">
        <v>8</v>
      </c>
      <c r="B16" s="18">
        <v>7</v>
      </c>
      <c r="C16" s="6">
        <v>14</v>
      </c>
      <c r="D16" s="6">
        <v>60</v>
      </c>
      <c r="E16" s="18">
        <v>1</v>
      </c>
      <c r="F16" s="4">
        <v>1</v>
      </c>
      <c r="H16" s="4">
        <v>1</v>
      </c>
    </row>
    <row r="17" spans="1:8" ht="14.25" x14ac:dyDescent="0.15">
      <c r="A17" s="17" t="s">
        <v>8</v>
      </c>
      <c r="B17" s="18">
        <v>8</v>
      </c>
      <c r="C17" s="6">
        <v>14</v>
      </c>
      <c r="D17" s="6">
        <v>60</v>
      </c>
      <c r="E17" s="18">
        <v>2</v>
      </c>
      <c r="F17" s="4">
        <v>2</v>
      </c>
      <c r="H17" s="4">
        <v>30</v>
      </c>
    </row>
    <row r="18" spans="1:8" ht="14.25" x14ac:dyDescent="0.15">
      <c r="A18" s="17" t="s">
        <v>8</v>
      </c>
      <c r="B18" s="18">
        <v>9</v>
      </c>
      <c r="C18" s="6">
        <v>14</v>
      </c>
      <c r="D18" s="6">
        <v>60</v>
      </c>
      <c r="E18" s="18">
        <v>3</v>
      </c>
      <c r="F18" s="4">
        <v>4</v>
      </c>
      <c r="H18" s="4">
        <v>60</v>
      </c>
    </row>
    <row r="19" spans="1:8" ht="14.25" x14ac:dyDescent="0.15">
      <c r="A19" s="17" t="s">
        <v>8</v>
      </c>
      <c r="B19" s="18">
        <v>10</v>
      </c>
      <c r="C19" s="6">
        <v>14</v>
      </c>
      <c r="D19" s="6">
        <v>60</v>
      </c>
      <c r="E19" s="18">
        <v>5</v>
      </c>
      <c r="F19" s="4">
        <v>6</v>
      </c>
      <c r="H19" s="4">
        <v>90</v>
      </c>
    </row>
    <row r="20" spans="1:8" ht="14.25" x14ac:dyDescent="0.15">
      <c r="A20" s="17" t="s">
        <v>8</v>
      </c>
      <c r="B20" s="18">
        <v>11</v>
      </c>
      <c r="C20" s="6">
        <v>14</v>
      </c>
      <c r="D20" s="6">
        <v>60</v>
      </c>
      <c r="E20" s="6">
        <v>7</v>
      </c>
      <c r="F20" s="4">
        <v>8</v>
      </c>
      <c r="H20" s="4">
        <v>120</v>
      </c>
    </row>
    <row r="21" spans="1:8" ht="14.25" x14ac:dyDescent="0.15">
      <c r="A21" s="17"/>
      <c r="B21" s="18"/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8"/>
  <sheetViews>
    <sheetView workbookViewId="0">
      <selection activeCell="I14" sqref="I14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4" width="9" style="4"/>
    <col min="5" max="5" width="40.25" customWidth="1"/>
    <col min="6" max="6" width="30.375" customWidth="1"/>
    <col min="7" max="8" width="25.625" customWidth="1"/>
    <col min="9" max="10" width="20.125" customWidth="1"/>
    <col min="11" max="16384" width="9" style="4"/>
  </cols>
  <sheetData>
    <row r="1" spans="1:11" s="1" customFormat="1" x14ac:dyDescent="0.15">
      <c r="A1" s="5" t="s">
        <v>66</v>
      </c>
      <c r="B1" s="1" t="s">
        <v>13</v>
      </c>
      <c r="C1" s="1" t="s">
        <v>8</v>
      </c>
      <c r="D1" s="1" t="s">
        <v>1975</v>
      </c>
    </row>
    <row r="2" spans="1:11" s="1" customFormat="1" x14ac:dyDescent="0.15">
      <c r="A2" s="5" t="s">
        <v>15</v>
      </c>
      <c r="B2" s="1" t="s">
        <v>8</v>
      </c>
      <c r="C2" s="1" t="s">
        <v>8</v>
      </c>
      <c r="D2" s="1" t="s">
        <v>1371</v>
      </c>
      <c r="E2" s="1" t="s">
        <v>8</v>
      </c>
      <c r="F2" s="1" t="s">
        <v>8</v>
      </c>
      <c r="G2" s="1" t="s">
        <v>8</v>
      </c>
      <c r="H2" s="1" t="s">
        <v>8</v>
      </c>
      <c r="I2" s="1" t="s">
        <v>8</v>
      </c>
      <c r="J2" s="1" t="s">
        <v>8</v>
      </c>
    </row>
    <row r="3" spans="1:11" s="2" customFormat="1" ht="14.25" x14ac:dyDescent="0.15">
      <c r="A3" s="52" t="s">
        <v>8</v>
      </c>
      <c r="B3" s="52" t="s">
        <v>9</v>
      </c>
      <c r="C3" s="2" t="s">
        <v>71</v>
      </c>
      <c r="D3" s="2" t="s">
        <v>71</v>
      </c>
      <c r="E3" s="2" t="s">
        <v>1368</v>
      </c>
      <c r="F3" s="2" t="s">
        <v>143</v>
      </c>
      <c r="G3" s="2" t="s">
        <v>143</v>
      </c>
      <c r="H3" s="2" t="s">
        <v>143</v>
      </c>
      <c r="I3" s="2" t="s">
        <v>62</v>
      </c>
      <c r="J3" s="2" t="s">
        <v>2156</v>
      </c>
      <c r="K3" s="80"/>
    </row>
    <row r="4" spans="1:11" s="2" customFormat="1" ht="14.25" x14ac:dyDescent="0.15">
      <c r="A4" s="52"/>
      <c r="B4" s="52" t="s">
        <v>12</v>
      </c>
      <c r="C4" s="2" t="s">
        <v>1332</v>
      </c>
      <c r="D4" s="2" t="s">
        <v>1333</v>
      </c>
      <c r="E4" s="2" t="s">
        <v>1372</v>
      </c>
      <c r="F4" s="2" t="s">
        <v>1858</v>
      </c>
      <c r="G4" s="2" t="s">
        <v>1859</v>
      </c>
      <c r="H4" s="2" t="s">
        <v>2147</v>
      </c>
      <c r="I4" s="2" t="s">
        <v>2157</v>
      </c>
      <c r="J4" s="2" t="s">
        <v>2158</v>
      </c>
      <c r="K4" s="80"/>
    </row>
    <row r="5" spans="1:11" s="2" customFormat="1" ht="14.25" x14ac:dyDescent="0.15">
      <c r="A5" s="52"/>
      <c r="B5" s="52" t="str">
        <f t="shared" ref="B5" si="0">IF(B3="","",IF(B3="INT","i",IF(B3="FLOAT","f",IF(B3="STRING","s"))))</f>
        <v>i</v>
      </c>
      <c r="C5" s="2" t="s">
        <v>84</v>
      </c>
      <c r="D5" s="2" t="s">
        <v>84</v>
      </c>
      <c r="E5" s="80" t="s">
        <v>1369</v>
      </c>
      <c r="F5" s="80" t="s">
        <v>1369</v>
      </c>
      <c r="G5" s="80" t="s">
        <v>1369</v>
      </c>
      <c r="H5" s="80" t="s">
        <v>1369</v>
      </c>
      <c r="I5" s="80" t="s">
        <v>2160</v>
      </c>
      <c r="J5" s="80" t="s">
        <v>2159</v>
      </c>
      <c r="K5" s="80"/>
    </row>
    <row r="6" spans="1:11" s="2" customFormat="1" ht="14.25" x14ac:dyDescent="0.15">
      <c r="A6" s="52" t="s">
        <v>8</v>
      </c>
      <c r="B6" s="52" t="str">
        <f t="shared" ref="B6:C6" si="1">B5&amp;B4</f>
        <v>iID</v>
      </c>
      <c r="C6" s="2" t="str">
        <f t="shared" si="1"/>
        <v>iFavor</v>
      </c>
      <c r="D6" s="2" t="s">
        <v>1334</v>
      </c>
      <c r="E6" s="2" t="s">
        <v>1373</v>
      </c>
      <c r="F6" s="2" t="s">
        <v>1860</v>
      </c>
      <c r="G6" s="2" t="s">
        <v>1861</v>
      </c>
      <c r="H6" s="2" t="s">
        <v>2148</v>
      </c>
      <c r="I6" s="2" t="s">
        <v>2161</v>
      </c>
      <c r="J6" s="2" t="s">
        <v>2162</v>
      </c>
      <c r="K6" s="80"/>
    </row>
    <row r="7" spans="1:11" s="3" customFormat="1" ht="14.25" x14ac:dyDescent="0.15">
      <c r="A7" s="52"/>
      <c r="B7" s="52" t="s">
        <v>78</v>
      </c>
      <c r="C7" s="3" t="s">
        <v>1335</v>
      </c>
      <c r="D7" s="3" t="s">
        <v>1974</v>
      </c>
      <c r="E7" s="3" t="s">
        <v>1370</v>
      </c>
      <c r="F7" s="3" t="s">
        <v>1862</v>
      </c>
      <c r="G7" s="3" t="s">
        <v>1863</v>
      </c>
      <c r="H7" s="3" t="s">
        <v>2149</v>
      </c>
      <c r="I7" s="3" t="s">
        <v>2163</v>
      </c>
      <c r="J7" s="3" t="s">
        <v>2164</v>
      </c>
      <c r="K7" s="80"/>
    </row>
    <row r="8" spans="1:11" s="3" customFormat="1" ht="27.6" customHeight="1" x14ac:dyDescent="0.15">
      <c r="A8" s="52" t="s">
        <v>11</v>
      </c>
      <c r="B8" s="52">
        <v>101</v>
      </c>
      <c r="C8" s="3">
        <v>0</v>
      </c>
      <c r="D8" s="3">
        <v>0</v>
      </c>
      <c r="E8" s="3" t="s">
        <v>1899</v>
      </c>
      <c r="F8" s="3" t="s">
        <v>1901</v>
      </c>
      <c r="G8" s="3" t="s">
        <v>1900</v>
      </c>
      <c r="I8" s="3" t="s">
        <v>2165</v>
      </c>
      <c r="J8" s="3" t="s">
        <v>2166</v>
      </c>
      <c r="K8" s="80"/>
    </row>
    <row r="9" spans="1:11" s="68" customFormat="1" ht="14.25" x14ac:dyDescent="0.15">
      <c r="A9" s="17" t="s">
        <v>8</v>
      </c>
      <c r="B9" s="63">
        <v>12001</v>
      </c>
      <c r="C9" s="4">
        <v>5</v>
      </c>
      <c r="D9" s="81">
        <v>3</v>
      </c>
      <c r="E9" s="103" t="s">
        <v>1828</v>
      </c>
      <c r="F9" s="104" t="s">
        <v>1885</v>
      </c>
      <c r="G9" s="104" t="s">
        <v>1886</v>
      </c>
      <c r="H9" s="104" t="s">
        <v>2150</v>
      </c>
      <c r="I9" s="104"/>
      <c r="J9" s="104"/>
      <c r="K9" s="63" t="s">
        <v>1336</v>
      </c>
    </row>
    <row r="10" spans="1:11" ht="14.25" x14ac:dyDescent="0.15">
      <c r="A10" s="17" t="s">
        <v>8</v>
      </c>
      <c r="B10" s="63">
        <v>12002</v>
      </c>
      <c r="C10" s="4">
        <v>5</v>
      </c>
      <c r="D10" s="81">
        <v>3</v>
      </c>
      <c r="E10" s="103" t="s">
        <v>1829</v>
      </c>
      <c r="F10" s="104" t="s">
        <v>1887</v>
      </c>
      <c r="G10" s="104" t="s">
        <v>1886</v>
      </c>
      <c r="H10" s="104" t="s">
        <v>2150</v>
      </c>
      <c r="I10" s="104"/>
      <c r="J10" s="104"/>
      <c r="K10" s="63" t="s">
        <v>1337</v>
      </c>
    </row>
    <row r="11" spans="1:11" ht="14.25" x14ac:dyDescent="0.15">
      <c r="A11" s="17" t="s">
        <v>8</v>
      </c>
      <c r="B11" s="63">
        <v>12003</v>
      </c>
      <c r="C11" s="4">
        <v>5</v>
      </c>
      <c r="D11" s="81">
        <v>3</v>
      </c>
      <c r="E11" s="103" t="s">
        <v>1830</v>
      </c>
      <c r="F11" s="104" t="s">
        <v>1888</v>
      </c>
      <c r="G11" s="104" t="s">
        <v>1886</v>
      </c>
      <c r="H11" s="104" t="s">
        <v>2150</v>
      </c>
      <c r="I11" s="104"/>
      <c r="J11" s="104"/>
      <c r="K11" s="63" t="s">
        <v>1338</v>
      </c>
    </row>
    <row r="12" spans="1:11" ht="14.25" x14ac:dyDescent="0.15">
      <c r="A12" s="17" t="s">
        <v>8</v>
      </c>
      <c r="B12" s="63">
        <v>12004</v>
      </c>
      <c r="C12" s="4">
        <v>5</v>
      </c>
      <c r="D12" s="81">
        <v>3</v>
      </c>
      <c r="E12" s="103" t="s">
        <v>1831</v>
      </c>
      <c r="F12" s="104" t="s">
        <v>1889</v>
      </c>
      <c r="G12" s="104" t="s">
        <v>1886</v>
      </c>
      <c r="H12" s="104" t="s">
        <v>2150</v>
      </c>
      <c r="I12" s="104"/>
      <c r="J12" s="104"/>
      <c r="K12" s="63" t="s">
        <v>1339</v>
      </c>
    </row>
    <row r="13" spans="1:11" ht="14.25" x14ac:dyDescent="0.15">
      <c r="A13" s="17" t="s">
        <v>8</v>
      </c>
      <c r="B13" s="63">
        <v>12005</v>
      </c>
      <c r="C13" s="4">
        <v>5</v>
      </c>
      <c r="D13" s="81">
        <v>3</v>
      </c>
      <c r="E13" s="103" t="s">
        <v>1832</v>
      </c>
      <c r="F13" s="104" t="s">
        <v>1890</v>
      </c>
      <c r="G13" s="104" t="s">
        <v>1886</v>
      </c>
      <c r="H13" s="104" t="s">
        <v>2150</v>
      </c>
      <c r="I13" s="104"/>
      <c r="J13" s="104"/>
      <c r="K13" s="63" t="s">
        <v>1340</v>
      </c>
    </row>
    <row r="14" spans="1:11" ht="14.25" x14ac:dyDescent="0.15">
      <c r="A14" s="17" t="s">
        <v>8</v>
      </c>
      <c r="B14" s="63">
        <v>12006</v>
      </c>
      <c r="C14" s="4">
        <v>5</v>
      </c>
      <c r="D14" s="81">
        <v>3</v>
      </c>
      <c r="E14" s="103" t="s">
        <v>1833</v>
      </c>
      <c r="F14" s="104" t="s">
        <v>1891</v>
      </c>
      <c r="G14" s="104" t="s">
        <v>1886</v>
      </c>
      <c r="H14" s="104" t="s">
        <v>2150</v>
      </c>
      <c r="I14" s="104"/>
      <c r="J14" s="104"/>
      <c r="K14" s="63" t="s">
        <v>1341</v>
      </c>
    </row>
    <row r="15" spans="1:11" ht="14.25" x14ac:dyDescent="0.15">
      <c r="A15" s="17" t="s">
        <v>8</v>
      </c>
      <c r="B15" s="63">
        <v>12021</v>
      </c>
      <c r="C15" s="4">
        <v>5</v>
      </c>
      <c r="D15" s="81">
        <v>5</v>
      </c>
      <c r="E15" s="103" t="s">
        <v>1834</v>
      </c>
      <c r="F15" s="104" t="s">
        <v>1892</v>
      </c>
      <c r="G15" s="104" t="s">
        <v>1893</v>
      </c>
      <c r="H15" s="104" t="s">
        <v>2151</v>
      </c>
      <c r="I15" s="104"/>
      <c r="J15" s="104"/>
      <c r="K15" s="63" t="s">
        <v>1342</v>
      </c>
    </row>
    <row r="16" spans="1:11" ht="14.25" x14ac:dyDescent="0.15">
      <c r="A16" s="17" t="s">
        <v>8</v>
      </c>
      <c r="B16" s="63">
        <v>12022</v>
      </c>
      <c r="C16" s="4">
        <v>5</v>
      </c>
      <c r="D16" s="81">
        <v>5</v>
      </c>
      <c r="E16" s="103" t="s">
        <v>1835</v>
      </c>
      <c r="F16" s="104" t="s">
        <v>1894</v>
      </c>
      <c r="G16" s="104" t="s">
        <v>1893</v>
      </c>
      <c r="H16" s="104" t="s">
        <v>2151</v>
      </c>
      <c r="I16" s="104"/>
      <c r="J16" s="104"/>
      <c r="K16" s="63" t="s">
        <v>1343</v>
      </c>
    </row>
    <row r="17" spans="1:11" ht="14.25" x14ac:dyDescent="0.15">
      <c r="A17" s="17" t="s">
        <v>8</v>
      </c>
      <c r="B17" s="63">
        <v>12023</v>
      </c>
      <c r="C17" s="4">
        <v>5</v>
      </c>
      <c r="D17" s="81">
        <v>5</v>
      </c>
      <c r="E17" s="103" t="s">
        <v>1836</v>
      </c>
      <c r="F17" s="104" t="s">
        <v>1895</v>
      </c>
      <c r="G17" s="104" t="s">
        <v>1893</v>
      </c>
      <c r="H17" s="104" t="s">
        <v>2151</v>
      </c>
      <c r="I17" s="104"/>
      <c r="J17" s="104"/>
      <c r="K17" s="63" t="s">
        <v>1344</v>
      </c>
    </row>
    <row r="18" spans="1:11" ht="14.25" x14ac:dyDescent="0.15">
      <c r="A18" s="17" t="s">
        <v>8</v>
      </c>
      <c r="B18" s="63">
        <v>12024</v>
      </c>
      <c r="C18" s="4">
        <v>5</v>
      </c>
      <c r="D18" s="81">
        <v>5</v>
      </c>
      <c r="E18" s="103" t="s">
        <v>1837</v>
      </c>
      <c r="F18" s="104" t="s">
        <v>1896</v>
      </c>
      <c r="G18" s="104" t="s">
        <v>1893</v>
      </c>
      <c r="H18" s="104" t="s">
        <v>2151</v>
      </c>
      <c r="I18" s="104"/>
      <c r="J18" s="104"/>
      <c r="K18" s="63" t="s">
        <v>1345</v>
      </c>
    </row>
    <row r="19" spans="1:11" ht="14.25" x14ac:dyDescent="0.15">
      <c r="A19" s="17" t="s">
        <v>8</v>
      </c>
      <c r="B19" s="63">
        <v>12025</v>
      </c>
      <c r="C19" s="4">
        <v>5</v>
      </c>
      <c r="D19" s="81">
        <v>5</v>
      </c>
      <c r="E19" s="103" t="s">
        <v>1838</v>
      </c>
      <c r="F19" s="104" t="s">
        <v>1897</v>
      </c>
      <c r="G19" s="104" t="s">
        <v>1893</v>
      </c>
      <c r="H19" s="104" t="s">
        <v>2151</v>
      </c>
      <c r="I19" s="104"/>
      <c r="J19" s="104"/>
      <c r="K19" s="63" t="s">
        <v>1346</v>
      </c>
    </row>
    <row r="20" spans="1:11" ht="14.25" x14ac:dyDescent="0.15">
      <c r="A20" s="17" t="s">
        <v>8</v>
      </c>
      <c r="B20" s="63">
        <v>12026</v>
      </c>
      <c r="C20" s="4">
        <v>5</v>
      </c>
      <c r="D20" s="81">
        <v>5</v>
      </c>
      <c r="E20" s="103" t="s">
        <v>1839</v>
      </c>
      <c r="F20" s="104" t="s">
        <v>1898</v>
      </c>
      <c r="G20" s="104" t="s">
        <v>1893</v>
      </c>
      <c r="H20" s="104" t="s">
        <v>2151</v>
      </c>
      <c r="I20" s="104"/>
      <c r="J20" s="104"/>
      <c r="K20" s="63" t="s">
        <v>1347</v>
      </c>
    </row>
    <row r="21" spans="1:11" ht="14.25" x14ac:dyDescent="0.15">
      <c r="A21" s="17" t="s">
        <v>8</v>
      </c>
      <c r="B21" s="63">
        <v>12041</v>
      </c>
      <c r="C21" s="4">
        <v>5</v>
      </c>
      <c r="D21" s="81">
        <v>1</v>
      </c>
      <c r="E21" s="103" t="s">
        <v>1840</v>
      </c>
      <c r="F21" s="104" t="s">
        <v>1864</v>
      </c>
      <c r="G21" s="104" t="s">
        <v>1865</v>
      </c>
      <c r="H21" s="104" t="s">
        <v>2152</v>
      </c>
      <c r="I21" s="104"/>
      <c r="J21" s="104"/>
      <c r="K21" s="63" t="s">
        <v>1348</v>
      </c>
    </row>
    <row r="22" spans="1:11" ht="14.25" x14ac:dyDescent="0.15">
      <c r="A22" s="17" t="s">
        <v>8</v>
      </c>
      <c r="B22" s="63">
        <v>12042</v>
      </c>
      <c r="C22" s="4">
        <v>5</v>
      </c>
      <c r="D22" s="81">
        <v>1</v>
      </c>
      <c r="E22" s="103" t="s">
        <v>1841</v>
      </c>
      <c r="F22" s="104" t="s">
        <v>1866</v>
      </c>
      <c r="G22" s="104" t="s">
        <v>1865</v>
      </c>
      <c r="H22" s="104" t="s">
        <v>2152</v>
      </c>
      <c r="I22" s="104"/>
      <c r="J22" s="104"/>
      <c r="K22" s="63" t="s">
        <v>1349</v>
      </c>
    </row>
    <row r="23" spans="1:11" ht="14.25" x14ac:dyDescent="0.15">
      <c r="A23" s="17" t="s">
        <v>8</v>
      </c>
      <c r="B23" s="63">
        <v>12043</v>
      </c>
      <c r="C23" s="4">
        <v>5</v>
      </c>
      <c r="D23" s="81">
        <v>1</v>
      </c>
      <c r="E23" s="103" t="s">
        <v>1842</v>
      </c>
      <c r="F23" s="104" t="s">
        <v>1867</v>
      </c>
      <c r="G23" s="104" t="s">
        <v>1865</v>
      </c>
      <c r="H23" s="104" t="s">
        <v>2152</v>
      </c>
      <c r="I23" s="104"/>
      <c r="J23" s="104"/>
      <c r="K23" s="63" t="s">
        <v>1350</v>
      </c>
    </row>
    <row r="24" spans="1:11" ht="14.25" x14ac:dyDescent="0.15">
      <c r="A24" s="17" t="s">
        <v>8</v>
      </c>
      <c r="B24" s="63">
        <v>12044</v>
      </c>
      <c r="C24" s="4">
        <v>5</v>
      </c>
      <c r="D24" s="81">
        <v>1</v>
      </c>
      <c r="E24" s="103" t="s">
        <v>1843</v>
      </c>
      <c r="F24" s="104" t="s">
        <v>1868</v>
      </c>
      <c r="G24" s="104" t="s">
        <v>1865</v>
      </c>
      <c r="H24" s="104" t="s">
        <v>2152</v>
      </c>
      <c r="I24" s="104"/>
      <c r="J24" s="104"/>
      <c r="K24" s="63" t="s">
        <v>1351</v>
      </c>
    </row>
    <row r="25" spans="1:11" ht="14.25" x14ac:dyDescent="0.15">
      <c r="A25" s="17" t="s">
        <v>8</v>
      </c>
      <c r="B25" s="63">
        <v>12045</v>
      </c>
      <c r="C25" s="4">
        <v>5</v>
      </c>
      <c r="D25" s="81">
        <v>1</v>
      </c>
      <c r="E25" s="103" t="s">
        <v>1844</v>
      </c>
      <c r="F25" s="104" t="s">
        <v>1869</v>
      </c>
      <c r="G25" s="104" t="s">
        <v>1865</v>
      </c>
      <c r="H25" s="104" t="s">
        <v>2152</v>
      </c>
      <c r="I25" s="104"/>
      <c r="J25" s="104"/>
      <c r="K25" s="63" t="s">
        <v>1352</v>
      </c>
    </row>
    <row r="26" spans="1:11" ht="14.25" x14ac:dyDescent="0.15">
      <c r="A26" s="17" t="s">
        <v>8</v>
      </c>
      <c r="B26" s="63">
        <v>12046</v>
      </c>
      <c r="C26" s="4">
        <v>5</v>
      </c>
      <c r="D26" s="81">
        <v>1</v>
      </c>
      <c r="E26" s="103" t="s">
        <v>1845</v>
      </c>
      <c r="F26" s="104" t="s">
        <v>1870</v>
      </c>
      <c r="G26" s="104" t="s">
        <v>1865</v>
      </c>
      <c r="H26" s="104" t="s">
        <v>2152</v>
      </c>
      <c r="I26" s="104"/>
      <c r="J26" s="104"/>
      <c r="K26" s="63" t="s">
        <v>1353</v>
      </c>
    </row>
    <row r="27" spans="1:11" ht="14.25" x14ac:dyDescent="0.15">
      <c r="A27" s="17" t="s">
        <v>8</v>
      </c>
      <c r="B27" s="63">
        <v>12061</v>
      </c>
      <c r="C27" s="4">
        <v>5</v>
      </c>
      <c r="D27" s="81">
        <v>4</v>
      </c>
      <c r="E27" s="103" t="s">
        <v>1846</v>
      </c>
      <c r="F27" s="104" t="s">
        <v>1871</v>
      </c>
      <c r="G27" s="104" t="s">
        <v>1872</v>
      </c>
      <c r="H27" s="104" t="s">
        <v>2153</v>
      </c>
      <c r="I27" s="104"/>
      <c r="J27" s="104"/>
      <c r="K27" s="63" t="s">
        <v>1354</v>
      </c>
    </row>
    <row r="28" spans="1:11" ht="14.25" x14ac:dyDescent="0.15">
      <c r="A28" s="17" t="s">
        <v>8</v>
      </c>
      <c r="B28" s="63">
        <v>12062</v>
      </c>
      <c r="C28" s="4">
        <v>5</v>
      </c>
      <c r="D28" s="81">
        <v>4</v>
      </c>
      <c r="E28" s="103" t="s">
        <v>1847</v>
      </c>
      <c r="F28" s="104" t="s">
        <v>1873</v>
      </c>
      <c r="G28" s="104" t="s">
        <v>1872</v>
      </c>
      <c r="H28" s="104" t="s">
        <v>2153</v>
      </c>
      <c r="I28" s="104"/>
      <c r="J28" s="104"/>
      <c r="K28" s="63" t="s">
        <v>1355</v>
      </c>
    </row>
    <row r="29" spans="1:11" ht="14.25" x14ac:dyDescent="0.15">
      <c r="A29" s="17" t="s">
        <v>8</v>
      </c>
      <c r="B29" s="63">
        <v>12063</v>
      </c>
      <c r="C29" s="4">
        <v>5</v>
      </c>
      <c r="D29" s="81">
        <v>4</v>
      </c>
      <c r="E29" s="103" t="s">
        <v>1848</v>
      </c>
      <c r="F29" s="104" t="s">
        <v>1874</v>
      </c>
      <c r="G29" s="104" t="s">
        <v>1872</v>
      </c>
      <c r="H29" s="104" t="s">
        <v>2153</v>
      </c>
      <c r="I29" s="104"/>
      <c r="J29" s="104"/>
      <c r="K29" s="63" t="s">
        <v>1356</v>
      </c>
    </row>
    <row r="30" spans="1:11" ht="14.25" x14ac:dyDescent="0.15">
      <c r="A30" s="17" t="s">
        <v>8</v>
      </c>
      <c r="B30" s="63">
        <v>12064</v>
      </c>
      <c r="C30" s="4">
        <v>5</v>
      </c>
      <c r="D30" s="81">
        <v>4</v>
      </c>
      <c r="E30" s="103" t="s">
        <v>1849</v>
      </c>
      <c r="F30" s="104" t="s">
        <v>1875</v>
      </c>
      <c r="G30" s="104" t="s">
        <v>1872</v>
      </c>
      <c r="H30" s="104" t="s">
        <v>2153</v>
      </c>
      <c r="I30" s="104"/>
      <c r="J30" s="104"/>
      <c r="K30" s="63" t="s">
        <v>1357</v>
      </c>
    </row>
    <row r="31" spans="1:11" ht="14.25" x14ac:dyDescent="0.15">
      <c r="A31" s="17" t="s">
        <v>8</v>
      </c>
      <c r="B31" s="63">
        <v>12065</v>
      </c>
      <c r="C31" s="4">
        <v>5</v>
      </c>
      <c r="D31" s="81">
        <v>4</v>
      </c>
      <c r="E31" s="103" t="s">
        <v>1850</v>
      </c>
      <c r="F31" s="104" t="s">
        <v>1876</v>
      </c>
      <c r="G31" s="104" t="s">
        <v>1872</v>
      </c>
      <c r="H31" s="104" t="s">
        <v>2153</v>
      </c>
      <c r="I31" s="104"/>
      <c r="J31" s="104"/>
      <c r="K31" s="63" t="s">
        <v>1358</v>
      </c>
    </row>
    <row r="32" spans="1:11" ht="14.25" x14ac:dyDescent="0.15">
      <c r="A32" s="17" t="s">
        <v>8</v>
      </c>
      <c r="B32" s="63">
        <v>12066</v>
      </c>
      <c r="C32" s="4">
        <v>5</v>
      </c>
      <c r="D32" s="81">
        <v>4</v>
      </c>
      <c r="E32" s="103" t="s">
        <v>1851</v>
      </c>
      <c r="F32" s="104" t="s">
        <v>1877</v>
      </c>
      <c r="G32" s="104" t="s">
        <v>1872</v>
      </c>
      <c r="H32" s="104" t="s">
        <v>2153</v>
      </c>
      <c r="I32" s="104"/>
      <c r="J32" s="104"/>
      <c r="K32" s="63" t="s">
        <v>1359</v>
      </c>
    </row>
    <row r="33" spans="1:11" ht="14.25" x14ac:dyDescent="0.15">
      <c r="A33" s="17" t="s">
        <v>8</v>
      </c>
      <c r="B33" s="63">
        <v>12081</v>
      </c>
      <c r="C33" s="4">
        <v>5</v>
      </c>
      <c r="D33" s="81">
        <v>2</v>
      </c>
      <c r="E33" s="103" t="s">
        <v>1852</v>
      </c>
      <c r="F33" s="104" t="s">
        <v>1878</v>
      </c>
      <c r="G33" s="104" t="s">
        <v>1879</v>
      </c>
      <c r="H33" s="104" t="s">
        <v>2154</v>
      </c>
      <c r="I33" s="104"/>
      <c r="J33" s="104"/>
      <c r="K33" s="63" t="s">
        <v>1360</v>
      </c>
    </row>
    <row r="34" spans="1:11" ht="14.25" x14ac:dyDescent="0.15">
      <c r="A34" s="17" t="s">
        <v>8</v>
      </c>
      <c r="B34" s="63">
        <v>12082</v>
      </c>
      <c r="C34" s="4">
        <v>5</v>
      </c>
      <c r="D34" s="81">
        <v>2</v>
      </c>
      <c r="E34" s="103" t="s">
        <v>1853</v>
      </c>
      <c r="F34" s="104" t="s">
        <v>1880</v>
      </c>
      <c r="G34" s="104" t="s">
        <v>1879</v>
      </c>
      <c r="H34" s="104" t="s">
        <v>2154</v>
      </c>
      <c r="I34" s="104"/>
      <c r="J34" s="104"/>
      <c r="K34" s="63" t="s">
        <v>1361</v>
      </c>
    </row>
    <row r="35" spans="1:11" ht="14.25" x14ac:dyDescent="0.15">
      <c r="A35" s="17" t="s">
        <v>8</v>
      </c>
      <c r="B35" s="63">
        <v>12083</v>
      </c>
      <c r="C35" s="4">
        <v>5</v>
      </c>
      <c r="D35" s="81">
        <v>2</v>
      </c>
      <c r="E35" s="103" t="s">
        <v>1854</v>
      </c>
      <c r="F35" s="104" t="s">
        <v>1881</v>
      </c>
      <c r="G35" s="104" t="s">
        <v>1879</v>
      </c>
      <c r="H35" s="104" t="s">
        <v>2154</v>
      </c>
      <c r="I35" s="104"/>
      <c r="J35" s="104"/>
      <c r="K35" s="63" t="s">
        <v>1362</v>
      </c>
    </row>
    <row r="36" spans="1:11" ht="14.25" x14ac:dyDescent="0.15">
      <c r="A36" s="17" t="s">
        <v>8</v>
      </c>
      <c r="B36" s="63">
        <v>12084</v>
      </c>
      <c r="C36" s="4">
        <v>5</v>
      </c>
      <c r="D36" s="81">
        <v>2</v>
      </c>
      <c r="E36" s="103" t="s">
        <v>1855</v>
      </c>
      <c r="F36" s="104" t="s">
        <v>1882</v>
      </c>
      <c r="G36" s="104" t="s">
        <v>1879</v>
      </c>
      <c r="H36" s="104" t="s">
        <v>2154</v>
      </c>
      <c r="I36" s="104"/>
      <c r="J36" s="104"/>
      <c r="K36" s="63" t="s">
        <v>1363</v>
      </c>
    </row>
    <row r="37" spans="1:11" ht="14.25" x14ac:dyDescent="0.15">
      <c r="A37" s="17" t="s">
        <v>8</v>
      </c>
      <c r="B37" s="63">
        <v>12085</v>
      </c>
      <c r="C37" s="4">
        <v>5</v>
      </c>
      <c r="D37" s="81">
        <v>2</v>
      </c>
      <c r="E37" s="103" t="s">
        <v>1856</v>
      </c>
      <c r="F37" s="104" t="s">
        <v>1883</v>
      </c>
      <c r="G37" s="104" t="s">
        <v>1879</v>
      </c>
      <c r="H37" s="104" t="s">
        <v>2154</v>
      </c>
      <c r="I37" s="104"/>
      <c r="J37" s="104"/>
      <c r="K37" s="63" t="s">
        <v>1364</v>
      </c>
    </row>
    <row r="38" spans="1:11" ht="14.25" x14ac:dyDescent="0.15">
      <c r="A38" s="17" t="s">
        <v>8</v>
      </c>
      <c r="B38" s="63">
        <v>12086</v>
      </c>
      <c r="C38" s="4">
        <v>5</v>
      </c>
      <c r="D38" s="81">
        <v>2</v>
      </c>
      <c r="E38" s="103" t="s">
        <v>1857</v>
      </c>
      <c r="F38" s="104" t="s">
        <v>1884</v>
      </c>
      <c r="G38" s="104" t="s">
        <v>1879</v>
      </c>
      <c r="H38" s="104" t="s">
        <v>2154</v>
      </c>
      <c r="I38" s="104"/>
      <c r="J38" s="104"/>
      <c r="K38" s="63" t="s">
        <v>1365</v>
      </c>
    </row>
  </sheetData>
  <phoneticPr fontId="26" type="noConversion"/>
  <conditionalFormatting sqref="B11:B38">
    <cfRule type="duplicateValues" dxfId="1" priority="2"/>
  </conditionalFormatting>
  <conditionalFormatting sqref="B9:B10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0"/>
  <sheetViews>
    <sheetView workbookViewId="0">
      <selection activeCell="C6" sqref="C6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16384" width="9" style="4"/>
  </cols>
  <sheetData>
    <row r="1" spans="1:3" s="1" customFormat="1" x14ac:dyDescent="0.15">
      <c r="A1" s="5" t="s">
        <v>66</v>
      </c>
      <c r="B1" s="1" t="s">
        <v>13</v>
      </c>
      <c r="C1" s="1" t="s">
        <v>8</v>
      </c>
    </row>
    <row r="2" spans="1:3" s="1" customFormat="1" x14ac:dyDescent="0.15">
      <c r="A2" s="5" t="s">
        <v>15</v>
      </c>
      <c r="B2" s="1" t="s">
        <v>8</v>
      </c>
      <c r="C2" s="1" t="s">
        <v>8</v>
      </c>
    </row>
    <row r="3" spans="1:3" s="2" customFormat="1" ht="14.25" x14ac:dyDescent="0.15">
      <c r="A3" s="52" t="s">
        <v>8</v>
      </c>
      <c r="B3" s="52" t="s">
        <v>9</v>
      </c>
      <c r="C3" s="52" t="s">
        <v>9</v>
      </c>
    </row>
    <row r="4" spans="1:3" s="2" customFormat="1" ht="14.25" x14ac:dyDescent="0.15">
      <c r="A4" s="52"/>
      <c r="B4" s="52" t="s">
        <v>12</v>
      </c>
      <c r="C4" s="52" t="s">
        <v>1314</v>
      </c>
    </row>
    <row r="5" spans="1:3" s="2" customFormat="1" ht="14.25" x14ac:dyDescent="0.15">
      <c r="A5" s="52"/>
      <c r="B5" s="52" t="str">
        <f>IF(B3="","",IF(B3="INT","i",IF(B3="FLOAT","f",IF(B3="STRING","s"))))</f>
        <v>i</v>
      </c>
      <c r="C5" s="52" t="s">
        <v>780</v>
      </c>
    </row>
    <row r="6" spans="1:3" s="2" customFormat="1" ht="14.25" x14ac:dyDescent="0.15">
      <c r="A6" s="52" t="s">
        <v>8</v>
      </c>
      <c r="B6" s="52" t="str">
        <f>B5&amp;B4</f>
        <v>iID</v>
      </c>
      <c r="C6" s="52" t="s">
        <v>1319</v>
      </c>
    </row>
    <row r="7" spans="1:3" s="3" customFormat="1" ht="14.25" x14ac:dyDescent="0.15">
      <c r="A7" s="52"/>
      <c r="B7" s="52" t="s">
        <v>28</v>
      </c>
      <c r="C7" s="52" t="s">
        <v>1315</v>
      </c>
    </row>
    <row r="8" spans="1:3" s="3" customFormat="1" ht="27.6" customHeight="1" x14ac:dyDescent="0.15">
      <c r="A8" s="52" t="s">
        <v>11</v>
      </c>
      <c r="B8" s="52">
        <v>0</v>
      </c>
      <c r="C8" s="52">
        <v>0</v>
      </c>
    </row>
    <row r="9" spans="1:3" s="68" customFormat="1" ht="14.25" x14ac:dyDescent="0.15">
      <c r="A9" s="66"/>
      <c r="B9" s="66"/>
    </row>
    <row r="10" spans="1:3" ht="14.25" x14ac:dyDescent="0.15">
      <c r="A10" s="17" t="s">
        <v>8</v>
      </c>
      <c r="B10" s="18">
        <v>1</v>
      </c>
      <c r="C10" s="4">
        <v>1</v>
      </c>
    </row>
    <row r="11" spans="1:3" ht="14.25" x14ac:dyDescent="0.15">
      <c r="A11" s="17" t="s">
        <v>8</v>
      </c>
      <c r="B11" s="18">
        <v>2</v>
      </c>
      <c r="C11" s="4">
        <v>1</v>
      </c>
    </row>
    <row r="12" spans="1:3" ht="14.25" x14ac:dyDescent="0.15">
      <c r="A12" s="4" t="s">
        <v>1318</v>
      </c>
      <c r="B12" s="18">
        <v>3</v>
      </c>
      <c r="C12" s="4">
        <v>1</v>
      </c>
    </row>
    <row r="13" spans="1:3" ht="14.25" x14ac:dyDescent="0.15">
      <c r="A13" s="4" t="s">
        <v>1318</v>
      </c>
      <c r="B13" s="18">
        <v>4</v>
      </c>
      <c r="C13" s="4">
        <v>1</v>
      </c>
    </row>
    <row r="14" spans="1:3" ht="14.25" x14ac:dyDescent="0.15">
      <c r="A14" s="4" t="s">
        <v>1318</v>
      </c>
      <c r="B14" s="18">
        <v>5</v>
      </c>
      <c r="C14" s="4">
        <v>1</v>
      </c>
    </row>
    <row r="15" spans="1:3" ht="14.25" x14ac:dyDescent="0.15">
      <c r="A15" s="4" t="s">
        <v>1318</v>
      </c>
      <c r="B15" s="18">
        <v>6</v>
      </c>
      <c r="C15" s="4">
        <v>1</v>
      </c>
    </row>
    <row r="16" spans="1:3" ht="14.25" x14ac:dyDescent="0.15">
      <c r="A16" s="4" t="s">
        <v>1318</v>
      </c>
      <c r="B16" s="18">
        <v>7</v>
      </c>
      <c r="C16" s="4">
        <v>1</v>
      </c>
    </row>
    <row r="17" spans="1:3" ht="14.25" x14ac:dyDescent="0.15">
      <c r="A17" s="4" t="s">
        <v>1318</v>
      </c>
      <c r="B17" s="18">
        <v>8</v>
      </c>
      <c r="C17" s="4">
        <v>1</v>
      </c>
    </row>
    <row r="18" spans="1:3" ht="14.25" x14ac:dyDescent="0.15">
      <c r="A18" s="4" t="s">
        <v>1318</v>
      </c>
      <c r="B18" s="18">
        <v>9</v>
      </c>
      <c r="C18" s="4">
        <v>1</v>
      </c>
    </row>
    <row r="19" spans="1:3" ht="14.25" x14ac:dyDescent="0.15">
      <c r="A19" s="4" t="s">
        <v>1318</v>
      </c>
      <c r="B19" s="18">
        <v>10</v>
      </c>
      <c r="C19" s="4">
        <v>1</v>
      </c>
    </row>
    <row r="20" spans="1:3" ht="14.25" x14ac:dyDescent="0.15">
      <c r="A20" s="4" t="s">
        <v>1318</v>
      </c>
      <c r="B20" s="18">
        <v>11</v>
      </c>
      <c r="C20" s="4">
        <v>1</v>
      </c>
    </row>
  </sheetData>
  <phoneticPr fontId="2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INDEX</vt:lpstr>
      <vt:lpstr>Item</vt:lpstr>
      <vt:lpstr>PktItem</vt:lpstr>
      <vt:lpstr>ItemQuality</vt:lpstr>
      <vt:lpstr>FastItem</vt:lpstr>
      <vt:lpstr>ExpItem</vt:lpstr>
      <vt:lpstr>SellItem</vt:lpstr>
      <vt:lpstr>GiftItem</vt:lpstr>
      <vt:lpstr>Voicetem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boot</cp:lastModifiedBy>
  <dcterms:created xsi:type="dcterms:W3CDTF">2015-12-31T17:39:00Z</dcterms:created>
  <dcterms:modified xsi:type="dcterms:W3CDTF">2020-04-21T07:20:47Z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2052-9.1.0.5113</vt:lpwstr>
  </property>
</Properties>
</file>