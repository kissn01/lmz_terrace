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trunk\Doc\Dev\DataConfig\China\"/>
    </mc:Choice>
  </mc:AlternateContent>
  <bookViews>
    <workbookView xWindow="12270" yWindow="-120" windowWidth="29040" windowHeight="15840" tabRatio="612" firstSheet="2" activeTab="2"/>
  </bookViews>
  <sheets>
    <sheet name="INDEX" sheetId="1" r:id="rId1"/>
    <sheet name="DailyTrustTaskInfo" sheetId="12" r:id="rId2"/>
    <sheet name="TaskInfo" sheetId="3" r:id="rId3"/>
    <sheet name="SevenDaysTask" sheetId="13" r:id="rId4"/>
    <sheet name="GuideTaskAward" sheetId="7" r:id="rId5"/>
    <sheet name="GuideTaskChain" sheetId="8" r:id="rId6"/>
    <sheet name="TaskAcceptLimit" sheetId="6" r:id="rId7"/>
    <sheet name="DailyActive" sheetId="9" r:id="rId8"/>
    <sheet name="Guide" sheetId="11" r:id="rId9"/>
    <sheet name="任务相关说明" sheetId="10" r:id="rId10"/>
  </sheets>
  <functionGroups builtInGroupCount="18"/>
  <definedNames>
    <definedName name="_xlnm._FilterDatabase" localSheetId="0" hidden="1">INDEX!$A$2:$F$4</definedName>
    <definedName name="_xlnm._FilterDatabase" localSheetId="2" hidden="1">TaskInfo!$A$9:$U$117</definedName>
  </definedNames>
  <calcPr calcId="162913" calcMode="manual"/>
</workbook>
</file>

<file path=xl/calcChain.xml><?xml version="1.0" encoding="utf-8"?>
<calcChain xmlns="http://schemas.openxmlformats.org/spreadsheetml/2006/main">
  <c r="U5" i="3" l="1"/>
  <c r="U6" i="3" s="1"/>
  <c r="T5" i="3"/>
  <c r="T6" i="3" s="1"/>
  <c r="R5" i="11" l="1"/>
  <c r="R6" i="11" s="1"/>
  <c r="P5" i="11"/>
  <c r="P6" i="11" s="1"/>
  <c r="O5" i="11"/>
  <c r="O6" i="11" s="1"/>
  <c r="N5" i="11"/>
  <c r="N6" i="11" s="1"/>
  <c r="M5" i="11"/>
  <c r="M6" i="11" s="1"/>
  <c r="L5" i="11"/>
  <c r="L6" i="11" s="1"/>
  <c r="K5" i="11"/>
  <c r="K6" i="11" s="1"/>
  <c r="J5" i="11"/>
  <c r="J6" i="11" s="1"/>
  <c r="I5" i="11"/>
  <c r="I6" i="11" s="1"/>
  <c r="H5" i="11"/>
  <c r="H6" i="11" s="1"/>
  <c r="G5" i="11"/>
  <c r="G6" i="11" s="1"/>
  <c r="F5" i="11"/>
  <c r="F6" i="11" s="1"/>
  <c r="E5" i="11"/>
  <c r="E6" i="11" s="1"/>
  <c r="D5" i="11"/>
  <c r="D6" i="11" s="1"/>
  <c r="C5" i="11"/>
  <c r="C6" i="11" s="1"/>
  <c r="B5" i="11"/>
  <c r="B6" i="11" s="1"/>
  <c r="C8" i="13" l="1"/>
  <c r="C5" i="13"/>
  <c r="C6" i="13" s="1"/>
  <c r="B8" i="13"/>
  <c r="B5" i="13"/>
  <c r="B6" i="13" s="1"/>
  <c r="B8" i="3" l="1"/>
  <c r="R6" i="3"/>
  <c r="Q6" i="3"/>
  <c r="P6" i="3"/>
  <c r="O6" i="3"/>
  <c r="N6" i="3"/>
  <c r="K6" i="3"/>
  <c r="J6" i="3"/>
  <c r="H6" i="3"/>
  <c r="G6" i="3"/>
  <c r="F6" i="3"/>
  <c r="C6" i="3"/>
  <c r="M5" i="3"/>
  <c r="M6" i="3" s="1"/>
  <c r="L5" i="3"/>
  <c r="L6" i="3" s="1"/>
  <c r="I5" i="3"/>
  <c r="I6" i="3" s="1"/>
  <c r="E5" i="3"/>
  <c r="E6" i="3" s="1"/>
  <c r="D5" i="3"/>
  <c r="D6" i="3" s="1"/>
  <c r="B5" i="3"/>
  <c r="B6" i="3" s="1"/>
  <c r="F6" i="12" l="1"/>
  <c r="K5" i="12"/>
  <c r="K6" i="12" s="1"/>
  <c r="D5" i="12"/>
  <c r="D6" i="12" s="1"/>
  <c r="H5" i="12"/>
  <c r="H6" i="12" s="1"/>
  <c r="G5" i="12"/>
  <c r="G6" i="12" s="1"/>
  <c r="J6" i="12"/>
  <c r="E6" i="12"/>
  <c r="C6" i="12"/>
  <c r="I5" i="12"/>
  <c r="I6" i="12" s="1"/>
  <c r="B5" i="12"/>
  <c r="B6" i="12" s="1"/>
  <c r="B8" i="8" l="1"/>
  <c r="H6" i="8"/>
  <c r="G6" i="8"/>
  <c r="F5" i="8"/>
  <c r="F6" i="8" s="1"/>
  <c r="E5" i="8"/>
  <c r="E6" i="8" s="1"/>
  <c r="D5" i="8"/>
  <c r="D6" i="8" s="1"/>
  <c r="C5" i="8"/>
  <c r="C6" i="8" s="1"/>
  <c r="B5" i="8"/>
  <c r="B6" i="8" s="1"/>
  <c r="J6" i="6" l="1"/>
  <c r="D6" i="9" l="1"/>
  <c r="B8" i="9"/>
  <c r="C5" i="9"/>
  <c r="C6" i="9" s="1"/>
  <c r="B5" i="9"/>
  <c r="B6" i="9" s="1"/>
  <c r="B8" i="7" l="1"/>
  <c r="F6" i="7"/>
  <c r="E6" i="7"/>
  <c r="D6" i="7"/>
  <c r="C5" i="7"/>
  <c r="C6" i="7" s="1"/>
  <c r="B5" i="7"/>
  <c r="B6" i="7" s="1"/>
  <c r="B8" i="6"/>
  <c r="I6" i="6"/>
  <c r="H6" i="6"/>
  <c r="F6" i="6"/>
  <c r="E6" i="6"/>
  <c r="G5" i="6"/>
  <c r="G6" i="6" s="1"/>
  <c r="D5" i="6"/>
  <c r="D6" i="6" s="1"/>
  <c r="C5" i="6"/>
  <c r="C6" i="6" s="1"/>
  <c r="B5" i="6"/>
  <c r="B6" i="6" s="1"/>
</calcChain>
</file>

<file path=xl/sharedStrings.xml><?xml version="1.0" encoding="utf-8"?>
<sst xmlns="http://schemas.openxmlformats.org/spreadsheetml/2006/main" count="2002" uniqueCount="1111">
  <si>
    <t>1至100之和：</t>
  </si>
  <si>
    <t>导出者</t>
  </si>
  <si>
    <t>Count</t>
  </si>
  <si>
    <t>SheetName</t>
  </si>
  <si>
    <t>TargetDIR</t>
  </si>
  <si>
    <t>StringDIR</t>
  </si>
  <si>
    <t>注释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</si>
  <si>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</si>
  <si>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*</t>
  </si>
  <si>
    <t>INT</t>
  </si>
  <si>
    <t>默认值</t>
  </si>
  <si>
    <t>ID</t>
  </si>
  <si>
    <t>*</t>
    <phoneticPr fontId="26" type="noConversion"/>
  </si>
  <si>
    <t>全部导出</t>
    <phoneticPr fontId="26" type="noConversion"/>
  </si>
  <si>
    <t>client</t>
    <phoneticPr fontId="26" type="noConversion"/>
  </si>
  <si>
    <t>导出/server</t>
    <phoneticPr fontId="26" type="noConversion"/>
  </si>
  <si>
    <t>STRING</t>
    <phoneticPr fontId="28" type="noConversion"/>
  </si>
  <si>
    <t>s</t>
    <phoneticPr fontId="28" type="noConversion"/>
  </si>
  <si>
    <t>..\..\DataServer\China\</t>
    <phoneticPr fontId="28" type="noConversion"/>
  </si>
  <si>
    <t>任务ID</t>
    <phoneticPr fontId="28" type="noConversion"/>
  </si>
  <si>
    <t>INT</t>
    <phoneticPr fontId="26" type="noConversion"/>
  </si>
  <si>
    <t>JumpTo</t>
  </si>
  <si>
    <t>STRING</t>
    <phoneticPr fontId="26" type="noConversion"/>
  </si>
  <si>
    <t>任务</t>
    <phoneticPr fontId="26" type="noConversion"/>
  </si>
  <si>
    <t>TaskId</t>
    <phoneticPr fontId="28" type="noConversion"/>
  </si>
  <si>
    <t>TaskName</t>
    <phoneticPr fontId="26" type="noConversion"/>
  </si>
  <si>
    <t>TaskDesc</t>
    <phoneticPr fontId="26" type="noConversion"/>
  </si>
  <si>
    <t>任务内容</t>
    <phoneticPr fontId="26" type="noConversion"/>
  </si>
  <si>
    <t>*</t>
    <phoneticPr fontId="26" type="noConversion"/>
  </si>
  <si>
    <t>TaskType</t>
    <phoneticPr fontId="26" type="noConversion"/>
  </si>
  <si>
    <t>i</t>
    <phoneticPr fontId="26" type="noConversion"/>
  </si>
  <si>
    <t>STRING</t>
    <phoneticPr fontId="26" type="noConversion"/>
  </si>
  <si>
    <t>Icon</t>
    <phoneticPr fontId="26" type="noConversion"/>
  </si>
  <si>
    <t>s</t>
    <phoneticPr fontId="26" type="noConversion"/>
  </si>
  <si>
    <t>任务图标</t>
    <phoneticPr fontId="26" type="noConversion"/>
  </si>
  <si>
    <t>TaskAward</t>
    <phoneticPr fontId="26" type="noConversion"/>
  </si>
  <si>
    <t>任务奖励</t>
    <phoneticPr fontId="26" type="noConversion"/>
  </si>
  <si>
    <t>任务条件表ID</t>
    <phoneticPr fontId="28" type="noConversion"/>
  </si>
  <si>
    <t>条件值</t>
    <phoneticPr fontId="26" type="noConversion"/>
  </si>
  <si>
    <t>i</t>
    <phoneticPr fontId="26" type="noConversion"/>
  </si>
  <si>
    <t>JudgeType</t>
    <phoneticPr fontId="26" type="noConversion"/>
  </si>
  <si>
    <t>判断类型</t>
    <phoneticPr fontId="26" type="noConversion"/>
  </si>
  <si>
    <t>LimitType</t>
    <phoneticPr fontId="26" type="noConversion"/>
  </si>
  <si>
    <t>限制类型</t>
    <phoneticPr fontId="26" type="noConversion"/>
  </si>
  <si>
    <t>限制子类型</t>
    <phoneticPr fontId="26" type="noConversion"/>
  </si>
  <si>
    <t>LimitSubType</t>
    <phoneticPr fontId="26" type="noConversion"/>
  </si>
  <si>
    <t>ID</t>
    <phoneticPr fontId="28" type="noConversion"/>
  </si>
  <si>
    <t>FinishDesc</t>
    <phoneticPr fontId="28" type="noConversion"/>
  </si>
  <si>
    <t>完成时描述</t>
    <phoneticPr fontId="26" type="noConversion"/>
  </si>
  <si>
    <t>完成全部任务可获得宝箱</t>
  </si>
  <si>
    <t>完成全部任务可获得宝箱</t>
    <phoneticPr fontId="26" type="noConversion"/>
  </si>
  <si>
    <t>Param1</t>
    <phoneticPr fontId="26" type="noConversion"/>
  </si>
  <si>
    <t>Param2</t>
    <phoneticPr fontId="26" type="noConversion"/>
  </si>
  <si>
    <t>s</t>
    <phoneticPr fontId="26" type="noConversion"/>
  </si>
  <si>
    <t>参数1</t>
    <phoneticPr fontId="26" type="noConversion"/>
  </si>
  <si>
    <t>参数2</t>
    <phoneticPr fontId="26" type="noConversion"/>
  </si>
  <si>
    <t>LimitValue</t>
    <phoneticPr fontId="26" type="noConversion"/>
  </si>
  <si>
    <t>TaskInfo</t>
  </si>
  <si>
    <t>GuideTaskAward</t>
  </si>
  <si>
    <t>GuideTaskChain</t>
  </si>
  <si>
    <t>TaskAcceptLimit</t>
  </si>
  <si>
    <t>DailyActive</t>
  </si>
  <si>
    <t>每日活跃</t>
    <phoneticPr fontId="26" type="noConversion"/>
  </si>
  <si>
    <t>索引</t>
    <phoneticPr fontId="28" type="noConversion"/>
  </si>
  <si>
    <t>ActiveProgress</t>
    <phoneticPr fontId="28" type="noConversion"/>
  </si>
  <si>
    <t>活跃度</t>
    <phoneticPr fontId="28" type="noConversion"/>
  </si>
  <si>
    <t>奖励</t>
    <phoneticPr fontId="26" type="noConversion"/>
  </si>
  <si>
    <t>Award</t>
    <phoneticPr fontId="26" type="noConversion"/>
  </si>
  <si>
    <t>售卖物品，上报物品id和数量</t>
  </si>
  <si>
    <t>完成主线剧情节，上报章和节id</t>
  </si>
  <si>
    <t>剧情节ID</t>
    <phoneticPr fontId="26" type="noConversion"/>
  </si>
  <si>
    <t>完成男主剧情节，上报男主、章和节id</t>
  </si>
  <si>
    <t>玩家操作行为，上报玩家操作id</t>
  </si>
  <si>
    <t>完成事件，上报事件ID</t>
  </si>
  <si>
    <t>STRING</t>
  </si>
  <si>
    <t>ConditionDesc</t>
  </si>
  <si>
    <t>s</t>
  </si>
  <si>
    <t>条件描述</t>
  </si>
  <si>
    <t>条件1</t>
  </si>
  <si>
    <t>条件2</t>
  </si>
  <si>
    <t>Necessary</t>
    <phoneticPr fontId="26" type="noConversion"/>
  </si>
  <si>
    <t>必要条件</t>
    <phoneticPr fontId="26" type="noConversion"/>
  </si>
  <si>
    <t>必要条件说明</t>
    <phoneticPr fontId="26" type="noConversion"/>
  </si>
  <si>
    <t>1 逻辑与 &amp;</t>
    <phoneticPr fontId="26" type="noConversion"/>
  </si>
  <si>
    <t>0 逻辑或 |</t>
    <phoneticPr fontId="26" type="noConversion"/>
  </si>
  <si>
    <t>剧情对话id</t>
  </si>
  <si>
    <t>NPC对话id</t>
  </si>
  <si>
    <t>s</t>
    <phoneticPr fontId="26" type="noConversion"/>
  </si>
  <si>
    <t>任务类型</t>
    <phoneticPr fontId="26" type="noConversion"/>
  </si>
  <si>
    <t>任务标题</t>
    <phoneticPr fontId="26" type="noConversion"/>
  </si>
  <si>
    <t>TaskRank</t>
    <phoneticPr fontId="26" type="noConversion"/>
  </si>
  <si>
    <t>INT</t>
    <phoneticPr fontId="26" type="noConversion"/>
  </si>
  <si>
    <t>INT</t>
    <phoneticPr fontId="26" type="noConversion"/>
  </si>
  <si>
    <t>STRING</t>
    <phoneticPr fontId="26" type="noConversion"/>
  </si>
  <si>
    <t>STRING</t>
    <phoneticPr fontId="26" type="noConversion"/>
  </si>
  <si>
    <t>TaskChainId</t>
    <phoneticPr fontId="28" type="noConversion"/>
  </si>
  <si>
    <t>TaskDesc</t>
    <phoneticPr fontId="26" type="noConversion"/>
  </si>
  <si>
    <t>Icon</t>
    <phoneticPr fontId="26" type="noConversion"/>
  </si>
  <si>
    <t>TaskAward</t>
    <phoneticPr fontId="26" type="noConversion"/>
  </si>
  <si>
    <t>任务表ID</t>
    <phoneticPr fontId="28" type="noConversion"/>
  </si>
  <si>
    <t>任务链ID</t>
    <phoneticPr fontId="28" type="noConversion"/>
  </si>
  <si>
    <t>排序ID</t>
    <phoneticPr fontId="26" type="noConversion"/>
  </si>
  <si>
    <t>任务内容</t>
    <phoneticPr fontId="26" type="noConversion"/>
  </si>
  <si>
    <t>任务图标</t>
    <phoneticPr fontId="26" type="noConversion"/>
  </si>
  <si>
    <t>任务奖励</t>
    <phoneticPr fontId="26" type="noConversion"/>
  </si>
  <si>
    <t>新手引导任务</t>
    <phoneticPr fontId="26" type="noConversion"/>
  </si>
  <si>
    <t>条件6</t>
  </si>
  <si>
    <t>任务条件ID</t>
    <phoneticPr fontId="28" type="noConversion"/>
  </si>
  <si>
    <t>任务条件ID说明</t>
    <phoneticPr fontId="28" type="noConversion"/>
  </si>
  <si>
    <t>完成任务事件</t>
    <phoneticPr fontId="28" type="noConversion"/>
  </si>
  <si>
    <t>完成任务事件说明</t>
    <phoneticPr fontId="28" type="noConversion"/>
  </si>
  <si>
    <t>条件判断类型</t>
    <phoneticPr fontId="28" type="noConversion"/>
  </si>
  <si>
    <t>条件判断类型说明</t>
    <phoneticPr fontId="28" type="noConversion"/>
  </si>
  <si>
    <t>条件配置</t>
    <phoneticPr fontId="28" type="noConversion"/>
  </si>
  <si>
    <t>条件配置说明</t>
    <phoneticPr fontId="28" type="noConversion"/>
  </si>
  <si>
    <t>建筑ID</t>
    <phoneticPr fontId="26" type="noConversion"/>
  </si>
  <si>
    <t>等于</t>
    <phoneticPr fontId="26" type="noConversion"/>
  </si>
  <si>
    <t>2001&amp;1&amp;2</t>
    <phoneticPr fontId="26" type="noConversion"/>
  </si>
  <si>
    <t>建造建筑id为2</t>
    <phoneticPr fontId="26" type="noConversion"/>
  </si>
  <si>
    <t>建筑等级</t>
    <phoneticPr fontId="26" type="noConversion"/>
  </si>
  <si>
    <t>大于</t>
    <phoneticPr fontId="26" type="noConversion"/>
  </si>
  <si>
    <t>物品ID</t>
    <phoneticPr fontId="26" type="noConversion"/>
  </si>
  <si>
    <t>小于</t>
    <phoneticPr fontId="26" type="noConversion"/>
  </si>
  <si>
    <t>2001&amp;1&amp;2-2002&amp;2&amp;2</t>
    <phoneticPr fontId="26" type="noConversion"/>
  </si>
  <si>
    <t>建造建筑id为2，建筑等级大于等于2</t>
    <phoneticPr fontId="26" type="noConversion"/>
  </si>
  <si>
    <t>物品数量</t>
    <phoneticPr fontId="26" type="noConversion"/>
  </si>
  <si>
    <t>大于等于</t>
    <phoneticPr fontId="26" type="noConversion"/>
  </si>
  <si>
    <t>剧情章ID</t>
    <phoneticPr fontId="26" type="noConversion"/>
  </si>
  <si>
    <t>小于等于</t>
    <phoneticPr fontId="26" type="noConversion"/>
  </si>
  <si>
    <t>不等于</t>
    <phoneticPr fontId="26" type="noConversion"/>
  </si>
  <si>
    <t>剧情男主ID</t>
    <phoneticPr fontId="26" type="noConversion"/>
  </si>
  <si>
    <t>必定成功</t>
    <phoneticPr fontId="26" type="noConversion"/>
  </si>
  <si>
    <t>物品类型</t>
    <phoneticPr fontId="26" type="noConversion"/>
  </si>
  <si>
    <t>猫ID</t>
    <phoneticPr fontId="26" type="noConversion"/>
  </si>
  <si>
    <t>猫等级</t>
    <phoneticPr fontId="26" type="noConversion"/>
  </si>
  <si>
    <t>猫星级</t>
    <phoneticPr fontId="26" type="noConversion"/>
  </si>
  <si>
    <t>猫战力</t>
    <phoneticPr fontId="26" type="noConversion"/>
  </si>
  <si>
    <t>解锁建筑</t>
    <phoneticPr fontId="26" type="noConversion"/>
  </si>
  <si>
    <t>所有猫战力</t>
    <phoneticPr fontId="26" type="noConversion"/>
  </si>
  <si>
    <t>完成八卦任务</t>
  </si>
  <si>
    <t>收获制作物品，上报物品id和数量</t>
  </si>
  <si>
    <t>凡星阁等级</t>
    <phoneticPr fontId="26" type="noConversion"/>
  </si>
  <si>
    <t>限制类型</t>
    <phoneticPr fontId="26" type="noConversion"/>
  </si>
  <si>
    <t>限制类型说明</t>
    <phoneticPr fontId="26" type="noConversion"/>
  </si>
  <si>
    <t>任务ID</t>
    <phoneticPr fontId="28" type="noConversion"/>
  </si>
  <si>
    <t>限制子类型</t>
    <phoneticPr fontId="26" type="noConversion"/>
  </si>
  <si>
    <t>判断类型</t>
    <phoneticPr fontId="26" type="noConversion"/>
  </si>
  <si>
    <t>条件值</t>
    <phoneticPr fontId="26" type="noConversion"/>
  </si>
  <si>
    <t>参数1</t>
    <phoneticPr fontId="26" type="noConversion"/>
  </si>
  <si>
    <t>参数2</t>
    <phoneticPr fontId="26" type="noConversion"/>
  </si>
  <si>
    <t>主线通关</t>
    <phoneticPr fontId="26" type="noConversion"/>
  </si>
  <si>
    <t>好感度</t>
    <phoneticPr fontId="26" type="noConversion"/>
  </si>
  <si>
    <t>通过剧情3-1，条件值1代表通关，参数1代表章节，参数2代表小节</t>
    <phoneticPr fontId="26" type="noConversion"/>
  </si>
  <si>
    <t>指导任务</t>
    <phoneticPr fontId="26" type="noConversion"/>
  </si>
  <si>
    <t>男主1，好感度30达到以上，参数1代表男主ID</t>
    <phoneticPr fontId="26" type="noConversion"/>
  </si>
  <si>
    <t>男主剧情</t>
    <phoneticPr fontId="26" type="noConversion"/>
  </si>
  <si>
    <t>任务1已完成，条件值2代表完成状态，参数1代表任务ID；任务条件值 0 未解锁 1 已解锁 2 已完成 3 已领取奖励</t>
    <phoneticPr fontId="26" type="noConversion"/>
  </si>
  <si>
    <t>通过剧情3-2，条件值1代表通关，参数1代表章节，参数2代表小节</t>
    <phoneticPr fontId="26" type="noConversion"/>
  </si>
  <si>
    <t>Guide</t>
  </si>
  <si>
    <t>新手引导</t>
    <phoneticPr fontId="26" type="noConversion"/>
  </si>
  <si>
    <t>建筑数量或工作台队列数量</t>
    <phoneticPr fontId="26" type="noConversion"/>
  </si>
  <si>
    <t>子建筑ID</t>
    <phoneticPr fontId="26" type="noConversion"/>
  </si>
  <si>
    <t>道具星级</t>
    <phoneticPr fontId="26" type="noConversion"/>
  </si>
  <si>
    <t>后台事件id待定</t>
    <phoneticPr fontId="26" type="noConversion"/>
  </si>
  <si>
    <t>客户端动作行为id待定</t>
  </si>
  <si>
    <t>八卦任务id</t>
    <phoneticPr fontId="26" type="noConversion"/>
  </si>
  <si>
    <t>八卦任务目标id</t>
    <phoneticPr fontId="26" type="noConversion"/>
  </si>
  <si>
    <t>八卦任务目标值</t>
    <phoneticPr fontId="26" type="noConversion"/>
  </si>
  <si>
    <t>成功</t>
    <phoneticPr fontId="26" type="noConversion"/>
  </si>
  <si>
    <t>大成功</t>
    <phoneticPr fontId="26" type="noConversion"/>
  </si>
  <si>
    <t>标签</t>
    <phoneticPr fontId="26" type="noConversion"/>
  </si>
  <si>
    <t>要求的属性</t>
    <phoneticPr fontId="26" type="noConversion"/>
  </si>
  <si>
    <t>LimitLvl</t>
    <phoneticPr fontId="26" type="noConversion"/>
  </si>
  <si>
    <t>等级限制</t>
    <phoneticPr fontId="26" type="noConversion"/>
  </si>
  <si>
    <t>选择卡的数量</t>
    <phoneticPr fontId="26" type="noConversion"/>
  </si>
  <si>
    <t>Property</t>
    <phoneticPr fontId="26" type="noConversion"/>
  </si>
  <si>
    <t>SuccessValue</t>
    <phoneticPr fontId="26" type="noConversion"/>
  </si>
  <si>
    <t>BigSuccessValue</t>
    <phoneticPr fontId="26" type="noConversion"/>
  </si>
  <si>
    <t>en</t>
    <phoneticPr fontId="26" type="noConversion"/>
  </si>
  <si>
    <t>SpecialEventNum</t>
    <phoneticPr fontId="26" type="noConversion"/>
  </si>
  <si>
    <t>SelectCardNum</t>
    <phoneticPr fontId="26" type="noConversion"/>
  </si>
  <si>
    <t>特殊事件数量（暴击）</t>
    <phoneticPr fontId="26" type="noConversion"/>
  </si>
  <si>
    <t>建造或升级建筑,上报建筑id和等级</t>
  </si>
  <si>
    <t>购买物品，上报物品id和数量</t>
  </si>
  <si>
    <t>完成NPC对话</t>
    <phoneticPr fontId="26" type="noConversion"/>
  </si>
  <si>
    <t>招募猫</t>
    <phoneticPr fontId="26" type="noConversion"/>
  </si>
  <si>
    <t>充值</t>
    <phoneticPr fontId="26" type="noConversion"/>
  </si>
  <si>
    <t>领取宝箱奖励</t>
    <phoneticPr fontId="26" type="noConversion"/>
  </si>
  <si>
    <t>把猫放入建筑</t>
    <phoneticPr fontId="26" type="noConversion"/>
  </si>
  <si>
    <t>凡星阁升级</t>
    <phoneticPr fontId="26" type="noConversion"/>
  </si>
  <si>
    <t>使用船售卖</t>
    <phoneticPr fontId="26" type="noConversion"/>
  </si>
  <si>
    <t>打开建筑队列</t>
    <phoneticPr fontId="26" type="noConversion"/>
  </si>
  <si>
    <t>物品有变化</t>
    <phoneticPr fontId="26" type="noConversion"/>
  </si>
  <si>
    <t>完成委托任务</t>
    <phoneticPr fontId="26" type="noConversion"/>
  </si>
  <si>
    <t>商铺上架零售</t>
    <phoneticPr fontId="26" type="noConversion"/>
  </si>
  <si>
    <t>完成结束订单</t>
    <phoneticPr fontId="26" type="noConversion"/>
  </si>
  <si>
    <t>2003&amp;1&amp;21001-2004&amp;4&amp;1</t>
  </si>
  <si>
    <t>所有猫的数量</t>
    <phoneticPr fontId="33" type="noConversion"/>
  </si>
  <si>
    <t>达到等级猫的数量</t>
    <phoneticPr fontId="33" type="noConversion"/>
  </si>
  <si>
    <t>1;1;1000|1;2;100</t>
    <phoneticPr fontId="26" type="noConversion"/>
  </si>
  <si>
    <t>引导解锁第一块农田</t>
  </si>
  <si>
    <t>完成剧情 小云阁困境</t>
  </si>
  <si>
    <t>主角等级达到2级</t>
  </si>
  <si>
    <t>第一次制作凡星绢</t>
  </si>
  <si>
    <t>学会上架商品</t>
  </si>
  <si>
    <t>主角等级达到3级</t>
  </si>
  <si>
    <t>第一次制作柔云织</t>
  </si>
  <si>
    <t>累计店铺零售收益</t>
    <phoneticPr fontId="33" type="noConversion"/>
  </si>
  <si>
    <t>引导点击MainTaskTip</t>
  </si>
  <si>
    <t>点击返回主界面</t>
  </si>
  <si>
    <t>等级提升</t>
    <phoneticPr fontId="26" type="noConversion"/>
  </si>
  <si>
    <t>学习零售</t>
    <phoneticPr fontId="26" type="noConversion"/>
  </si>
  <si>
    <t>制作生产</t>
    <phoneticPr fontId="26" type="noConversion"/>
  </si>
  <si>
    <t>学习更多配方</t>
    <phoneticPr fontId="26" type="noConversion"/>
  </si>
  <si>
    <t>提升自身等级</t>
    <phoneticPr fontId="26" type="noConversion"/>
  </si>
  <si>
    <t>钱是好东西</t>
    <phoneticPr fontId="26" type="noConversion"/>
  </si>
  <si>
    <t>1;5;100</t>
    <phoneticPr fontId="26" type="noConversion"/>
  </si>
  <si>
    <t>振兴凡星阁就靠您了！</t>
    <phoneticPr fontId="26" type="noConversion"/>
  </si>
  <si>
    <t>导出/server</t>
    <phoneticPr fontId="26" type="noConversion"/>
  </si>
  <si>
    <t>*</t>
    <phoneticPr fontId="26" type="noConversion"/>
  </si>
  <si>
    <t>*</t>
    <phoneticPr fontId="26" type="noConversion"/>
  </si>
  <si>
    <t>INT</t>
    <phoneticPr fontId="26" type="noConversion"/>
  </si>
  <si>
    <t>STRING</t>
    <phoneticPr fontId="26" type="noConversion"/>
  </si>
  <si>
    <t>STRING</t>
    <phoneticPr fontId="28" type="noConversion"/>
  </si>
  <si>
    <t>TaskChainId</t>
    <phoneticPr fontId="26" type="noConversion"/>
  </si>
  <si>
    <t>TaskRank</t>
    <phoneticPr fontId="26" type="noConversion"/>
  </si>
  <si>
    <t>NextTaskId</t>
    <phoneticPr fontId="26" type="noConversion"/>
  </si>
  <si>
    <t>CDTime</t>
    <phoneticPr fontId="26" type="noConversion"/>
  </si>
  <si>
    <t>TaskType</t>
    <phoneticPr fontId="26" type="noConversion"/>
  </si>
  <si>
    <t>FinishCount</t>
    <phoneticPr fontId="26" type="noConversion"/>
  </si>
  <si>
    <t>FinishEventID</t>
    <phoneticPr fontId="26" type="noConversion"/>
  </si>
  <si>
    <t>Conditions</t>
    <phoneticPr fontId="26" type="noConversion"/>
  </si>
  <si>
    <t>TaskAward</t>
    <phoneticPr fontId="26" type="noConversion"/>
  </si>
  <si>
    <t>TaskName</t>
    <phoneticPr fontId="26" type="noConversion"/>
  </si>
  <si>
    <t>TaskDesc</t>
    <phoneticPr fontId="26" type="noConversion"/>
  </si>
  <si>
    <t>AcceptLimitDesc</t>
    <phoneticPr fontId="26" type="noConversion"/>
  </si>
  <si>
    <t>Icon</t>
    <phoneticPr fontId="26" type="noConversion"/>
  </si>
  <si>
    <t>ActiveNum</t>
    <phoneticPr fontId="26" type="noConversion"/>
  </si>
  <si>
    <t>AcceptLimitRelation</t>
    <phoneticPr fontId="26" type="noConversion"/>
  </si>
  <si>
    <t>i</t>
    <phoneticPr fontId="26" type="noConversion"/>
  </si>
  <si>
    <t>s</t>
    <phoneticPr fontId="26" type="noConversion"/>
  </si>
  <si>
    <t>s</t>
    <phoneticPr fontId="28" type="noConversion"/>
  </si>
  <si>
    <t>sConditionDesc</t>
    <phoneticPr fontId="26" type="noConversion"/>
  </si>
  <si>
    <t>任务表ID</t>
    <phoneticPr fontId="28" type="noConversion"/>
  </si>
  <si>
    <t>任务链ID</t>
    <phoneticPr fontId="26" type="noConversion"/>
  </si>
  <si>
    <t>排序ID</t>
    <phoneticPr fontId="26" type="noConversion"/>
  </si>
  <si>
    <t>下一个关联任务的id</t>
    <phoneticPr fontId="26" type="noConversion"/>
  </si>
  <si>
    <t>刷新周期</t>
    <phoneticPr fontId="26" type="noConversion"/>
  </si>
  <si>
    <t>任务类型</t>
    <phoneticPr fontId="26" type="noConversion"/>
  </si>
  <si>
    <t>任务完成要达到的数量</t>
    <phoneticPr fontId="26" type="noConversion"/>
  </si>
  <si>
    <t>完成条件ID</t>
    <phoneticPr fontId="26" type="noConversion"/>
  </si>
  <si>
    <t>完成任务需要的条件</t>
    <phoneticPr fontId="26" type="noConversion"/>
  </si>
  <si>
    <t>任务奖励</t>
    <phoneticPr fontId="26" type="noConversion"/>
  </si>
  <si>
    <t>任务标题</t>
    <phoneticPr fontId="26" type="noConversion"/>
  </si>
  <si>
    <t>任务内容</t>
    <phoneticPr fontId="26" type="noConversion"/>
  </si>
  <si>
    <t>接受任务条件描述</t>
    <phoneticPr fontId="26" type="noConversion"/>
  </si>
  <si>
    <t>前往界面</t>
    <phoneticPr fontId="26" type="noConversion"/>
  </si>
  <si>
    <t>任务图标</t>
    <phoneticPr fontId="26" type="noConversion"/>
  </si>
  <si>
    <t>产生的活跃度</t>
    <phoneticPr fontId="26" type="noConversion"/>
  </si>
  <si>
    <t>接受任务条件</t>
    <phoneticPr fontId="26" type="noConversion"/>
  </si>
  <si>
    <t>2005&amp;1&amp;901-2006&amp;1&amp;90102</t>
    <phoneticPr fontId="26" type="noConversion"/>
  </si>
  <si>
    <t>命悬一线的不一定是刺杀，还有朦胧暧昧的浴池。</t>
  </si>
  <si>
    <t>2005&amp;1&amp;901-2006&amp;1&amp;90103</t>
    <phoneticPr fontId="26" type="noConversion"/>
  </si>
  <si>
    <t>父亲失踪数日，少女方才得知家中产业陷入危机。</t>
  </si>
  <si>
    <t>2005&amp;1&amp;901-2006&amp;1&amp;90104</t>
    <phoneticPr fontId="26" type="noConversion"/>
  </si>
  <si>
    <t>家中来了访客，原来是他……</t>
  </si>
  <si>
    <t>2017&amp;4&amp;2</t>
    <phoneticPr fontId="26" type="noConversion"/>
  </si>
  <si>
    <t>身为情报阁主，实力不足是没办法开门做生意的。</t>
  </si>
  <si>
    <t>2003&amp;1&amp;31011-2004&amp;4&amp;1</t>
    <phoneticPr fontId="26" type="noConversion"/>
  </si>
  <si>
    <t>天才少女初尝研发，独家布匹能否重新上架？</t>
  </si>
  <si>
    <t>2005&amp;1&amp;901-2006&amp;1&amp;90105</t>
    <phoneticPr fontId="26" type="noConversion"/>
  </si>
  <si>
    <t>“我想，从今往后，我就是在尚京有产业的人了。”</t>
  </si>
  <si>
    <t>千金掌柜亲力亲为，零售上架从不假借他人之手。</t>
  </si>
  <si>
    <t>2005&amp;1&amp;901-2006&amp;1&amp;90106</t>
    <phoneticPr fontId="26" type="noConversion"/>
  </si>
  <si>
    <t>2017&amp;4&amp;3</t>
    <phoneticPr fontId="26" type="noConversion"/>
  </si>
  <si>
    <t>2003&amp;1&amp;31021-2004&amp;4&amp;1</t>
    <phoneticPr fontId="26" type="noConversion"/>
  </si>
  <si>
    <t>沙漠之国进口绒绒棉竟然这么做？用过都说好！</t>
  </si>
  <si>
    <t>2005&amp;1&amp;901-2006&amp;1&amp;90107</t>
    <phoneticPr fontId="26" type="noConversion"/>
  </si>
  <si>
    <t>2003&amp;1&amp;1-2004&amp;4&amp;1</t>
    <phoneticPr fontId="26" type="noConversion"/>
  </si>
  <si>
    <t>小钱也是钱，我们做情报生意的，哪哪都要花钱的。</t>
  </si>
  <si>
    <t>2005&amp;1&amp;901-2006&amp;1&amp;90108</t>
    <phoneticPr fontId="26" type="noConversion"/>
  </si>
  <si>
    <t>拥有3只2级以上的猫</t>
  </si>
  <si>
    <t>吃饱饱就会升级级，长壮壮才能干活活呀喵。</t>
  </si>
  <si>
    <t>拥有3只3级以上的猫</t>
  </si>
  <si>
    <t>大小姐负责赚钱喂猫，灵猫儿负责种田养貂，迟早会暴富的喵。</t>
  </si>
  <si>
    <t>少女的心思，就如这入账金银，里里外外透漏着想要暴富。</t>
  </si>
  <si>
    <t>client</t>
    <phoneticPr fontId="26" type="noConversion"/>
  </si>
  <si>
    <t>实力渐长的我，已经不是当初那个一脸懵逼的小阁主了。</t>
    <phoneticPr fontId="26" type="noConversion"/>
  </si>
  <si>
    <t>拥有3只4级以上的猫</t>
    <phoneticPr fontId="26" type="noConversion"/>
  </si>
  <si>
    <t>完成剧情 花朝佳节</t>
    <phoneticPr fontId="26" type="noConversion"/>
  </si>
  <si>
    <t>怀春少女情窦初开，花朝节邀约神秘男子去往何处？</t>
    <phoneticPr fontId="26" type="noConversion"/>
  </si>
  <si>
    <t>初出茅庐小阁主，疯狂飙升等级羡煞旁人</t>
    <phoneticPr fontId="26" type="noConversion"/>
  </si>
  <si>
    <t>“今天你嫌我实力配不上家业，他日我让你高攀不起我凡星阁，哼！”</t>
    <phoneticPr fontId="26" type="noConversion"/>
  </si>
  <si>
    <t>店铺零售赚取100金币</t>
    <phoneticPr fontId="26" type="noConversion"/>
  </si>
  <si>
    <t>店铺零售赚取500金币</t>
    <phoneticPr fontId="26" type="noConversion"/>
  </si>
  <si>
    <t>店铺零售赚取1000金币</t>
    <phoneticPr fontId="26" type="noConversion"/>
  </si>
  <si>
    <t>店铺零售赚取1500金币</t>
    <phoneticPr fontId="26" type="noConversion"/>
  </si>
  <si>
    <t>拥有3只5级以上的猫</t>
    <phoneticPr fontId="26" type="noConversion"/>
  </si>
  <si>
    <t>是什么，让青涩少女沉迷金钱无法自拔，是猫啊！猫！！</t>
    <phoneticPr fontId="26" type="noConversion"/>
  </si>
  <si>
    <t>大小姐要记得养猫千日，用猫一时哦喵~吧唧吧唧……</t>
    <phoneticPr fontId="26" type="noConversion"/>
  </si>
  <si>
    <t>大小姐，我们好像快要吃撑啦，下次再见才能喂啦~</t>
    <phoneticPr fontId="26" type="noConversion"/>
  </si>
  <si>
    <t>云绣坊推出新产品，引领尚京潮流，营业额直线暴涨！</t>
    <phoneticPr fontId="26" type="noConversion"/>
  </si>
  <si>
    <t>2017&amp;4&amp;4</t>
    <phoneticPr fontId="26" type="noConversion"/>
  </si>
  <si>
    <t>2017&amp;4&amp;5</t>
    <phoneticPr fontId="26" type="noConversion"/>
  </si>
  <si>
    <t>2;301;1</t>
    <phoneticPr fontId="26" type="noConversion"/>
  </si>
  <si>
    <t>OpenDay</t>
    <phoneticPr fontId="26" type="noConversion"/>
  </si>
  <si>
    <t>SevenDaysTask</t>
  </si>
  <si>
    <t>七天活动任务</t>
    <phoneticPr fontId="26" type="noConversion"/>
  </si>
  <si>
    <t>任务解锁时间</t>
    <phoneticPr fontId="28" type="noConversion"/>
  </si>
  <si>
    <t>去访-送礼</t>
    <phoneticPr fontId="26" type="noConversion"/>
  </si>
  <si>
    <t>店铺售卖收益</t>
    <phoneticPr fontId="26" type="noConversion"/>
  </si>
  <si>
    <t>使用话题</t>
    <phoneticPr fontId="26" type="noConversion"/>
  </si>
  <si>
    <t>分享NPC</t>
    <phoneticPr fontId="26" type="noConversion"/>
  </si>
  <si>
    <t>猫突破</t>
    <phoneticPr fontId="26" type="noConversion"/>
  </si>
  <si>
    <t>完成猫事件</t>
    <phoneticPr fontId="26" type="noConversion"/>
  </si>
  <si>
    <t>花笺卡突破</t>
    <phoneticPr fontId="26" type="noConversion"/>
  </si>
  <si>
    <t>1.每日任务
2.指导任务
8.七日任务</t>
    <phoneticPr fontId="26" type="noConversion"/>
  </si>
  <si>
    <t>导出/server</t>
    <phoneticPr fontId="26" type="noConversion"/>
  </si>
  <si>
    <t>client</t>
    <phoneticPr fontId="26" type="noConversion"/>
  </si>
  <si>
    <t>拜访NPC</t>
    <phoneticPr fontId="26" type="noConversion"/>
  </si>
  <si>
    <t>男主数据变更</t>
    <phoneticPr fontId="26" type="noConversion"/>
  </si>
  <si>
    <t>喂猫</t>
    <phoneticPr fontId="26" type="noConversion"/>
  </si>
  <si>
    <t>花笺卡数据变更</t>
    <phoneticPr fontId="26" type="noConversion"/>
  </si>
  <si>
    <t>情报阁完成任务</t>
    <phoneticPr fontId="26" type="noConversion"/>
  </si>
  <si>
    <t>完成花笺卡支线</t>
    <phoneticPr fontId="26" type="noConversion"/>
  </si>
  <si>
    <t>男主好感度</t>
    <phoneticPr fontId="26" type="noConversion"/>
  </si>
  <si>
    <t>男主好感等级</t>
    <phoneticPr fontId="26" type="noConversion"/>
  </si>
  <si>
    <t>花笺卡等级</t>
    <phoneticPr fontId="26" type="noConversion"/>
  </si>
  <si>
    <t>花笺卡星级</t>
    <phoneticPr fontId="26" type="noConversion"/>
  </si>
  <si>
    <t>情报阁任务星级</t>
    <phoneticPr fontId="26" type="noConversion"/>
  </si>
  <si>
    <t>花笺卡章id</t>
    <phoneticPr fontId="26" type="noConversion"/>
  </si>
  <si>
    <t>获得小纸条</t>
    <phoneticPr fontId="26" type="noConversion"/>
  </si>
  <si>
    <t>2003&amp;1&amp;1-2004&amp;4&amp;1</t>
    <phoneticPr fontId="26" type="noConversion"/>
  </si>
  <si>
    <t>上京街市剧情完成,进入猫后院</t>
  </si>
  <si>
    <t>点击第一个售卖物品</t>
  </si>
  <si>
    <t>选择【第一只猫】</t>
  </si>
  <si>
    <t>worldView/MapScrollView/Viewport/content/MainTaskTip</t>
  </si>
  <si>
    <t>532;126</t>
  </si>
  <si>
    <t>WaitEventReadDone</t>
  </si>
  <si>
    <t>7</t>
  </si>
  <si>
    <t>10</t>
  </si>
  <si>
    <t>剧情浮标</t>
  </si>
  <si>
    <t>进入游戏，直接进入剧情90101</t>
    <phoneticPr fontId="26" type="noConversion"/>
  </si>
  <si>
    <r>
      <t>1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-1</t>
    </r>
    <phoneticPr fontId="26" type="noConversion"/>
  </si>
  <si>
    <r>
      <t>0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1</t>
    </r>
    <phoneticPr fontId="26" type="noConversion"/>
  </si>
  <si>
    <r>
      <t>0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3</t>
    </r>
    <phoneticPr fontId="26" type="noConversion"/>
  </si>
  <si>
    <r>
      <t>0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4</t>
    </r>
    <phoneticPr fontId="26" type="noConversion"/>
  </si>
  <si>
    <t>0;1021</t>
  </si>
  <si>
    <t/>
  </si>
  <si>
    <t>1;6</t>
  </si>
  <si>
    <t>10;5</t>
  </si>
  <si>
    <t>WaitEventUnLockBuilding</t>
  </si>
  <si>
    <t>0;1002</t>
  </si>
  <si>
    <t>等待服务器响应</t>
  </si>
  <si>
    <t>1;6|0;1003</t>
  </si>
  <si>
    <t>点击农田1</t>
  </si>
  <si>
    <t>402;102</t>
  </si>
  <si>
    <t>点击派遣按钮</t>
  </si>
  <si>
    <t>0;1006</t>
  </si>
  <si>
    <t>确定派遣</t>
  </si>
  <si>
    <t>0;1007</t>
  </si>
  <si>
    <t>点击空白</t>
  </si>
  <si>
    <t>对话</t>
  </si>
  <si>
    <t>135;-179</t>
  </si>
  <si>
    <t>0;1020</t>
  </si>
  <si>
    <t>201;70</t>
  </si>
  <si>
    <t>0;1030</t>
  </si>
  <si>
    <t>点击工作台</t>
  </si>
  <si>
    <t>0;1034|1;6</t>
  </si>
  <si>
    <t>452;-176</t>
  </si>
  <si>
    <t>工作台点击收获</t>
  </si>
  <si>
    <t>点击浮光麻收获</t>
  </si>
  <si>
    <t>点击解锁工作台</t>
  </si>
  <si>
    <t>点击确认</t>
  </si>
  <si>
    <t>0;1033</t>
  </si>
  <si>
    <t>12;1005</t>
  </si>
  <si>
    <t>点击派遣</t>
  </si>
  <si>
    <t>14</t>
  </si>
  <si>
    <t>点击猫</t>
  </si>
  <si>
    <t>0;1038</t>
  </si>
  <si>
    <t>点击小纸条</t>
  </si>
  <si>
    <t>4;65</t>
  </si>
  <si>
    <t>39;70</t>
  </si>
  <si>
    <t>去使用 小纸条</t>
  </si>
  <si>
    <t>环视街市地图后 点击店铺</t>
  </si>
  <si>
    <t xml:space="preserve">点击【单格全部】 </t>
  </si>
  <si>
    <t>点击关闭</t>
  </si>
  <si>
    <t>点击话题按钮</t>
  </si>
  <si>
    <t>话题读取</t>
  </si>
  <si>
    <t>0;1403</t>
  </si>
  <si>
    <t>1</t>
  </si>
  <si>
    <t>2;10201</t>
  </si>
  <si>
    <t>4;1027</t>
  </si>
  <si>
    <t>12;53</t>
  </si>
  <si>
    <t>595;-157</t>
  </si>
  <si>
    <t>4;41</t>
  </si>
  <si>
    <t>339;67</t>
  </si>
  <si>
    <t>点击【第一个经验道具】</t>
  </si>
  <si>
    <t>0.2</t>
  </si>
  <si>
    <t>马上设置引导完成</t>
  </si>
  <si>
    <t>0;1119</t>
  </si>
  <si>
    <t>点击【强化猫】</t>
  </si>
  <si>
    <t>完成剧情 浴池初见</t>
    <phoneticPr fontId="26" type="noConversion"/>
  </si>
  <si>
    <t>完成剧情 陆沉的安危</t>
    <phoneticPr fontId="26" type="noConversion"/>
  </si>
  <si>
    <t>完成剧情 云绣坊开张</t>
    <phoneticPr fontId="26" type="noConversion"/>
  </si>
  <si>
    <t xml:space="preserve">完成剧情 迷糊公子 </t>
    <phoneticPr fontId="26" type="noConversion"/>
  </si>
  <si>
    <t xml:space="preserve">完成剧情 奇怪的客人 </t>
    <phoneticPr fontId="26" type="noConversion"/>
  </si>
  <si>
    <t>云绣坊稳步经营，神秘客人登门插手店务。</t>
    <phoneticPr fontId="26" type="noConversion"/>
  </si>
  <si>
    <t>迷糊公子摆乌龙，竟是商广会馆少东家。</t>
    <phoneticPr fontId="26" type="noConversion"/>
  </si>
  <si>
    <t>2005&amp;1&amp;902-2006&amp;1&amp;90202</t>
    <phoneticPr fontId="26" type="noConversion"/>
  </si>
  <si>
    <t>完成剧情 宁北的提示</t>
    <phoneticPr fontId="26" type="noConversion"/>
  </si>
  <si>
    <t>云绣坊突发状况，背后究竟是何方势力？</t>
    <phoneticPr fontId="26" type="noConversion"/>
  </si>
  <si>
    <t>主角等级达到6级</t>
    <phoneticPr fontId="26" type="noConversion"/>
  </si>
  <si>
    <t>2005&amp;1&amp;902-2006&amp;1&amp;90203</t>
    <phoneticPr fontId="26" type="noConversion"/>
  </si>
  <si>
    <t>完成剧情 探事轩</t>
    <phoneticPr fontId="26" type="noConversion"/>
  </si>
  <si>
    <t>正式接任凡星阁主，一切重新开始。</t>
    <phoneticPr fontId="26" type="noConversion"/>
  </si>
  <si>
    <t>主角等级达到7级</t>
    <phoneticPr fontId="26" type="noConversion"/>
  </si>
  <si>
    <t>2005&amp;1&amp;902-2006&amp;1&amp;90206</t>
    <phoneticPr fontId="26" type="noConversion"/>
  </si>
  <si>
    <t>完成剧情 发现暗账</t>
    <phoneticPr fontId="26" type="noConversion"/>
  </si>
  <si>
    <t>云绣坊内似乎还有爹爹留下的秘密……</t>
    <phoneticPr fontId="26" type="noConversion"/>
  </si>
  <si>
    <t>主角等级达到9级</t>
    <phoneticPr fontId="26" type="noConversion"/>
  </si>
  <si>
    <t>喵喵团本轮测试新手陪伴到此结束，祝小阁主玩得开心，一切体验不佳之处尽情提意见。</t>
    <phoneticPr fontId="26" type="noConversion"/>
  </si>
  <si>
    <t>新手陪伴1</t>
    <phoneticPr fontId="26" type="noConversion"/>
  </si>
  <si>
    <t>新手陪伴2</t>
  </si>
  <si>
    <t>新手陪伴3</t>
  </si>
  <si>
    <t>新手陪伴5</t>
  </si>
  <si>
    <t>新手陪伴6</t>
  </si>
  <si>
    <t>新手陪伴7</t>
  </si>
  <si>
    <t>新手陪伴8</t>
  </si>
  <si>
    <t>新手陪伴9</t>
  </si>
  <si>
    <t>新手陪伴10</t>
  </si>
  <si>
    <t>新手陪伴11</t>
  </si>
  <si>
    <t>新手陪伴12</t>
  </si>
  <si>
    <t>新手陪伴13</t>
  </si>
  <si>
    <t>新手陪伴14</t>
  </si>
  <si>
    <t>新手陪伴15</t>
  </si>
  <si>
    <t>新手陪伴16</t>
  </si>
  <si>
    <t>新手陪伴17</t>
  </si>
  <si>
    <t>新手陪伴18</t>
  </si>
  <si>
    <t>新手陪伴19</t>
  </si>
  <si>
    <t>新手陪伴20</t>
  </si>
  <si>
    <t>新手陪伴21</t>
  </si>
  <si>
    <t>新手陪伴22</t>
  </si>
  <si>
    <t>新手陪伴23</t>
  </si>
  <si>
    <t>新手陪伴24</t>
  </si>
  <si>
    <t>新手陪伴25</t>
  </si>
  <si>
    <t>新手陪伴26</t>
  </si>
  <si>
    <t>新手陪伴27</t>
  </si>
  <si>
    <t>新手陪伴28</t>
  </si>
  <si>
    <t>等待话题读完</t>
  </si>
  <si>
    <t>0;1405</t>
  </si>
  <si>
    <t>点击话题关闭</t>
  </si>
  <si>
    <t>0;1406</t>
  </si>
  <si>
    <t>返回到主界面</t>
  </si>
  <si>
    <t>店铺零售赚取300金币</t>
    <phoneticPr fontId="26" type="noConversion"/>
  </si>
  <si>
    <t>0;1407</t>
  </si>
  <si>
    <t>返回</t>
  </si>
  <si>
    <t>NMainTaskHelpPanel(Clone)/btn_go</t>
  </si>
  <si>
    <t>4;62</t>
  </si>
  <si>
    <t>4|1</t>
    <phoneticPr fontId="26" type="noConversion"/>
  </si>
  <si>
    <t>4|1</t>
    <phoneticPr fontId="26" type="noConversion"/>
  </si>
  <si>
    <t>2017&amp;4&amp;9</t>
    <phoneticPr fontId="26" type="noConversion"/>
  </si>
  <si>
    <t>2012&amp;4&amp;3</t>
    <phoneticPr fontId="26" type="noConversion"/>
  </si>
  <si>
    <t>情报阁等级</t>
    <phoneticPr fontId="26" type="noConversion"/>
  </si>
  <si>
    <t>情报任务id</t>
    <phoneticPr fontId="33" type="noConversion"/>
  </si>
  <si>
    <t>战斗id</t>
    <phoneticPr fontId="33" type="noConversion"/>
  </si>
  <si>
    <t>情报阁总星数</t>
    <phoneticPr fontId="33" type="noConversion"/>
  </si>
  <si>
    <t>情报阁等级</t>
    <phoneticPr fontId="33" type="noConversion"/>
  </si>
  <si>
    <t>情报战斗</t>
    <phoneticPr fontId="33" type="noConversion"/>
  </si>
  <si>
    <t>猫升星</t>
    <phoneticPr fontId="26" type="noConversion"/>
  </si>
  <si>
    <t>猫升级</t>
    <phoneticPr fontId="26" type="noConversion"/>
  </si>
  <si>
    <t>招募结果（2为成功）</t>
    <phoneticPr fontId="26" type="noConversion"/>
  </si>
  <si>
    <t>奖池id</t>
    <phoneticPr fontId="26" type="noConversion"/>
  </si>
  <si>
    <t>抽奖</t>
    <phoneticPr fontId="26" type="noConversion"/>
  </si>
  <si>
    <t>2004&amp;4&amp;1</t>
    <phoneticPr fontId="26" type="noConversion"/>
  </si>
  <si>
    <t>2108&amp;4&amp;0</t>
    <phoneticPr fontId="26" type="noConversion"/>
  </si>
  <si>
    <t>给任意男主送礼1次</t>
  </si>
  <si>
    <t>条件7</t>
  </si>
  <si>
    <t>条件8</t>
  </si>
  <si>
    <t>条件9</t>
  </si>
  <si>
    <t>条件10</t>
  </si>
  <si>
    <t>条件11</t>
  </si>
  <si>
    <t>条件1</t>
    <phoneticPr fontId="26" type="noConversion"/>
  </si>
  <si>
    <t>条件2</t>
    <phoneticPr fontId="26" type="noConversion"/>
  </si>
  <si>
    <t>条件3</t>
  </si>
  <si>
    <t>男主副本id</t>
    <phoneticPr fontId="26" type="noConversion"/>
  </si>
  <si>
    <t>第一天1</t>
    <phoneticPr fontId="26" type="noConversion"/>
  </si>
  <si>
    <t>第一天2</t>
  </si>
  <si>
    <t>第一天4</t>
  </si>
  <si>
    <t>第一天5</t>
  </si>
  <si>
    <t>第一天6</t>
  </si>
  <si>
    <t>第一天7</t>
  </si>
  <si>
    <t>第一天8</t>
  </si>
  <si>
    <t>第一天9</t>
  </si>
  <si>
    <t>第一天10</t>
  </si>
  <si>
    <t>第二天1</t>
    <phoneticPr fontId="26" type="noConversion"/>
  </si>
  <si>
    <t>第二天2</t>
  </si>
  <si>
    <t>第二天3</t>
  </si>
  <si>
    <t>第二天4</t>
  </si>
  <si>
    <t>第二天5</t>
  </si>
  <si>
    <t>第二天6</t>
  </si>
  <si>
    <t>第二天7</t>
  </si>
  <si>
    <t>第二天8</t>
  </si>
  <si>
    <t>第二天9</t>
  </si>
  <si>
    <t>第三天1</t>
    <phoneticPr fontId="26" type="noConversion"/>
  </si>
  <si>
    <t>第三天2</t>
  </si>
  <si>
    <t>第三天3</t>
  </si>
  <si>
    <t>第三天4</t>
  </si>
  <si>
    <t>第三天5</t>
  </si>
  <si>
    <t>第三天6</t>
  </si>
  <si>
    <t>第三天7</t>
  </si>
  <si>
    <t>第三天8</t>
  </si>
  <si>
    <t>第四天1</t>
    <phoneticPr fontId="26" type="noConversion"/>
  </si>
  <si>
    <t>第四天2</t>
  </si>
  <si>
    <t>第四天3</t>
  </si>
  <si>
    <t>第四天4</t>
  </si>
  <si>
    <t>第四天5</t>
  </si>
  <si>
    <t>第四天6</t>
  </si>
  <si>
    <t>第四天7</t>
  </si>
  <si>
    <t>第四天8</t>
  </si>
  <si>
    <t>第五天1</t>
    <phoneticPr fontId="26" type="noConversion"/>
  </si>
  <si>
    <t>第五天2</t>
  </si>
  <si>
    <t>第五天3</t>
  </si>
  <si>
    <t>第五天4</t>
  </si>
  <si>
    <t>第五天5</t>
  </si>
  <si>
    <t>第五天6</t>
  </si>
  <si>
    <t>第五天7</t>
  </si>
  <si>
    <t>第五天8</t>
  </si>
  <si>
    <t>第六天1</t>
    <phoneticPr fontId="26" type="noConversion"/>
  </si>
  <si>
    <t>第六天2</t>
  </si>
  <si>
    <t>第六天3</t>
  </si>
  <si>
    <t>第六天4</t>
  </si>
  <si>
    <t>第六天5</t>
  </si>
  <si>
    <t>第六天6</t>
  </si>
  <si>
    <t>第六天7</t>
  </si>
  <si>
    <t>第六天8</t>
  </si>
  <si>
    <t>第七天1</t>
    <phoneticPr fontId="26" type="noConversion"/>
  </si>
  <si>
    <t>第七天2</t>
  </si>
  <si>
    <t>第七天3</t>
  </si>
  <si>
    <t>第七天4</t>
  </si>
  <si>
    <t>第七天5</t>
  </si>
  <si>
    <t>第七天6</t>
  </si>
  <si>
    <t>第七天7</t>
  </si>
  <si>
    <t>第七天8</t>
  </si>
  <si>
    <t>1;2;100</t>
    <phoneticPr fontId="26" type="noConversion"/>
  </si>
  <si>
    <t>2;316;1</t>
    <phoneticPr fontId="26" type="noConversion"/>
  </si>
  <si>
    <t>1;2;30</t>
    <phoneticPr fontId="26" type="noConversion"/>
  </si>
  <si>
    <t>1|1</t>
    <phoneticPr fontId="26" type="noConversion"/>
  </si>
  <si>
    <t>2012&amp;1&amp;2</t>
    <phoneticPr fontId="26" type="noConversion"/>
  </si>
  <si>
    <t>2012&amp;1&amp;4</t>
    <phoneticPr fontId="26" type="noConversion"/>
  </si>
  <si>
    <t>2012&amp;1&amp;5</t>
    <phoneticPr fontId="26" type="noConversion"/>
  </si>
  <si>
    <t>1.农田，农田2号坑1|2
2.牧场，牧场3号坑2|3
3.矿洞，矿洞1号坑3|1
4.工作台，纺织台4|1
5.码头
6.小花园(猫爬架)
7.凡星阁升级界面
8.剧情大地图
9.喂食
10.店铺
11.情报阁
12.每日任务
13.男主副本
14.商店——路尤
15.商店——胡萡
16.商店——花婆婆
17.猫列表
18.花笺列表
19.问缘(抽卡)</t>
    <phoneticPr fontId="33" type="noConversion"/>
  </si>
  <si>
    <t>1;2;10</t>
    <phoneticPr fontId="26" type="noConversion"/>
  </si>
  <si>
    <t>WaitEventMainStoryWorldMapTweenEnd</t>
  </si>
  <si>
    <t>等待</t>
  </si>
  <si>
    <t xml:space="preserve">引导战斗 步步提示进度条 </t>
  </si>
  <si>
    <t>4;1035</t>
  </si>
  <si>
    <t>引导战斗 选择猫</t>
  </si>
  <si>
    <t>0;-224</t>
  </si>
  <si>
    <t>引导战斗 加成</t>
  </si>
  <si>
    <t>0;104</t>
  </si>
  <si>
    <t>0;105</t>
  </si>
  <si>
    <t>0;1008</t>
  </si>
  <si>
    <t>点击尚京</t>
  </si>
  <si>
    <t xml:space="preserve">点击凡星绢 </t>
  </si>
  <si>
    <t xml:space="preserve">步步介绍，小姐你现在自己做9个凡星绢试试 </t>
  </si>
  <si>
    <t>root_taskOrderPanel/TaskOrderTabPanel(Clone)/btn_mainTask</t>
  </si>
  <si>
    <t xml:space="preserve">点击【完成】 </t>
  </si>
  <si>
    <t xml:space="preserve">点击【任务图标】 </t>
  </si>
  <si>
    <t>点击【前往】</t>
  </si>
  <si>
    <t>13!1307</t>
  </si>
  <si>
    <t>Jump</t>
    <phoneticPr fontId="26" type="noConversion"/>
  </si>
  <si>
    <t>给后院灵猫喂食1次</t>
    <phoneticPr fontId="26" type="noConversion"/>
  </si>
  <si>
    <t>完成探事轩委托1次</t>
    <phoneticPr fontId="26" type="noConversion"/>
  </si>
  <si>
    <t>向大灵猫问缘1次</t>
    <phoneticPr fontId="26" type="noConversion"/>
  </si>
  <si>
    <t>去小花园逗猫1次</t>
    <phoneticPr fontId="26" type="noConversion"/>
  </si>
  <si>
    <t>完成八卦楼考验1次</t>
    <phoneticPr fontId="26" type="noConversion"/>
  </si>
  <si>
    <t>问候街坊1次</t>
    <phoneticPr fontId="26" type="noConversion"/>
  </si>
  <si>
    <t>收获后院产物1次</t>
    <phoneticPr fontId="26" type="noConversion"/>
  </si>
  <si>
    <t>0;2001</t>
  </si>
  <si>
    <t>0;2003</t>
  </si>
  <si>
    <t>0;2004</t>
  </si>
  <si>
    <t>0;2005</t>
  </si>
  <si>
    <t>蒙版女主实力高亮，步步介绍，点击进行下一步</t>
  </si>
  <si>
    <t xml:space="preserve">蒙版进度条高亮，步步介绍，点击进行下一步 </t>
  </si>
  <si>
    <t>蒙版，猫空位高亮，步步介绍，点击进行下一步</t>
  </si>
  <si>
    <t xml:space="preserve">猫卡高亮，步步介绍，点击进行下一步 </t>
  </si>
  <si>
    <t>点击选猫，猫选到空位，下一步</t>
  </si>
  <si>
    <t xml:space="preserve">点击选第二只猫，猫选到空位，下一步 </t>
  </si>
  <si>
    <t>按钮【就决定是你们了】高亮，同时步步介绍，</t>
  </si>
  <si>
    <t xml:space="preserve">喵实力高亮，步步介绍，点击进行下一步 </t>
  </si>
  <si>
    <t>揪尾巴高亮，步步介绍，点击选猫进行下一步</t>
  </si>
  <si>
    <t>0;-200</t>
  </si>
  <si>
    <t>0.1</t>
  </si>
  <si>
    <t>4;61</t>
  </si>
  <si>
    <t>WaitEventBackYardCamNearEffect</t>
  </si>
  <si>
    <t>0;2105</t>
  </si>
  <si>
    <t>0;2106|11</t>
  </si>
  <si>
    <t>BackyardMapPanel/panel_AmuseCat/panel_startAmuse</t>
  </si>
  <si>
    <t>0;2109</t>
  </si>
  <si>
    <t>0;2112</t>
  </si>
  <si>
    <t>0;2130</t>
  </si>
  <si>
    <t>判断是否解锁了地图2</t>
  </si>
  <si>
    <t>蒙版，高亮小花园，步步介绍，点击解锁进行下一步</t>
  </si>
  <si>
    <t xml:space="preserve">蒙版弹出扩展弹出，引导点击扩展 </t>
  </si>
  <si>
    <t xml:space="preserve">蒙版，小花园可解锁高亮，引导点击解锁，步步介绍，点击解锁进行下一步 </t>
  </si>
  <si>
    <t xml:space="preserve">蒙版，弹出二次确认，引导点击确定，点击确定进行下一步 </t>
  </si>
  <si>
    <t>蒙版，小花园的猫高亮，步步介绍，点击猫，进行下一步</t>
  </si>
  <si>
    <t xml:space="preserve">强制：步步介绍，点击空白进行下一步 </t>
  </si>
  <si>
    <t xml:space="preserve">强制：逗猫高亮，步步介绍，点击逗猫，进行下一步 </t>
  </si>
  <si>
    <t xml:space="preserve">强制：蒙版，高亮进度条，步步介绍，点击空白进行下一步 </t>
  </si>
  <si>
    <t xml:space="preserve">强制：步步介绍：按住来回搓。玩家搓满精度条，进行下一步 </t>
  </si>
  <si>
    <t xml:space="preserve">蒙版，签订契约按钮高亮，点击按钮进行下一步 </t>
  </si>
  <si>
    <t xml:space="preserve">蒙版，猫爪提示玩家在界面画，玩家画完，进行下一步 </t>
  </si>
  <si>
    <t xml:space="preserve">猫按爪后，步步出现，介绍，点击空白处关闭界面。 </t>
  </si>
  <si>
    <t>GroupID</t>
    <phoneticPr fontId="26" type="noConversion"/>
  </si>
  <si>
    <t>Force</t>
    <phoneticPr fontId="26" type="noConversion"/>
  </si>
  <si>
    <t>DialogID</t>
    <phoneticPr fontId="26" type="noConversion"/>
  </si>
  <si>
    <t>路由显示</t>
  </si>
  <si>
    <t>延迟一点时间</t>
  </si>
  <si>
    <t>点击路由的！号</t>
  </si>
  <si>
    <t>12</t>
  </si>
  <si>
    <t>视野移至云秀坊</t>
  </si>
  <si>
    <t>用于跳转</t>
  </si>
  <si>
    <t>Save</t>
    <phoneticPr fontId="26" type="noConversion"/>
  </si>
  <si>
    <t>Params</t>
    <phoneticPr fontId="26" type="noConversion"/>
  </si>
  <si>
    <t>AddCondition</t>
    <phoneticPr fontId="26" type="noConversion"/>
  </si>
  <si>
    <t>PosOffset</t>
    <phoneticPr fontId="26" type="noConversion"/>
  </si>
  <si>
    <t>EffectType</t>
    <phoneticPr fontId="26" type="noConversion"/>
  </si>
  <si>
    <t>client</t>
    <phoneticPr fontId="26" type="noConversion"/>
  </si>
  <si>
    <t>STRING</t>
    <phoneticPr fontId="26" type="noConversion"/>
  </si>
  <si>
    <t>ID</t>
    <phoneticPr fontId="26" type="noConversion"/>
  </si>
  <si>
    <t>Type</t>
    <phoneticPr fontId="26" type="noConversion"/>
  </si>
  <si>
    <t>Condition</t>
    <phoneticPr fontId="26" type="noConversion"/>
  </si>
  <si>
    <t>NextStep</t>
    <phoneticPr fontId="26" type="noConversion"/>
  </si>
  <si>
    <t>PrevStep</t>
    <phoneticPr fontId="26" type="noConversion"/>
  </si>
  <si>
    <t>JumpStageID</t>
    <phoneticPr fontId="26" type="noConversion"/>
  </si>
  <si>
    <t>Desc</t>
    <phoneticPr fontId="26" type="noConversion"/>
  </si>
  <si>
    <t>排序ID</t>
    <phoneticPr fontId="26" type="noConversion"/>
  </si>
  <si>
    <t>组ID</t>
    <phoneticPr fontId="26" type="noConversion"/>
  </si>
  <si>
    <t>类型</t>
    <phoneticPr fontId="26" type="noConversion"/>
  </si>
  <si>
    <t>是否存储</t>
    <phoneticPr fontId="26" type="noConversion"/>
  </si>
  <si>
    <t>参数</t>
    <phoneticPr fontId="26" type="noConversion"/>
  </si>
  <si>
    <t>检测条件beginCase</t>
    <phoneticPr fontId="26" type="noConversion"/>
  </si>
  <si>
    <t>满足条件</t>
    <phoneticPr fontId="26" type="noConversion"/>
  </si>
  <si>
    <t>跳转参数(进入节点开始执行之前检测)</t>
    <phoneticPr fontId="26" type="noConversion"/>
  </si>
  <si>
    <t>是否强制</t>
    <phoneticPr fontId="26" type="noConversion"/>
  </si>
  <si>
    <t>下一步</t>
    <phoneticPr fontId="26" type="noConversion"/>
  </si>
  <si>
    <t>上一步</t>
    <phoneticPr fontId="26" type="noConversion"/>
  </si>
  <si>
    <t>相对于控件的位置偏移</t>
    <phoneticPr fontId="26" type="noConversion"/>
  </si>
  <si>
    <t>文本ID</t>
    <phoneticPr fontId="26" type="noConversion"/>
  </si>
  <si>
    <t>引导特效类型</t>
    <phoneticPr fontId="26" type="noConversion"/>
  </si>
  <si>
    <t>跳转的场景（每个存档点的下一步）</t>
    <phoneticPr fontId="26" type="noConversion"/>
  </si>
  <si>
    <t>备注</t>
    <phoneticPr fontId="26" type="noConversion"/>
  </si>
  <si>
    <r>
      <t>1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-1</t>
    </r>
    <phoneticPr fontId="26" type="noConversion"/>
  </si>
  <si>
    <t>进入游戏，直接进入剧情90101</t>
    <phoneticPr fontId="26" type="noConversion"/>
  </si>
  <si>
    <t>UIList/[LuaScreen] mainstorymap_panel/mainstorysection_panel(Clone)/DialogGoodPanel/miniGame/FightingTemplatePanel(Clone)/slider_curValue</t>
    <phoneticPr fontId="26" type="noConversion"/>
  </si>
  <si>
    <t>12;1034</t>
    <phoneticPr fontId="26" type="noConversion"/>
  </si>
  <si>
    <t>[LuaScreen] mainstorymap_panel/mainstorysection_panel(Clone)/DialogGoodPanel/miniGame/FightingTemplatePanel(Clone)/FightingPullTail/catList</t>
    <phoneticPr fontId="26" type="noConversion"/>
  </si>
  <si>
    <t>0;102</t>
    <phoneticPr fontId="26" type="noConversion"/>
  </si>
  <si>
    <t>mainstorysection_panel(Clone)/DialogGoodPanel/miniGame/FightingTemplatePanel(Clone)/FightingPullTail/centerCat/cat_chooseSpine|mainstorysection_panel(Clone)/DialogGoodPanel/miniGame/FightingTemplatePanel(Clone)/FightingPullTail/nTop/chooseCatResult</t>
    <phoneticPr fontId="26" type="noConversion"/>
  </si>
  <si>
    <t>0;103</t>
    <phoneticPr fontId="26" type="noConversion"/>
  </si>
  <si>
    <t>mainstorysection_panel(Clone)/DialogGoodPanel/miniGame/FightingTemplatePanel(Clone)/HightLayer/empty</t>
    <phoneticPr fontId="26" type="noConversion"/>
  </si>
  <si>
    <t>点空白</t>
    <phoneticPr fontId="26" type="noConversion"/>
  </si>
  <si>
    <t>MainPanel/button_root/panel_bottom/btn_mainStory</t>
    <phoneticPr fontId="26" type="noConversion"/>
  </si>
  <si>
    <r>
      <t>1;</t>
    </r>
    <r>
      <rPr>
        <sz val="11"/>
        <color indexed="8"/>
        <rFont val="宋体"/>
        <family val="3"/>
        <charset val="134"/>
      </rPr>
      <t>0</t>
    </r>
    <phoneticPr fontId="26" type="noConversion"/>
  </si>
  <si>
    <t>2;10102</t>
    <phoneticPr fontId="26" type="noConversion"/>
  </si>
  <si>
    <t>WaitEventMainStoryWorldMapTweenEnd</t>
    <phoneticPr fontId="26" type="noConversion"/>
  </si>
  <si>
    <r>
      <t>0;102</t>
    </r>
    <r>
      <rPr>
        <sz val="11"/>
        <color indexed="8"/>
        <rFont val="宋体"/>
        <family val="3"/>
        <charset val="134"/>
      </rPr>
      <t>2</t>
    </r>
    <phoneticPr fontId="26" type="noConversion"/>
  </si>
  <si>
    <r>
      <t>UIList/[LuaScreen] mainstorymap_panel/mainstorymap_panel(Clone)/root_taskOrderPanel</t>
    </r>
    <r>
      <rPr>
        <sz val="11"/>
        <color indexed="8"/>
        <rFont val="宋体"/>
        <family val="3"/>
        <charset val="134"/>
      </rPr>
      <t>/TaskOrderTabPanel(Clone)/btn_mainTask</t>
    </r>
    <phoneticPr fontId="26" type="noConversion"/>
  </si>
  <si>
    <t>0;1023</t>
    <phoneticPr fontId="26" type="noConversion"/>
  </si>
  <si>
    <t>NMainTaskHelpPanel(Clone)/btn_go</t>
    <phoneticPr fontId="26" type="noConversion"/>
  </si>
  <si>
    <t>*</t>
    <phoneticPr fontId="26" type="noConversion"/>
  </si>
  <si>
    <t>1;1</t>
    <phoneticPr fontId="26" type="noConversion"/>
  </si>
  <si>
    <t>2;10108!0!1404!2001</t>
    <phoneticPr fontId="26" type="noConversion"/>
  </si>
  <si>
    <t>0;1399|1;1</t>
    <phoneticPr fontId="26" type="noConversion"/>
  </si>
  <si>
    <t>4;1024</t>
    <phoneticPr fontId="26" type="noConversion"/>
  </si>
  <si>
    <t>mainstorymap_panel(Clone)/highOrder/btn_back</t>
    <phoneticPr fontId="26" type="noConversion"/>
  </si>
  <si>
    <t>UIList/[LuaScreen] mainstorymap_panel/mainstorysection_panel(Clone)/DialogGoodPanel/miniGame/FightingTemplatePanel(Clone)/BaseFightingView/bg_playTotalValue/shili</t>
    <phoneticPr fontId="26" type="noConversion"/>
  </si>
  <si>
    <t>12;1034</t>
    <phoneticPr fontId="26" type="noConversion"/>
  </si>
  <si>
    <t>UIList/[LuaScreen] mainstorymap_panel/mainstorysection_panel(Clone)/DialogGoodPanel/miniGame/FightingTemplatePanel(Clone)/CatFightingShowView/chooseCatList</t>
    <phoneticPr fontId="26" type="noConversion"/>
  </si>
  <si>
    <r>
      <t>4</t>
    </r>
    <r>
      <rPr>
        <sz val="11"/>
        <color indexed="8"/>
        <rFont val="宋体"/>
        <family val="3"/>
        <charset val="134"/>
      </rPr>
      <t>;1037</t>
    </r>
    <phoneticPr fontId="26" type="noConversion"/>
  </si>
  <si>
    <t>UIList/[LuaScreen] mainstorymap_panel/mainstorysection_panel(Clone)/DialogGoodPanel/miniGame/FightingTemplatePanel(Clone)/CatFightingShowView/catType</t>
    <phoneticPr fontId="26" type="noConversion"/>
  </si>
  <si>
    <t>0;2006</t>
    <phoneticPr fontId="26" type="noConversion"/>
  </si>
  <si>
    <t>UIList/[LuaScreen] mainstorymap_panel/mainstorysection_panel(Clone)/DialogGoodPanel/miniGame/FightingTemplatePanel(Clone)/CatFightingShowView/Center/bg_catTotalValue</t>
    <phoneticPr fontId="26" type="noConversion"/>
  </si>
  <si>
    <t>0;2007</t>
    <phoneticPr fontId="26" type="noConversion"/>
  </si>
  <si>
    <t>UIList/[LuaScreen] mainstorymap_panel/mainstorysection_panel(Clone)/DialogGoodPanel/miniGame/FightingTemplatePanel(Clone)/FightingPullTail/catList</t>
    <phoneticPr fontId="26" type="noConversion"/>
  </si>
  <si>
    <t>6;1037</t>
    <phoneticPr fontId="26" type="noConversion"/>
  </si>
  <si>
    <t>WaitEventPullTailShowResult</t>
    <phoneticPr fontId="26" type="noConversion"/>
  </si>
  <si>
    <t>0;2009</t>
    <phoneticPr fontId="26" type="noConversion"/>
  </si>
  <si>
    <t>mainstorysection_panel(Clone)/DialogGoodPanel/miniGame/FightingTemplatePanel(Clone)/FightingPullTail/centerCat/cat_chooseSpine|mainstorysection_panel(Clone)/DialogGoodPanel/miniGame/FightingTemplatePanel(Clone)/FightingPullTail/nTop/chooseCatResult</t>
    <phoneticPr fontId="26" type="noConversion"/>
  </si>
  <si>
    <t>0;2010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</si>
  <si>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2011</t>
    </r>
    <phoneticPr fontId="26" type="noConversion"/>
  </si>
  <si>
    <t>mainstorysection_panel(Clone)/DialogGoodPanel/miniGame/FightingTemplatePanel(Clone)/HightLayer/empty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</si>
  <si>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2012</t>
    </r>
    <phoneticPr fontId="26" type="noConversion"/>
  </si>
  <si>
    <t xml:space="preserve">ShoppingPanel/maprect/viewport/mapcontent/container/root_bg/root_map3/build_yunxiufang </t>
    <phoneticPr fontId="26" type="noConversion"/>
  </si>
  <si>
    <t>12;80</t>
    <phoneticPr fontId="26" type="noConversion"/>
  </si>
  <si>
    <t>2;10106</t>
    <phoneticPr fontId="26" type="noConversion"/>
  </si>
  <si>
    <t>29;31011;1!1322</t>
    <phoneticPr fontId="26" type="noConversion"/>
  </si>
  <si>
    <t>ShoppingPanel/StoreBuildPanel/Panel_operat/img_list|ShoppingPanel/StoreBuildPanel/Panel_operat/img_list/Button_sale</t>
    <phoneticPr fontId="26" type="noConversion"/>
  </si>
  <si>
    <r>
      <t>1</t>
    </r>
    <r>
      <rPr>
        <sz val="11"/>
        <color indexed="8"/>
        <rFont val="宋体"/>
        <family val="3"/>
        <charset val="134"/>
      </rPr>
      <t>2;81</t>
    </r>
    <phoneticPr fontId="26" type="noConversion"/>
  </si>
  <si>
    <t>0;1304</t>
    <phoneticPr fontId="26" type="noConversion"/>
  </si>
  <si>
    <t>RetailPanel/warehousePanel/toggle_all</t>
    <phoneticPr fontId="26" type="noConversion"/>
  </si>
  <si>
    <t>0;13041</t>
    <phoneticPr fontId="26" type="noConversion"/>
  </si>
  <si>
    <r>
      <t>0;1305</t>
    </r>
    <r>
      <rPr>
        <sz val="11"/>
        <color indexed="8"/>
        <rFont val="宋体"/>
        <family val="3"/>
        <charset val="134"/>
      </rPr>
      <t>|12;51</t>
    </r>
    <phoneticPr fontId="26" type="noConversion"/>
  </si>
  <si>
    <t>RetailPanel/panel/btn_close</t>
    <phoneticPr fontId="26" type="noConversion"/>
  </si>
  <si>
    <t>*</t>
    <phoneticPr fontId="26" type="noConversion"/>
  </si>
  <si>
    <r>
      <t>6</t>
    </r>
    <r>
      <rPr>
        <sz val="11"/>
        <color indexed="8"/>
        <rFont val="宋体"/>
        <family val="3"/>
        <charset val="134"/>
      </rPr>
      <t>;51</t>
    </r>
    <phoneticPr fontId="26" type="noConversion"/>
  </si>
  <si>
    <t>*</t>
    <phoneticPr fontId="26" type="noConversion"/>
  </si>
  <si>
    <t>*</t>
    <phoneticPr fontId="26" type="noConversion"/>
  </si>
  <si>
    <t>27!0!1322!1399</t>
    <phoneticPr fontId="26" type="noConversion"/>
  </si>
  <si>
    <t>BackyardMapPanel/maprect/viewport/mapcontent/container/root_build/90003_1/BuildingFarmLock1</t>
    <phoneticPr fontId="26" type="noConversion"/>
  </si>
  <si>
    <t>16;90003;1!1004</t>
    <phoneticPr fontId="26" type="noConversion"/>
  </si>
  <si>
    <t>[UIPanel] Dialog_Confirm_Cancel_UI/Dialog_Confirm_Cancel_UI(Clone)/confirm</t>
    <phoneticPr fontId="26" type="noConversion"/>
  </si>
  <si>
    <t>弹出框确认</t>
    <phoneticPr fontId="26" type="noConversion"/>
  </si>
  <si>
    <t>BackyardMapPanel/maprect/viewport/mapcontent/container/root_build/90003_1</t>
    <phoneticPr fontId="26" type="noConversion"/>
  </si>
  <si>
    <r>
      <t>12;90003;1!</t>
    </r>
    <r>
      <rPr>
        <sz val="11"/>
        <color indexed="8"/>
        <rFont val="宋体"/>
        <family val="3"/>
        <charset val="134"/>
      </rPr>
      <t>1030</t>
    </r>
    <phoneticPr fontId="26" type="noConversion"/>
  </si>
  <si>
    <t>4;1030</t>
    <phoneticPr fontId="26" type="noConversion"/>
  </si>
  <si>
    <t>4;1029</t>
    <phoneticPr fontId="26" type="noConversion"/>
  </si>
  <si>
    <t>选择第一只猫</t>
    <phoneticPr fontId="26" type="noConversion"/>
  </si>
  <si>
    <t>确定派遣</t>
    <phoneticPr fontId="26" type="noConversion"/>
  </si>
  <si>
    <t>WaitEventPutCat</t>
    <phoneticPr fontId="26" type="noConversion"/>
  </si>
  <si>
    <t>ProductBuildingPanel3/Root/workArea_Panel/emptyBtn</t>
    <phoneticPr fontId="26" type="noConversion"/>
  </si>
  <si>
    <t>BackyardMapPanel/root_fanxingbtn/btn_back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</si>
  <si>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1009</t>
    </r>
    <phoneticPr fontId="26" type="noConversion"/>
  </si>
  <si>
    <t>1;6</t>
    <phoneticPr fontId="26" type="noConversion"/>
  </si>
  <si>
    <t>跳转判断</t>
    <phoneticPr fontId="26" type="noConversion"/>
  </si>
  <si>
    <t>0;1029|1;6</t>
    <phoneticPr fontId="26" type="noConversion"/>
  </si>
  <si>
    <t>2;10104</t>
    <phoneticPr fontId="26" type="noConversion"/>
  </si>
  <si>
    <t>WaitEventCollectProduct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</si>
  <si>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1031</t>
    </r>
    <r>
      <rPr>
        <sz val="11"/>
        <color indexed="8"/>
        <rFont val="宋体"/>
        <family val="3"/>
        <charset val="134"/>
      </rPr>
      <t>|1;6</t>
    </r>
    <phoneticPr fontId="26" type="noConversion"/>
  </si>
  <si>
    <r>
      <t>20;1!103</t>
    </r>
    <r>
      <rPr>
        <sz val="11"/>
        <color indexed="8"/>
        <rFont val="宋体"/>
        <family val="3"/>
        <charset val="134"/>
      </rPr>
      <t>6</t>
    </r>
    <phoneticPr fontId="26" type="noConversion"/>
  </si>
  <si>
    <t>PopList/[UIPanel] Dialog_Confirm_Cancel_UI/Dialog_Confirm_Cancel_UI(Clone)/confirm</t>
    <phoneticPr fontId="26" type="noConversion"/>
  </si>
  <si>
    <t>10;5</t>
    <phoneticPr fontId="26" type="noConversion"/>
  </si>
  <si>
    <t>WaitEventUnLockBuilding</t>
    <phoneticPr fontId="26" type="noConversion"/>
  </si>
  <si>
    <t>21;1!10396</t>
    <phoneticPr fontId="26" type="noConversion"/>
  </si>
  <si>
    <t>22;1!10391</t>
    <phoneticPr fontId="26" type="noConversion"/>
  </si>
  <si>
    <t>10;6</t>
    <phoneticPr fontId="26" type="noConversion"/>
  </si>
  <si>
    <t>10;6</t>
    <phoneticPr fontId="26" type="noConversion"/>
  </si>
  <si>
    <t>4;31011;1!10396</t>
    <phoneticPr fontId="26" type="noConversion"/>
  </si>
  <si>
    <t>判断是否有材料</t>
    <phoneticPr fontId="26" type="noConversion"/>
  </si>
  <si>
    <t>11|6;1005</t>
    <phoneticPr fontId="26" type="noConversion"/>
  </si>
  <si>
    <t>判断这个任务是否已经完成了</t>
    <phoneticPr fontId="26" type="noConversion"/>
  </si>
  <si>
    <t>0;10396</t>
    <phoneticPr fontId="26" type="noConversion"/>
  </si>
  <si>
    <t>2;10104;3!10451</t>
    <phoneticPr fontId="26" type="noConversion"/>
  </si>
  <si>
    <t>判断是否可以领取这个任务</t>
    <phoneticPr fontId="26" type="noConversion"/>
  </si>
  <si>
    <t>0;10397|6;1005</t>
    <phoneticPr fontId="26" type="noConversion"/>
  </si>
  <si>
    <t>30;1!10451</t>
    <phoneticPr fontId="26" type="noConversion"/>
  </si>
  <si>
    <t>点击建筑上收获(判断任务是否完成)</t>
    <phoneticPr fontId="26" type="noConversion"/>
  </si>
  <si>
    <t>0;1045|6;1005|10;4</t>
    <phoneticPr fontId="26" type="noConversion"/>
  </si>
  <si>
    <t>2;10104;3</t>
    <phoneticPr fontId="26" type="noConversion"/>
  </si>
  <si>
    <t>点击【任务喵】（一旦引导就完成，以免卡住）</t>
    <phoneticPr fontId="26" type="noConversion"/>
  </si>
  <si>
    <t>NMainTaskHelpPanel(Clone)/btn_go</t>
    <phoneticPr fontId="26" type="noConversion"/>
  </si>
  <si>
    <t>4;62</t>
    <phoneticPr fontId="26" type="noConversion"/>
  </si>
  <si>
    <t>6;62</t>
    <phoneticPr fontId="26" type="noConversion"/>
  </si>
  <si>
    <t>[LuaScreen] backyardmap_panel/BackyardMapPanel/DownBtnPanel/root_guideTabPanel/BackyardGuideTabPanel(Clone)/guideTabRoot/1</t>
    <phoneticPr fontId="26" type="noConversion"/>
  </si>
  <si>
    <t>0;2099</t>
    <phoneticPr fontId="26" type="noConversion"/>
  </si>
  <si>
    <r>
      <t>UnlockScreenPanel/</t>
    </r>
    <r>
      <rPr>
        <sz val="11"/>
        <color indexed="8"/>
        <rFont val="宋体"/>
        <family val="3"/>
        <charset val="134"/>
      </rPr>
      <t>root_bg/btn_expand</t>
    </r>
    <phoneticPr fontId="26" type="noConversion"/>
  </si>
  <si>
    <t>0;2101</t>
    <phoneticPr fontId="26" type="noConversion"/>
  </si>
  <si>
    <t>0;2102</t>
    <phoneticPr fontId="26" type="noConversion"/>
  </si>
  <si>
    <t>0;2103|0;2131</t>
    <phoneticPr fontId="26" type="noConversion"/>
  </si>
  <si>
    <t>4;1022</t>
    <phoneticPr fontId="26" type="noConversion"/>
  </si>
  <si>
    <t>0;2110</t>
    <phoneticPr fontId="26" type="noConversion"/>
  </si>
  <si>
    <t>4;1002</t>
    <phoneticPr fontId="26" type="noConversion"/>
  </si>
  <si>
    <t>CatContractPanel(Clone)/panel/btn_empty</t>
    <phoneticPr fontId="26" type="noConversion"/>
  </si>
  <si>
    <t>[LuaScreen] backyardmap_panel/BackyardMapPanel/DownBtnPanel/root_guideTabPanel/BackyardGuideTabPanel(Clone)/guideTabRoot/2</t>
    <phoneticPr fontId="26" type="noConversion"/>
  </si>
  <si>
    <t>6;1002</t>
    <phoneticPr fontId="26" type="noConversion"/>
  </si>
  <si>
    <t xml:space="preserve">蒙版，特效高亮引导玩家点击【织染】
</t>
    <phoneticPr fontId="26" type="noConversion"/>
  </si>
  <si>
    <t>WaitEventBackYardCamNearEffect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</si>
  <si>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2115</t>
    </r>
    <phoneticPr fontId="26" type="noConversion"/>
  </si>
  <si>
    <t>WaitEventBackYardCamNearEffect</t>
    <phoneticPr fontId="26" type="noConversion"/>
  </si>
  <si>
    <t>BackyardMapPanel/maprect/viewport/mapcontent/container/root_build/90003_2/BuildingFarmLock2</t>
    <phoneticPr fontId="26" type="noConversion"/>
  </si>
  <si>
    <t>11|0;2116</t>
    <phoneticPr fontId="26" type="noConversion"/>
  </si>
  <si>
    <t>15;3</t>
    <phoneticPr fontId="26" type="noConversion"/>
  </si>
  <si>
    <t>[UIPanel] Dialog_Confirm_Cancel_UI/Dialog_Confirm_Cancel_UI(Clone)/confirm</t>
    <phoneticPr fontId="26" type="noConversion"/>
  </si>
  <si>
    <t>弹出框确认</t>
    <phoneticPr fontId="26" type="noConversion"/>
  </si>
  <si>
    <t>0;2201</t>
    <phoneticPr fontId="26" type="noConversion"/>
  </si>
  <si>
    <t>BackyardMapPanel/maprect/viewport/mapcontent/container/root_build/90003_2</t>
    <phoneticPr fontId="26" type="noConversion"/>
  </si>
  <si>
    <t>1;6|0;2202</t>
    <phoneticPr fontId="26" type="noConversion"/>
  </si>
  <si>
    <t>选择第一只猫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</si>
  <si>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2205</t>
    </r>
    <phoneticPr fontId="26" type="noConversion"/>
  </si>
  <si>
    <t>WaitEventPutCat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</si>
  <si>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2206</t>
    </r>
    <phoneticPr fontId="26" type="noConversion"/>
  </si>
  <si>
    <r>
      <t>0;</t>
    </r>
    <r>
      <rPr>
        <sz val="11"/>
        <color indexed="8"/>
        <rFont val="宋体"/>
        <family val="3"/>
        <charset val="134"/>
      </rPr>
      <t>2207</t>
    </r>
    <phoneticPr fontId="26" type="noConversion"/>
  </si>
  <si>
    <t>0;2208</t>
    <phoneticPr fontId="26" type="noConversion"/>
  </si>
  <si>
    <t>BackyardMapPanel/root_fanxingbtn/btn_back</t>
    <phoneticPr fontId="26" type="noConversion"/>
  </si>
  <si>
    <t>0;2209</t>
    <phoneticPr fontId="26" type="noConversion"/>
  </si>
  <si>
    <t>10;6</t>
    <phoneticPr fontId="26" type="noConversion"/>
  </si>
  <si>
    <t xml:space="preserve">步步介绍，有新的配方可以制作了。高亮柔云织，点击空白处步步消失，点击柔云织特效消失。
</t>
    <phoneticPr fontId="26" type="noConversion"/>
  </si>
  <si>
    <t>13;316</t>
    <phoneticPr fontId="26" type="noConversion"/>
  </si>
  <si>
    <t xml:space="preserve">蒙版，高亮问缘花笺，步步介绍
</t>
    <phoneticPr fontId="26" type="noConversion"/>
  </si>
  <si>
    <r>
      <t>CommonAwardPanel</t>
    </r>
    <r>
      <rPr>
        <sz val="11"/>
        <color indexed="8"/>
        <rFont val="宋体"/>
        <family val="3"/>
        <charset val="134"/>
      </rPr>
      <t>(Clone)/empty</t>
    </r>
    <phoneticPr fontId="26" type="noConversion"/>
  </si>
  <si>
    <t>0;2500</t>
    <phoneticPr fontId="26" type="noConversion"/>
  </si>
  <si>
    <t xml:space="preserve">蒙版，点击空白关闭
</t>
    <phoneticPr fontId="26" type="noConversion"/>
  </si>
  <si>
    <r>
      <t>0</t>
    </r>
    <r>
      <rPr>
        <sz val="11"/>
        <color indexed="8"/>
        <rFont val="宋体"/>
        <family val="3"/>
        <charset val="134"/>
      </rPr>
      <t>;2501</t>
    </r>
    <phoneticPr fontId="26" type="noConversion"/>
  </si>
  <si>
    <t>判断是否打开街市</t>
    <phoneticPr fontId="26" type="noConversion"/>
  </si>
  <si>
    <t>UIList/ShoppingPanel/btn_back</t>
    <phoneticPr fontId="26" type="noConversion"/>
  </si>
  <si>
    <t>0;2502</t>
    <phoneticPr fontId="26" type="noConversion"/>
  </si>
  <si>
    <t>返回</t>
    <phoneticPr fontId="26" type="noConversion"/>
  </si>
  <si>
    <t>0;2503</t>
    <phoneticPr fontId="26" type="noConversion"/>
  </si>
  <si>
    <r>
      <t>5;UIList/[LuaScreen] mainpanel/MainPanel</t>
    </r>
    <r>
      <rPr>
        <sz val="11"/>
        <color indexed="8"/>
        <rFont val="宋体"/>
        <family val="3"/>
        <charset val="134"/>
      </rPr>
      <t>!</t>
    </r>
    <r>
      <rPr>
        <sz val="11"/>
        <color indexed="8"/>
        <rFont val="宋体"/>
        <family val="3"/>
        <charset val="134"/>
      </rPr>
      <t>2600</t>
    </r>
    <phoneticPr fontId="26" type="noConversion"/>
  </si>
  <si>
    <t>判断是否打开主界面</t>
    <phoneticPr fontId="26" type="noConversion"/>
  </si>
  <si>
    <t>0;2504</t>
    <phoneticPr fontId="26" type="noConversion"/>
  </si>
  <si>
    <t>5;UIList/[LuaScreen] mainstorymap_panel!2506</t>
    <phoneticPr fontId="26" type="noConversion"/>
  </si>
  <si>
    <t>点击返回主界面</t>
    <phoneticPr fontId="26" type="noConversion"/>
  </si>
  <si>
    <t>mainstorymap_panel(Clone)/highOrder/btn_back</t>
    <phoneticPr fontId="26" type="noConversion"/>
  </si>
  <si>
    <t>0;2505</t>
    <phoneticPr fontId="26" type="noConversion"/>
  </si>
  <si>
    <t>点击返回主界面</t>
    <phoneticPr fontId="26" type="noConversion"/>
  </si>
  <si>
    <t>[LuaScreen] mainpanel/MainPanel/button_root/panel_center/btn_s_stationeryLottery</t>
    <phoneticPr fontId="26" type="noConversion"/>
  </si>
  <si>
    <t>4;316;10</t>
    <phoneticPr fontId="26" type="noConversion"/>
  </si>
  <si>
    <t>12;1039</t>
    <phoneticPr fontId="26" type="noConversion"/>
  </si>
  <si>
    <t>PopList/[UIPanel] Dialog_Confirm_Cancel_UI/Dialog_Confirm_Cancel_UI(Clone)/confirm</t>
    <phoneticPr fontId="26" type="noConversion"/>
  </si>
  <si>
    <t>10;5</t>
    <phoneticPr fontId="26" type="noConversion"/>
  </si>
  <si>
    <t>UIList/[LuaScreen] mainpanel/MainPanel/button_root/panel_bottom/btn_s_stationery</t>
    <phoneticPr fontId="26" type="noConversion"/>
  </si>
  <si>
    <t>32;220130</t>
    <phoneticPr fontId="26" type="noConversion"/>
  </si>
  <si>
    <t xml:space="preserve">步步介绍，高亮花笺集，特效提示点击，点击进入下一步 </t>
  </si>
  <si>
    <t>root_pop/FancyStationeryPanel(Clone)/obj_heroToggle|root_pop/FancyStationeryPanel(Clone)/obj_heroToggle/toggle_luchen</t>
    <phoneticPr fontId="26" type="noConversion"/>
  </si>
  <si>
    <t>12;79</t>
    <phoneticPr fontId="26" type="noConversion"/>
  </si>
  <si>
    <t xml:space="preserve">特效高亮花笺卡陆沉切页，点击切换到陆沉页 </t>
  </si>
  <si>
    <t>root_pop/FancyStationeryPanel(Clone)/panel_stationery/Scroll View/Viewport/root_suitItem/0</t>
  </si>
  <si>
    <t>特效高亮第一套花笺卡，步步介绍套卡</t>
  </si>
  <si>
    <t>root_pop/FancyStationeryPanel(Clone)/panel_stationery/Scroll View/Viewport/root_suitItem/0/obj_property</t>
  </si>
  <si>
    <t>0;2702</t>
  </si>
  <si>
    <t>特效高亮属性，步步介绍，</t>
  </si>
  <si>
    <t>特效高亮三站副卡（没有获得的也高亮）</t>
  </si>
  <si>
    <t>特效高亮主卡，步步介绍</t>
  </si>
  <si>
    <t>高亮支线，步步介绍</t>
  </si>
  <si>
    <t>FancyStationeryPanel(Clone)/StationerySuitDetailPanel/panel_middle/ScrollView_card/content/instance_card(Clone)/btn_strategy</t>
    <phoneticPr fontId="26" type="noConversion"/>
  </si>
  <si>
    <t>点击【进入】</t>
  </si>
  <si>
    <t>root_pop/FancyStationeryPanel(Clone)/FancyDetailPanel/fancy/panel_down/btn_enterStrategy</t>
    <phoneticPr fontId="26" type="noConversion"/>
  </si>
  <si>
    <t>12;1041</t>
    <phoneticPr fontId="26" type="noConversion"/>
  </si>
  <si>
    <t>[UIPanel] Dialog_Confirm_Cancel_UI/Dialog_Confirm_Cancel_UI(Clone)/confirm</t>
  </si>
  <si>
    <t>10;5</t>
    <phoneticPr fontId="26" type="noConversion"/>
  </si>
  <si>
    <t xml:space="preserve">点击【确定】进入支线 </t>
  </si>
  <si>
    <r>
      <t>1;0</t>
    </r>
    <r>
      <rPr>
        <sz val="11"/>
        <color indexed="8"/>
        <rFont val="宋体"/>
        <family val="3"/>
        <charset val="134"/>
      </rPr>
      <t>|6;1039|</t>
    </r>
    <r>
      <rPr>
        <sz val="11"/>
        <color indexed="8"/>
        <rFont val="宋体"/>
        <family val="3"/>
        <charset val="134"/>
      </rPr>
      <t>10;8</t>
    </r>
    <phoneticPr fontId="26" type="noConversion"/>
  </si>
  <si>
    <t>12;1040</t>
    <phoneticPr fontId="26" type="noConversion"/>
  </si>
  <si>
    <t>hua_jian_chou_jiang_Root_panel(Clone)/view/root_content/hua_jian_chou_jiang_panel(Clone)/UI_Root/curentPoolRoot/drawTen_btn</t>
    <phoneticPr fontId="26" type="noConversion"/>
  </si>
  <si>
    <t>2;10108!0!2402!2403</t>
    <phoneticPr fontId="26" type="noConversion"/>
  </si>
  <si>
    <t>路尤高亮，步步介绍 :这是刚才认识的客人，大小姐去拜访一下他吧</t>
    <phoneticPr fontId="26" type="noConversion"/>
  </si>
  <si>
    <t>12;51</t>
    <phoneticPr fontId="26" type="noConversion"/>
  </si>
  <si>
    <t>NpcTalkPanel(Clone)/CenterLeft/vertical/MoreOperation/hurdle/btn_share</t>
  </si>
  <si>
    <t>2;10107</t>
    <phoneticPr fontId="26" type="noConversion"/>
  </si>
  <si>
    <t>12;80</t>
    <phoneticPr fontId="26" type="noConversion"/>
  </si>
  <si>
    <t>12;1042</t>
    <phoneticPr fontId="26" type="noConversion"/>
  </si>
  <si>
    <t>6;1023</t>
    <phoneticPr fontId="26" type="noConversion"/>
  </si>
  <si>
    <t>判断是否有话题，没有就等待</t>
    <phoneticPr fontId="26" type="noConversion"/>
  </si>
  <si>
    <r>
      <t>0</t>
    </r>
    <r>
      <rPr>
        <sz val="11"/>
        <color indexed="8"/>
        <rFont val="宋体"/>
        <family val="3"/>
        <charset val="134"/>
      </rPr>
      <t>;1320</t>
    </r>
    <phoneticPr fontId="26" type="noConversion"/>
  </si>
  <si>
    <t>10;9</t>
    <phoneticPr fontId="26" type="noConversion"/>
  </si>
  <si>
    <t>12;80|0;1309</t>
    <phoneticPr fontId="26" type="noConversion"/>
  </si>
  <si>
    <t>33!1322</t>
    <phoneticPr fontId="26" type="noConversion"/>
  </si>
  <si>
    <t>15;40073</t>
    <phoneticPr fontId="26" type="noConversion"/>
  </si>
  <si>
    <t>DradEnd</t>
    <phoneticPr fontId="26" type="noConversion"/>
  </si>
  <si>
    <t>CatContractPanel(Clone)/catPanel/root/btn_openSign</t>
    <phoneticPr fontId="26" type="noConversion"/>
  </si>
  <si>
    <t>worldView/MapScrollView/Viewport/content/MainTaskTip</t>
    <phoneticPr fontId="26" type="noConversion"/>
  </si>
  <si>
    <t>2;10108</t>
    <phoneticPr fontId="26" type="noConversion"/>
  </si>
  <si>
    <t>16;90003;2!2203</t>
    <phoneticPr fontId="26" type="noConversion"/>
  </si>
  <si>
    <r>
      <t>31;UIList/ShoppingPanel</t>
    </r>
    <r>
      <rPr>
        <sz val="11"/>
        <color indexed="8"/>
        <rFont val="宋体"/>
        <family val="3"/>
        <charset val="134"/>
      </rPr>
      <t>!</t>
    </r>
    <r>
      <rPr>
        <sz val="11"/>
        <color indexed="8"/>
        <rFont val="宋体"/>
        <family val="3"/>
        <charset val="134"/>
      </rPr>
      <t>2504</t>
    </r>
    <phoneticPr fontId="26" type="noConversion"/>
  </si>
  <si>
    <t>4;21002;1&amp;5;BackyardMapPanel/manufacturePanel</t>
    <phoneticPr fontId="26" type="noConversion"/>
  </si>
  <si>
    <t>12;90003;2!2230</t>
    <phoneticPr fontId="26" type="noConversion"/>
  </si>
  <si>
    <t>WaitEventPullTailShowResult</t>
    <phoneticPr fontId="26" type="noConversion"/>
  </si>
  <si>
    <t>WaitEventTopicPanelRsp</t>
    <phoneticPr fontId="26" type="noConversion"/>
  </si>
  <si>
    <t>WaitEventTopicDialogEnd</t>
    <phoneticPr fontId="26" type="noConversion"/>
  </si>
  <si>
    <t>WaitEventSellGoods</t>
    <phoneticPr fontId="26" type="noConversion"/>
  </si>
  <si>
    <t>WaitEventBackYardMapUnLock</t>
    <phoneticPr fontId="26" type="noConversion"/>
  </si>
  <si>
    <t>WaitEventMainStoryWorldMapTweenEnd</t>
    <phoneticPr fontId="26" type="noConversion"/>
  </si>
  <si>
    <t>UIList/[LuaScreen] mainstorymap_panel/mainstorysection_panel(Clone)/DialogGoodPanel/miniGame/FightingTemplatePanel(Clone)/slider_curValue</t>
    <phoneticPr fontId="26" type="noConversion"/>
  </si>
  <si>
    <t>24!2107</t>
    <phoneticPr fontId="26" type="noConversion"/>
  </si>
  <si>
    <t>判断3只猫</t>
  </si>
  <si>
    <t>3;4</t>
    <phoneticPr fontId="26" type="noConversion"/>
  </si>
  <si>
    <t>0;2098</t>
    <phoneticPr fontId="26" type="noConversion"/>
  </si>
  <si>
    <t>17;2!2130</t>
    <phoneticPr fontId="26" type="noConversion"/>
  </si>
  <si>
    <t>15;3!2200</t>
    <phoneticPr fontId="26" type="noConversion"/>
  </si>
  <si>
    <t>2;10105!0!10451!2098</t>
    <phoneticPr fontId="26" type="noConversion"/>
  </si>
  <si>
    <t>1;0</t>
    <phoneticPr fontId="26" type="noConversion"/>
  </si>
  <si>
    <t>HeroTalkPanel(Clone)/btn_busy/btn_back</t>
    <phoneticPr fontId="26" type="noConversion"/>
  </si>
  <si>
    <t>topicPanel(Clone)/topic_root/close_btn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</si>
  <si>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364</t>
    </r>
    <phoneticPr fontId="26" type="noConversion"/>
  </si>
  <si>
    <t>126;66</t>
    <phoneticPr fontId="26" type="noConversion"/>
  </si>
  <si>
    <t>0;300</t>
    <phoneticPr fontId="26" type="noConversion"/>
  </si>
  <si>
    <t>0;0</t>
    <phoneticPr fontId="26" type="noConversion"/>
  </si>
  <si>
    <r>
      <t>0</t>
    </r>
    <r>
      <rPr>
        <sz val="11"/>
        <color indexed="8"/>
        <rFont val="宋体"/>
        <family val="3"/>
        <charset val="134"/>
      </rPr>
      <t>;</t>
    </r>
    <r>
      <rPr>
        <sz val="11"/>
        <color indexed="8"/>
        <rFont val="宋体"/>
        <family val="3"/>
        <charset val="134"/>
      </rPr>
      <t>0</t>
    </r>
    <phoneticPr fontId="26" type="noConversion"/>
  </si>
  <si>
    <t>0;120</t>
    <phoneticPr fontId="26" type="noConversion"/>
  </si>
  <si>
    <t>0;480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</si>
  <si>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-</t>
    </r>
    <r>
      <rPr>
        <sz val="11"/>
        <color indexed="8"/>
        <rFont val="宋体"/>
        <family val="3"/>
        <charset val="134"/>
      </rPr>
      <t>237</t>
    </r>
    <phoneticPr fontId="26" type="noConversion"/>
  </si>
  <si>
    <r>
      <t>123;</t>
    </r>
    <r>
      <rPr>
        <sz val="11"/>
        <color indexed="8"/>
        <rFont val="宋体"/>
        <family val="3"/>
        <charset val="134"/>
      </rPr>
      <t>14</t>
    </r>
    <phoneticPr fontId="26" type="noConversion"/>
  </si>
  <si>
    <t>76;58</t>
    <phoneticPr fontId="26" type="noConversion"/>
  </si>
  <si>
    <t>0;-200</t>
    <phoneticPr fontId="26" type="noConversion"/>
  </si>
  <si>
    <r>
      <t>143;</t>
    </r>
    <r>
      <rPr>
        <sz val="11"/>
        <color indexed="8"/>
        <rFont val="宋体"/>
        <family val="3"/>
        <charset val="134"/>
      </rPr>
      <t>297</t>
    </r>
    <phoneticPr fontId="26" type="noConversion"/>
  </si>
  <si>
    <t>163;-45</t>
    <phoneticPr fontId="26" type="noConversion"/>
  </si>
  <si>
    <t>39;298</t>
    <phoneticPr fontId="26" type="noConversion"/>
  </si>
  <si>
    <t>0;160</t>
    <phoneticPr fontId="26" type="noConversion"/>
  </si>
  <si>
    <t>0;500</t>
    <phoneticPr fontId="26" type="noConversion"/>
  </si>
  <si>
    <t>139;-200</t>
    <phoneticPr fontId="26" type="noConversion"/>
  </si>
  <si>
    <t>0;-345</t>
    <phoneticPr fontId="26" type="noConversion"/>
  </si>
  <si>
    <t>60;-200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</si>
  <si>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150</t>
    </r>
    <phoneticPr fontId="26" type="noConversion"/>
  </si>
  <si>
    <r>
      <t>67;</t>
    </r>
    <r>
      <rPr>
        <sz val="11"/>
        <color indexed="8"/>
        <rFont val="宋体"/>
        <family val="3"/>
        <charset val="134"/>
      </rPr>
      <t>123</t>
    </r>
    <phoneticPr fontId="26" type="noConversion"/>
  </si>
  <si>
    <t>-60;260</t>
    <phoneticPr fontId="26" type="noConversion"/>
  </si>
  <si>
    <r>
      <t>1</t>
    </r>
    <r>
      <rPr>
        <sz val="11"/>
        <color indexed="8"/>
        <rFont val="宋体"/>
        <family val="3"/>
        <charset val="134"/>
      </rPr>
      <t>10</t>
    </r>
    <r>
      <rPr>
        <sz val="11"/>
        <color indexed="8"/>
        <rFont val="宋体"/>
        <family val="3"/>
        <charset val="134"/>
      </rPr>
      <t>;308</t>
    </r>
    <phoneticPr fontId="26" type="noConversion"/>
  </si>
  <si>
    <t>90;400</t>
    <phoneticPr fontId="26" type="noConversion"/>
  </si>
  <si>
    <t>19;200</t>
    <phoneticPr fontId="26" type="noConversion"/>
  </si>
  <si>
    <t>190;-60</t>
    <phoneticPr fontId="26" type="noConversion"/>
  </si>
  <si>
    <t>-120;-200</t>
    <phoneticPr fontId="26" type="noConversion"/>
  </si>
  <si>
    <t>39;-124</t>
    <phoneticPr fontId="26" type="noConversion"/>
  </si>
  <si>
    <t>0;160</t>
    <phoneticPr fontId="26" type="noConversion"/>
  </si>
  <si>
    <r>
      <t>0;</t>
    </r>
    <r>
      <rPr>
        <sz val="11"/>
        <color indexed="8"/>
        <rFont val="宋体"/>
        <family val="3"/>
        <charset val="134"/>
      </rPr>
      <t>360</t>
    </r>
    <phoneticPr fontId="26" type="noConversion"/>
  </si>
  <si>
    <t>89;-204</t>
    <phoneticPr fontId="26" type="noConversion"/>
  </si>
  <si>
    <t>139;-200</t>
    <phoneticPr fontId="26" type="noConversion"/>
  </si>
  <si>
    <t>-60;200</t>
    <phoneticPr fontId="26" type="noConversion"/>
  </si>
  <si>
    <r>
      <t>42;</t>
    </r>
    <r>
      <rPr>
        <sz val="11"/>
        <color indexed="8"/>
        <rFont val="宋体"/>
        <family val="3"/>
        <charset val="134"/>
      </rPr>
      <t>-200</t>
    </r>
    <phoneticPr fontId="26" type="noConversion"/>
  </si>
  <si>
    <r>
      <t>144;</t>
    </r>
    <r>
      <rPr>
        <sz val="11"/>
        <color indexed="8"/>
        <rFont val="宋体"/>
        <family val="3"/>
        <charset val="134"/>
      </rPr>
      <t>92</t>
    </r>
    <phoneticPr fontId="26" type="noConversion"/>
  </si>
  <si>
    <t>-100;160</t>
    <phoneticPr fontId="26" type="noConversion"/>
  </si>
  <si>
    <t>0;-200</t>
    <phoneticPr fontId="26" type="noConversion"/>
  </si>
  <si>
    <t>0;230</t>
    <phoneticPr fontId="26" type="noConversion"/>
  </si>
  <si>
    <r>
      <t>146;</t>
    </r>
    <r>
      <rPr>
        <sz val="11"/>
        <color indexed="8"/>
        <rFont val="宋体"/>
        <family val="3"/>
        <charset val="134"/>
      </rPr>
      <t>195</t>
    </r>
    <phoneticPr fontId="26" type="noConversion"/>
  </si>
  <si>
    <r>
      <t>81;</t>
    </r>
    <r>
      <rPr>
        <sz val="11"/>
        <color indexed="8"/>
        <rFont val="宋体"/>
        <family val="3"/>
        <charset val="134"/>
      </rPr>
      <t>184</t>
    </r>
    <phoneticPr fontId="26" type="noConversion"/>
  </si>
  <si>
    <r>
      <t>135;</t>
    </r>
    <r>
      <rPr>
        <sz val="11"/>
        <color indexed="8"/>
        <rFont val="宋体"/>
        <family val="3"/>
        <charset val="134"/>
      </rPr>
      <t>-62</t>
    </r>
    <phoneticPr fontId="26" type="noConversion"/>
  </si>
  <si>
    <r>
      <t>-</t>
    </r>
    <r>
      <rPr>
        <sz val="11"/>
        <color indexed="8"/>
        <rFont val="宋体"/>
        <family val="3"/>
        <charset val="134"/>
      </rPr>
      <t>120</t>
    </r>
    <r>
      <rPr>
        <sz val="11"/>
        <color indexed="8"/>
        <rFont val="宋体"/>
        <family val="3"/>
        <charset val="134"/>
      </rPr>
      <t>;-</t>
    </r>
    <r>
      <rPr>
        <sz val="11"/>
        <color indexed="8"/>
        <rFont val="宋体"/>
        <family val="3"/>
        <charset val="134"/>
      </rPr>
      <t>340</t>
    </r>
    <phoneticPr fontId="26" type="noConversion"/>
  </si>
  <si>
    <r>
      <t>67;</t>
    </r>
    <r>
      <rPr>
        <sz val="11"/>
        <color indexed="8"/>
        <rFont val="宋体"/>
        <family val="3"/>
        <charset val="134"/>
      </rPr>
      <t>123</t>
    </r>
    <phoneticPr fontId="26" type="noConversion"/>
  </si>
  <si>
    <t>0;-100</t>
    <phoneticPr fontId="26" type="noConversion"/>
  </si>
  <si>
    <t>80;300</t>
    <phoneticPr fontId="26" type="noConversion"/>
  </si>
  <si>
    <t>MinLevel</t>
    <phoneticPr fontId="26" type="noConversion"/>
  </si>
  <si>
    <t>MaxLevel</t>
    <phoneticPr fontId="26" type="noConversion"/>
  </si>
  <si>
    <t>角色最小等级限制</t>
    <phoneticPr fontId="26" type="noConversion"/>
  </si>
  <si>
    <t>角色最大等级限制，接受任务等级限制，
前闭后开[min, max)，都为0则没有限制</t>
    <phoneticPr fontId="26" type="noConversion"/>
  </si>
  <si>
    <t>获得孵化猫</t>
    <phoneticPr fontId="26" type="noConversion"/>
  </si>
  <si>
    <t>完成副本</t>
    <phoneticPr fontId="26" type="noConversion"/>
  </si>
  <si>
    <t>钓鱼</t>
    <phoneticPr fontId="26" type="noConversion"/>
  </si>
  <si>
    <t>副本类型1男主；2精英；3茶楼</t>
    <phoneticPr fontId="26" type="noConversion"/>
  </si>
  <si>
    <t>副本id</t>
    <phoneticPr fontId="26" type="noConversion"/>
  </si>
  <si>
    <t>2024&amp;1&amp;1</t>
    <phoneticPr fontId="26" type="noConversion"/>
  </si>
  <si>
    <t>进入茶楼挑战1次</t>
    <phoneticPr fontId="26" type="noConversion"/>
  </si>
  <si>
    <t>2024&amp;1&amp;3</t>
    <phoneticPr fontId="26" type="noConversion"/>
  </si>
  <si>
    <t>2024&amp;1&amp;2</t>
    <phoneticPr fontId="26" type="noConversion"/>
  </si>
  <si>
    <t>通过云绣坊零售赚取金币</t>
    <phoneticPr fontId="26" type="noConversion"/>
  </si>
  <si>
    <t>完成云绣坊订单1份</t>
    <phoneticPr fontId="26" type="noConversion"/>
  </si>
  <si>
    <t>1;2;20</t>
    <phoneticPr fontId="26" type="noConversion"/>
  </si>
  <si>
    <t>1;2;50</t>
    <phoneticPr fontId="26" type="noConversion"/>
  </si>
  <si>
    <t>1;5;125|2;301;1</t>
  </si>
  <si>
    <t>1;5;125|2;321;1</t>
  </si>
  <si>
    <t>1;5;100|32;10012;1</t>
  </si>
  <si>
    <t>1;5;100|2;301;3</t>
  </si>
  <si>
    <t>1;5;150|2;322;3</t>
  </si>
  <si>
    <t>1;5;50|2;318;1</t>
  </si>
  <si>
    <t>1;5;100|32;10022;1</t>
  </si>
  <si>
    <t>1;5;150|1;2;30</t>
  </si>
  <si>
    <t>零售</t>
    <phoneticPr fontId="26" type="noConversion"/>
  </si>
  <si>
    <t>街坊</t>
    <phoneticPr fontId="26" type="noConversion"/>
  </si>
  <si>
    <t>问缘</t>
    <phoneticPr fontId="26" type="noConversion"/>
  </si>
  <si>
    <t>精英</t>
    <phoneticPr fontId="26" type="noConversion"/>
  </si>
  <si>
    <t>收获</t>
    <phoneticPr fontId="26" type="noConversion"/>
  </si>
  <si>
    <t>订单</t>
    <phoneticPr fontId="26" type="noConversion"/>
  </si>
  <si>
    <t>探事</t>
    <phoneticPr fontId="26" type="noConversion"/>
  </si>
  <si>
    <t>逗猫</t>
    <phoneticPr fontId="26" type="noConversion"/>
  </si>
  <si>
    <t>喂食</t>
    <phoneticPr fontId="26" type="noConversion"/>
  </si>
  <si>
    <t>送礼</t>
    <phoneticPr fontId="26" type="noConversion"/>
  </si>
  <si>
    <t>八卦</t>
    <phoneticPr fontId="26" type="noConversion"/>
  </si>
  <si>
    <t>茶楼</t>
    <phoneticPr fontId="26" type="noConversion"/>
  </si>
  <si>
    <t>钓鱼</t>
    <phoneticPr fontId="26" type="noConversion"/>
  </si>
  <si>
    <t>问候街坊3次</t>
  </si>
  <si>
    <t>完成云绣坊订单3份</t>
  </si>
  <si>
    <t>2012&amp;1&amp;11</t>
  </si>
  <si>
    <t>完成探事轩委托2次</t>
  </si>
  <si>
    <t>收获500个浮光麻</t>
  </si>
  <si>
    <t>1|1</t>
  </si>
  <si>
    <t>收获500个绒绒棉</t>
  </si>
  <si>
    <t>1|2</t>
  </si>
  <si>
    <t>零售累计赚取1000金</t>
  </si>
  <si>
    <t>给男主送礼3次</t>
  </si>
  <si>
    <t>收获500个冰蚕丝</t>
  </si>
  <si>
    <t>2|1</t>
  </si>
  <si>
    <t>收获300个千色堇</t>
  </si>
  <si>
    <t>1|3</t>
  </si>
  <si>
    <t>零售累计赚取10000金</t>
  </si>
  <si>
    <t>进行2次茶楼挑战</t>
  </si>
  <si>
    <t>小花园逗猫10次</t>
  </si>
  <si>
    <t>进行5次探险</t>
  </si>
  <si>
    <t>向大灵猫问缘10次</t>
  </si>
  <si>
    <t>完成5次八卦楼挑战</t>
  </si>
  <si>
    <t>3套花笺等级达到11级</t>
  </si>
  <si>
    <t>收获500个仙禽羽</t>
  </si>
  <si>
    <t>2|2</t>
  </si>
  <si>
    <t>收获500个山林矿</t>
  </si>
  <si>
    <t>3|1</t>
  </si>
  <si>
    <t>零售累计赚取20000金</t>
  </si>
  <si>
    <t>完成云绣坊订单15份</t>
  </si>
  <si>
    <t>情报阁累计获得12星</t>
  </si>
  <si>
    <t>给男主送礼6次</t>
  </si>
  <si>
    <t>累计获得10个小纸条</t>
  </si>
  <si>
    <t>收获300个薄荷果</t>
  </si>
  <si>
    <t>1|4</t>
  </si>
  <si>
    <t>收获500个香木屑</t>
  </si>
  <si>
    <t>3|2</t>
  </si>
  <si>
    <t>零售累计赚取30000金</t>
  </si>
  <si>
    <t>进行4次茶楼挑战</t>
  </si>
  <si>
    <t>小花园逗猫20次</t>
  </si>
  <si>
    <t>进行15次探险</t>
  </si>
  <si>
    <t>向大灵猫问缘20次</t>
  </si>
  <si>
    <t>完成10次八卦楼挑战</t>
  </si>
  <si>
    <t>5套花笺等级达到21级</t>
  </si>
  <si>
    <t>制作300个异色影花扇</t>
  </si>
  <si>
    <t>4|1</t>
  </si>
  <si>
    <t>制作300个藏香</t>
  </si>
  <si>
    <t>4|2</t>
  </si>
  <si>
    <t>零售累计赚取40000金</t>
  </si>
  <si>
    <t>完成云绣坊订单30份</t>
  </si>
  <si>
    <t>情报阁累计获得18星</t>
  </si>
  <si>
    <t>任意猫咪升星1次</t>
  </si>
  <si>
    <t>累计获得30个小纸条</t>
  </si>
  <si>
    <t>制作300个鎏金簪</t>
  </si>
  <si>
    <t>4|3</t>
  </si>
  <si>
    <t>制作300个好奇喵</t>
  </si>
  <si>
    <t>零售累计赚取50000金</t>
  </si>
  <si>
    <t>进行5次茶楼挑战</t>
  </si>
  <si>
    <t>小花园逗猫30次</t>
  </si>
  <si>
    <t>进行25次探险</t>
  </si>
  <si>
    <t>向大灵猫问缘30次</t>
  </si>
  <si>
    <t>完成20次八卦楼挑战</t>
  </si>
  <si>
    <t>5套花笺等级达到30级</t>
  </si>
  <si>
    <t>制作300个水风清</t>
  </si>
  <si>
    <t>制作300个甜豆沙</t>
  </si>
  <si>
    <t>零售累计赚取60000金</t>
  </si>
  <si>
    <t>完成云绣坊订单50份</t>
  </si>
  <si>
    <t>情报阁累计获得24星</t>
  </si>
  <si>
    <t>给男主送礼10次</t>
  </si>
  <si>
    <t>向大灵猫问缘40次</t>
  </si>
  <si>
    <t>2003&amp;1&amp;21002-2004&amp;4&amp;1</t>
  </si>
  <si>
    <t>2003&amp;1&amp;1-2004&amp;4&amp;1</t>
  </si>
  <si>
    <t>2108&amp;4&amp;0</t>
  </si>
  <si>
    <t>2024&amp;1&amp;2</t>
  </si>
  <si>
    <t>2017&amp;4&amp;15</t>
  </si>
  <si>
    <t>2003&amp;1&amp;22001-2004&amp;4&amp;1</t>
  </si>
  <si>
    <t>2003&amp;1&amp;21003-2004&amp;4&amp;1</t>
  </si>
  <si>
    <t>2001&amp;1&amp;201001-2002&amp;4&amp;10</t>
  </si>
  <si>
    <t>2024&amp;1&amp;3</t>
  </si>
  <si>
    <t>2024&amp;1&amp;1</t>
  </si>
  <si>
    <t>2106&amp;1&amp;11</t>
  </si>
  <si>
    <t>2003&amp;1&amp;22002-2004&amp;4&amp;1</t>
  </si>
  <si>
    <t>2003&amp;1&amp;23001-2004&amp;4&amp;1</t>
  </si>
  <si>
    <t>2108&amp;4&amp;1</t>
  </si>
  <si>
    <t>2012&amp;1&amp;21</t>
  </si>
  <si>
    <t>2017&amp;4&amp;20</t>
  </si>
  <si>
    <t>2003&amp;1&amp;21004-2004&amp;4&amp;1</t>
  </si>
  <si>
    <t>2003&amp;1&amp;23002-2004&amp;4&amp;1</t>
  </si>
  <si>
    <t>2001&amp;1&amp;201001-2002&amp;4&amp;15</t>
  </si>
  <si>
    <t>2106&amp;1&amp;21</t>
  </si>
  <si>
    <t>2003&amp;1&amp;32091-2004&amp;4&amp;1</t>
  </si>
  <si>
    <t>2003&amp;1&amp;34031-2004&amp;4&amp;1</t>
  </si>
  <si>
    <t>2012&amp;1&amp;30</t>
  </si>
  <si>
    <t>2013&amp;4&amp;1</t>
  </si>
  <si>
    <t>2017&amp;4&amp;25</t>
  </si>
  <si>
    <t>2003&amp;1&amp;37021-2004&amp;4&amp;1</t>
  </si>
  <si>
    <t>2003&amp;1&amp;34021-2004&amp;4&amp;1</t>
  </si>
  <si>
    <t>2001&amp;1&amp;201001-2002&amp;4&amp;20</t>
  </si>
  <si>
    <t>2106&amp;1&amp;30</t>
  </si>
  <si>
    <t>2003&amp;1&amp;34051-2004&amp;4&amp;1</t>
  </si>
  <si>
    <t>2003&amp;1&amp;35011-2004&amp;4&amp;1</t>
  </si>
  <si>
    <t>2012&amp;1&amp;31</t>
  </si>
  <si>
    <t>2017&amp;4&amp;30</t>
  </si>
  <si>
    <t>第二天10</t>
  </si>
  <si>
    <t>第三天9</t>
  </si>
  <si>
    <t>第三天10</t>
  </si>
  <si>
    <t>第四天9</t>
  </si>
  <si>
    <t>第四天10</t>
  </si>
  <si>
    <t>第五天9</t>
  </si>
  <si>
    <t>第五天10</t>
  </si>
  <si>
    <t>第六天9</t>
  </si>
  <si>
    <t>第六天10</t>
  </si>
  <si>
    <t>第七天9</t>
  </si>
  <si>
    <t>第七天10</t>
  </si>
  <si>
    <t>1;5;50|6;50006;1</t>
    <phoneticPr fontId="26" type="noConversion"/>
  </si>
  <si>
    <t>1;5;150|2;319;1</t>
    <phoneticPr fontId="26" type="noConversion"/>
  </si>
  <si>
    <t>1;5;100|2;207;5</t>
    <phoneticPr fontId="26" type="noConversion"/>
  </si>
  <si>
    <t>1;5;150|1;15;30</t>
    <phoneticPr fontId="26" type="noConversion"/>
  </si>
  <si>
    <t>1;5;150|2;203;50</t>
    <phoneticPr fontId="26" type="noConversion"/>
  </si>
  <si>
    <t>2;301;5</t>
  </si>
  <si>
    <t>2;321;1</t>
  </si>
  <si>
    <t>6;50006;1</t>
  </si>
  <si>
    <t>32;10011;5</t>
  </si>
  <si>
    <t>2;319;1</t>
  </si>
  <si>
    <t>4;24000;10</t>
  </si>
  <si>
    <t>1;2;100</t>
  </si>
  <si>
    <t>2;316;1</t>
  </si>
  <si>
    <t>2;207;5</t>
  </si>
  <si>
    <t>1;15;30</t>
  </si>
  <si>
    <t>2;203;50</t>
  </si>
  <si>
    <t>32;10021;5</t>
  </si>
  <si>
    <t>32;10011;10</t>
  </si>
  <si>
    <t>2;318;1</t>
  </si>
  <si>
    <t>32;10021;10</t>
  </si>
  <si>
    <t>32;10012;10</t>
  </si>
  <si>
    <t>2;316;3</t>
  </si>
  <si>
    <t>32;10022;10</t>
  </si>
  <si>
    <t>32;10013;10</t>
  </si>
  <si>
    <t>云绣坊达到20级</t>
    <phoneticPr fontId="26" type="noConversion"/>
  </si>
  <si>
    <t>6只灵猫等级达到31级</t>
    <phoneticPr fontId="26" type="noConversion"/>
  </si>
  <si>
    <t>通关40次文书阁副本</t>
    <phoneticPr fontId="26" type="noConversion"/>
  </si>
  <si>
    <t>云绣坊达到10级</t>
  </si>
  <si>
    <t>云绣坊达到15级</t>
  </si>
  <si>
    <t>主角等级到15级</t>
  </si>
  <si>
    <t>主角等级到20级</t>
  </si>
  <si>
    <t>主角等级到25级</t>
  </si>
  <si>
    <t>主角等级到30级</t>
  </si>
  <si>
    <t>完成文书阁1次</t>
  </si>
  <si>
    <t>通关5次文书阁</t>
  </si>
  <si>
    <t>通关20次文书阁</t>
  </si>
  <si>
    <t>通关30次文书阁</t>
  </si>
  <si>
    <t>捕鱼1次</t>
  </si>
  <si>
    <t>3只灵猫等级达到11级</t>
  </si>
  <si>
    <t>5只灵猫等级达到21级</t>
  </si>
  <si>
    <t>6只灵猫等级达到30级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</si>
</sst>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34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sz val="8"/>
      <color indexed="42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i/>
      <sz val="9"/>
      <color indexed="23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rgb="FFFF0000"/>
      <name val="宋体"/>
      <family val="3"/>
      <charset val="134"/>
    </font>
    <font>
      <sz val="9"/>
      <color theme="1"/>
      <name val="微软雅黑"/>
      <family val="2"/>
    </font>
    <font>
      <sz val="8"/>
      <color indexed="8"/>
      <name val="微软雅黑"/>
      <family val="2"/>
    </font>
    <font>
      <b/>
      <sz val="9"/>
      <color theme="0"/>
      <name val="微软雅黑"/>
      <family val="2"/>
    </font>
  </fonts>
  <fills count="2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358">
    <xf numFmtId="176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6" fontId="1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2" fillId="10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7" fillId="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0" fillId="1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0" fontId="25" fillId="6" borderId="7" applyNumberFormat="0" applyAlignment="0" applyProtection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</cellStyleXfs>
  <cellXfs count="101">
    <xf numFmtId="176" fontId="0" fillId="0" borderId="0" xfId="0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1" xfId="291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left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9" fillId="0" borderId="1" xfId="263" applyNumberFormat="1" applyFont="1" applyBorder="1" applyAlignment="1">
      <alignment horizontal="center" vertical="center" shrinkToFit="1"/>
    </xf>
    <xf numFmtId="0" fontId="29" fillId="22" borderId="1" xfId="263" applyNumberFormat="1" applyFont="1" applyFill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29" fillId="23" borderId="2" xfId="263" applyNumberFormat="1" applyFont="1" applyFill="1" applyBorder="1" applyAlignment="1">
      <alignment horizontal="center" vertical="center" shrinkToFit="1"/>
    </xf>
    <xf numFmtId="49" fontId="29" fillId="23" borderId="2" xfId="263" applyNumberFormat="1" applyFont="1" applyFill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/>
    </xf>
    <xf numFmtId="0" fontId="3" fillId="25" borderId="1" xfId="0" applyNumberFormat="1" applyFont="1" applyFill="1" applyBorder="1" applyAlignment="1">
      <alignment horizontal="center" vertical="center"/>
    </xf>
    <xf numFmtId="0" fontId="2" fillId="24" borderId="1" xfId="0" applyNumberFormat="1" applyFont="1" applyFill="1" applyBorder="1" applyAlignment="1">
      <alignment horizontal="center" vertical="center"/>
    </xf>
    <xf numFmtId="0" fontId="2" fillId="25" borderId="1" xfId="0" applyNumberFormat="1" applyFont="1" applyFill="1" applyBorder="1" applyAlignment="1">
      <alignment horizontal="center" vertical="center"/>
    </xf>
    <xf numFmtId="0" fontId="4" fillId="0" borderId="3" xfId="0" applyNumberFormat="1" applyFont="1" applyBorder="1" applyAlignment="1">
      <alignment horizontal="left" vertical="center"/>
    </xf>
    <xf numFmtId="0" fontId="27" fillId="24" borderId="1" xfId="263" applyNumberFormat="1" applyFont="1" applyFill="1" applyBorder="1" applyAlignment="1">
      <alignment horizontal="left" vertical="center" shrinkToFit="1"/>
    </xf>
    <xf numFmtId="0" fontId="27" fillId="24" borderId="1" xfId="263" applyNumberFormat="1" applyFont="1" applyFill="1" applyBorder="1" applyAlignment="1">
      <alignment horizontal="left" vertical="center" wrapText="1" shrinkToFit="1"/>
    </xf>
    <xf numFmtId="0" fontId="27" fillId="24" borderId="2" xfId="263" applyNumberFormat="1" applyFont="1" applyFill="1" applyBorder="1" applyAlignment="1">
      <alignment horizontal="left" vertical="center" shrinkToFit="1"/>
    </xf>
    <xf numFmtId="0" fontId="2" fillId="24" borderId="3" xfId="0" applyNumberFormat="1" applyFont="1" applyFill="1" applyBorder="1" applyAlignment="1">
      <alignment horizontal="left" vertical="center"/>
    </xf>
    <xf numFmtId="0" fontId="2" fillId="24" borderId="2" xfId="0" applyNumberFormat="1" applyFont="1" applyFill="1" applyBorder="1" applyAlignment="1">
      <alignment horizontal="left" vertical="center"/>
    </xf>
    <xf numFmtId="0" fontId="2" fillId="24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9" fillId="0" borderId="1" xfId="263" applyNumberFormat="1" applyFont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5" fillId="0" borderId="1" xfId="0" applyNumberFormat="1" applyFont="1" applyFill="1" applyBorder="1" applyAlignment="1">
      <alignment horizontal="center" vertical="center" wrapText="1"/>
    </xf>
    <xf numFmtId="0" fontId="27" fillId="21" borderId="1" xfId="263" applyNumberFormat="1" applyFont="1" applyFill="1" applyBorder="1" applyAlignment="1">
      <alignment horizontal="center" vertical="center" wrapText="1" shrinkToFit="1"/>
    </xf>
    <xf numFmtId="49" fontId="5" fillId="0" borderId="1" xfId="0" applyNumberFormat="1" applyFont="1" applyFill="1" applyBorder="1" applyAlignment="1">
      <alignment horizontal="center" vertical="center"/>
    </xf>
    <xf numFmtId="49" fontId="27" fillId="21" borderId="1" xfId="263" applyNumberFormat="1" applyFont="1" applyFill="1" applyBorder="1" applyAlignment="1">
      <alignment horizontal="center" vertical="center" shrinkToFit="1"/>
    </xf>
    <xf numFmtId="0" fontId="31" fillId="22" borderId="1" xfId="263" applyNumberFormat="1" applyFont="1" applyFill="1" applyBorder="1" applyAlignment="1">
      <alignment horizontal="center" vertical="center" shrinkToFit="1"/>
    </xf>
    <xf numFmtId="49" fontId="31" fillId="23" borderId="2" xfId="263" applyNumberFormat="1" applyFont="1" applyFill="1" applyBorder="1" applyAlignment="1">
      <alignment horizontal="center" vertical="center" shrinkToFit="1"/>
    </xf>
    <xf numFmtId="176" fontId="32" fillId="4" borderId="1" xfId="0" applyFont="1" applyFill="1" applyBorder="1" applyAlignment="1">
      <alignment horizontal="center" vertical="center"/>
    </xf>
    <xf numFmtId="0" fontId="33" fillId="24" borderId="1" xfId="263" applyNumberFormat="1" applyFont="1" applyFill="1" applyBorder="1" applyAlignment="1">
      <alignment horizontal="center" vertical="center" wrapText="1" shrinkToFit="1"/>
    </xf>
    <xf numFmtId="176" fontId="30" fillId="0" borderId="0" xfId="0" applyFont="1">
      <alignment vertical="center"/>
    </xf>
    <xf numFmtId="0" fontId="29" fillId="0" borderId="1" xfId="263" applyNumberFormat="1" applyFont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5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9" fillId="0" borderId="1" xfId="263" applyNumberFormat="1" applyFont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176" fontId="0" fillId="0" borderId="0" xfId="0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9" fillId="0" borderId="1" xfId="263" applyNumberFormat="1" applyFont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4" fillId="4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/>
    </xf>
    <xf numFmtId="0" fontId="29" fillId="23" borderId="13" xfId="263" applyNumberFormat="1" applyFont="1" applyFill="1" applyBorder="1" applyAlignment="1">
      <alignment horizontal="center" vertical="center" shrinkToFit="1"/>
    </xf>
    <xf numFmtId="0" fontId="29" fillId="26" borderId="1" xfId="263" applyNumberFormat="1" applyFont="1" applyFill="1" applyBorder="1" applyAlignment="1">
      <alignment horizontal="center" vertical="center" shrinkToFit="1"/>
    </xf>
    <xf numFmtId="0" fontId="4" fillId="26" borderId="1" xfId="0" applyNumberFormat="1" applyFont="1" applyFill="1" applyBorder="1" applyAlignment="1">
      <alignment horizontal="center" vertical="center"/>
    </xf>
    <xf numFmtId="0" fontId="29" fillId="26" borderId="13" xfId="263" applyNumberFormat="1" applyFont="1" applyFill="1" applyBorder="1" applyAlignment="1">
      <alignment horizontal="center" vertical="center" shrinkToFit="1"/>
    </xf>
    <xf numFmtId="0" fontId="29" fillId="26" borderId="1" xfId="263" applyNumberFormat="1" applyFont="1" applyFill="1" applyBorder="1" applyAlignment="1">
      <alignment horizontal="center" vertical="center" wrapText="1" shrinkToFit="1"/>
    </xf>
    <xf numFmtId="49" fontId="29" fillId="23" borderId="13" xfId="263" applyNumberFormat="1" applyFont="1" applyFill="1" applyBorder="1" applyAlignment="1">
      <alignment horizontal="center" vertical="center" shrinkToFit="1"/>
    </xf>
    <xf numFmtId="49" fontId="29" fillId="26" borderId="13" xfId="263" applyNumberFormat="1" applyFont="1" applyFill="1" applyBorder="1" applyAlignment="1">
      <alignment horizontal="center" vertical="center" shrinkToFit="1"/>
    </xf>
    <xf numFmtId="0" fontId="27" fillId="24" borderId="1" xfId="263" applyNumberFormat="1" applyFont="1" applyFill="1" applyBorder="1" applyAlignment="1">
      <alignment horizontal="center" vertical="center" shrinkToFit="1"/>
    </xf>
    <xf numFmtId="0" fontId="2" fillId="24" borderId="2" xfId="0" applyNumberFormat="1" applyFont="1" applyFill="1" applyBorder="1" applyAlignment="1">
      <alignment horizontal="center" vertical="center"/>
    </xf>
    <xf numFmtId="0" fontId="2" fillId="24" borderId="3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/>
    <xf numFmtId="0" fontId="1" fillId="0" borderId="0" xfId="0" applyNumberFormat="1" applyFont="1" applyAlignment="1"/>
    <xf numFmtId="0" fontId="0" fillId="0" borderId="0" xfId="0" applyNumberFormat="1">
      <alignment vertical="center"/>
    </xf>
    <xf numFmtId="0" fontId="0" fillId="0" borderId="0" xfId="0" applyNumberFormat="1" applyFont="1" applyFill="1" applyBorder="1" applyAlignment="1"/>
    <xf numFmtId="176" fontId="32" fillId="0" borderId="1" xfId="0" applyFont="1" applyFill="1" applyBorder="1" applyAlignment="1">
      <alignment horizontal="center" vertical="center"/>
    </xf>
    <xf numFmtId="0" fontId="27" fillId="21" borderId="2" xfId="263" applyNumberFormat="1" applyFont="1" applyFill="1" applyBorder="1" applyAlignment="1">
      <alignment horizontal="center" vertical="center" shrinkToFit="1"/>
    </xf>
    <xf numFmtId="0" fontId="1" fillId="0" borderId="0" xfId="0" applyNumberFormat="1" applyFont="1" applyAlignment="1">
      <alignment wrapText="1"/>
    </xf>
    <xf numFmtId="0" fontId="1" fillId="0" borderId="0" xfId="0" applyNumberFormat="1" applyFont="1" applyFill="1" applyBorder="1" applyAlignment="1"/>
    <xf numFmtId="176" fontId="1" fillId="0" borderId="0" xfId="0" applyFont="1" applyAlignment="1">
      <alignment vertical="center" wrapText="1"/>
    </xf>
    <xf numFmtId="0" fontId="0" fillId="0" borderId="0" xfId="0" applyNumberFormat="1" applyFont="1" applyAlignment="1">
      <alignment wrapText="1"/>
    </xf>
    <xf numFmtId="0" fontId="4" fillId="4" borderId="0" xfId="0" applyNumberFormat="1" applyFont="1" applyFill="1" applyBorder="1" applyAlignment="1">
      <alignment horizontal="center" vertical="center"/>
    </xf>
    <xf numFmtId="0" fontId="4" fillId="25" borderId="1" xfId="0" applyNumberFormat="1" applyFont="1" applyFill="1" applyBorder="1" applyAlignment="1">
      <alignment horizontal="center" vertical="center"/>
    </xf>
    <xf numFmtId="0" fontId="4" fillId="25" borderId="1" xfId="0" applyNumberFormat="1" applyFont="1" applyFill="1" applyBorder="1" applyAlignment="1">
      <alignment horizontal="center" vertical="center" wrapText="1"/>
    </xf>
    <xf numFmtId="49" fontId="4" fillId="25" borderId="1" xfId="0" applyNumberFormat="1" applyFont="1" applyFill="1" applyBorder="1" applyAlignment="1">
      <alignment horizontal="center" vertical="center"/>
    </xf>
    <xf numFmtId="176" fontId="0" fillId="25" borderId="0" xfId="0" applyFill="1">
      <alignment vertical="center"/>
    </xf>
    <xf numFmtId="0" fontId="1" fillId="0" borderId="1" xfId="0" applyNumberFormat="1" applyFont="1" applyBorder="1" applyAlignment="1">
      <alignment horizontal="center" vertical="center"/>
    </xf>
    <xf numFmtId="0" fontId="1" fillId="25" borderId="1" xfId="0" applyNumberFormat="1" applyFont="1" applyFill="1" applyBorder="1" applyAlignment="1">
      <alignment horizontal="center" vertical="center"/>
    </xf>
    <xf numFmtId="0" fontId="1" fillId="25" borderId="1" xfId="0" applyNumberFormat="1" applyFont="1" applyFill="1" applyBorder="1" applyAlignment="1">
      <alignment horizontal="center" vertical="center" wrapText="1"/>
    </xf>
    <xf numFmtId="49" fontId="1" fillId="25" borderId="1" xfId="0" applyNumberFormat="1" applyFont="1" applyFill="1" applyBorder="1" applyAlignment="1">
      <alignment horizontal="center" vertical="center"/>
    </xf>
    <xf numFmtId="176" fontId="1" fillId="25" borderId="0" xfId="0" applyFont="1" applyFill="1">
      <alignment vertical="center"/>
    </xf>
    <xf numFmtId="0" fontId="6" fillId="4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/>
    <xf numFmtId="49" fontId="0" fillId="0" borderId="0" xfId="0" applyNumberFormat="1" applyFont="1" applyAlignment="1"/>
    <xf numFmtId="0" fontId="4" fillId="4" borderId="2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</cellXfs>
  <cellStyles count="358">
    <cellStyle name="20% - 强调文字颜色 1" xfId="14"/>
    <cellStyle name="20% - 强调文字颜色 1 2" xfId="18"/>
    <cellStyle name="20% - 强调文字颜色 1 2 2" xfId="21"/>
    <cellStyle name="20% - 强调文字颜色 1 2 2 2" xfId="24"/>
    <cellStyle name="20% - 强调文字颜色 1 2 3" xfId="28"/>
    <cellStyle name="20% - 强调文字颜色 1 3" xfId="33"/>
    <cellStyle name="20% - 强调文字颜色 1 3 2" xfId="36"/>
    <cellStyle name="20% - 强调文字颜色 1 4" xfId="39"/>
    <cellStyle name="20% - 强调文字颜色 1 4 2" xfId="42"/>
    <cellStyle name="20% - 强调文字颜色 1 5" xfId="44"/>
    <cellStyle name="20% - 强调文字颜色 1 5 2" xfId="46"/>
    <cellStyle name="20% - 强调文字颜色 1 6" xfId="48"/>
    <cellStyle name="20% - 强调文字颜色 2" xfId="51"/>
    <cellStyle name="20% - 强调文字颜色 2 2" xfId="53"/>
    <cellStyle name="20% - 强调文字颜色 2 2 2" xfId="2"/>
    <cellStyle name="20% - 强调文字颜色 2 2 2 2" xfId="54"/>
    <cellStyle name="20% - 强调文字颜色 2 2 3" xfId="41"/>
    <cellStyle name="20% - 强调文字颜色 2 3" xfId="56"/>
    <cellStyle name="20% - 强调文字颜色 2 3 2" xfId="57"/>
    <cellStyle name="20% - 强调文字颜色 2 4" xfId="58"/>
    <cellStyle name="20% - 强调文字颜色 2 4 2" xfId="61"/>
    <cellStyle name="20% - 强调文字颜色 2 5" xfId="62"/>
    <cellStyle name="20% - 强调文字颜色 2 5 2" xfId="63"/>
    <cellStyle name="20% - 强调文字颜色 2 6" xfId="55"/>
    <cellStyle name="20% - 强调文字颜色 3" xfId="16"/>
    <cellStyle name="20% - 强调文字颜色 3 2" xfId="20"/>
    <cellStyle name="20% - 强调文字颜色 3 2 2" xfId="22"/>
    <cellStyle name="20% - 强调文字颜色 3 2 2 2" xfId="66"/>
    <cellStyle name="20% - 强调文字颜色 3 2 3" xfId="59"/>
    <cellStyle name="20% - 强调文字颜色 3 3" xfId="26"/>
    <cellStyle name="20% - 强调文字颜色 3 3 2" xfId="69"/>
    <cellStyle name="20% - 强调文字颜色 3 4" xfId="71"/>
    <cellStyle name="20% - 强调文字颜色 3 4 2" xfId="74"/>
    <cellStyle name="20% - 强调文字颜色 3 5" xfId="6"/>
    <cellStyle name="20% - 强调文字颜色 3 5 2" xfId="76"/>
    <cellStyle name="20% - 强调文字颜色 3 6" xfId="79"/>
    <cellStyle name="20% - 强调文字颜色 4" xfId="32"/>
    <cellStyle name="20% - 强调文字颜色 4 2" xfId="35"/>
    <cellStyle name="20% - 强调文字颜色 4 2 2" xfId="4"/>
    <cellStyle name="20% - 强调文字颜色 4 2 2 2" xfId="81"/>
    <cellStyle name="20% - 强调文字颜色 4 2 3" xfId="72"/>
    <cellStyle name="20% - 强调文字颜色 4 3" xfId="83"/>
    <cellStyle name="20% - 强调文字颜色 4 3 2" xfId="85"/>
    <cellStyle name="20% - 强调文字颜色 4 4" xfId="88"/>
    <cellStyle name="20% - 强调文字颜色 4 4 2" xfId="12"/>
    <cellStyle name="20% - 强调文字颜色 4 5" xfId="91"/>
    <cellStyle name="20% - 强调文字颜色 4 5 2" xfId="95"/>
    <cellStyle name="20% - 强调文字颜色 4 6" xfId="99"/>
    <cellStyle name="20% - 强调文字颜色 5" xfId="38"/>
    <cellStyle name="20% - 强调文字颜色 5 2" xfId="40"/>
    <cellStyle name="20% - 强调文字颜色 5 2 2" xfId="77"/>
    <cellStyle name="20% - 强调文字颜色 5 2 2 2" xfId="100"/>
    <cellStyle name="20% - 强调文字颜色 5 2 3" xfId="8"/>
    <cellStyle name="20% - 强调文字颜色 5 3" xfId="101"/>
    <cellStyle name="20% - 强调文字颜色 5 3 2" xfId="96"/>
    <cellStyle name="20% - 强调文字颜色 5 4" xfId="65"/>
    <cellStyle name="20% - 强调文字颜色 5 4 2" xfId="103"/>
    <cellStyle name="20% - 强调文字颜色 5 5" xfId="105"/>
    <cellStyle name="20% - 强调文字颜色 5 5 2" xfId="30"/>
    <cellStyle name="20% - 强调文字颜色 5 6" xfId="107"/>
    <cellStyle name="20% - 强调文字颜色 6" xfId="108"/>
    <cellStyle name="20% - 强调文字颜色 6 2" xfId="109"/>
    <cellStyle name="20% - 强调文字颜色 6 2 2" xfId="111"/>
    <cellStyle name="20% - 强调文字颜色 6 2 2 2" xfId="113"/>
    <cellStyle name="20% - 强调文字颜色 6 2 3" xfId="115"/>
    <cellStyle name="20% - 强调文字颜色 6 3" xfId="116"/>
    <cellStyle name="20% - 强调文字颜色 6 3 2" xfId="118"/>
    <cellStyle name="20% - 强调文字颜色 6 4" xfId="120"/>
    <cellStyle name="20% - 强调文字颜色 6 4 2" xfId="123"/>
    <cellStyle name="20% - 强调文字颜色 6 5" xfId="126"/>
    <cellStyle name="20% - 强调文字颜色 6 5 2" xfId="130"/>
    <cellStyle name="20% - 强调文字颜色 6 6" xfId="133"/>
    <cellStyle name="40% - 强调文字颜色 1" xfId="135"/>
    <cellStyle name="40% - 强调文字颜色 1 2" xfId="136"/>
    <cellStyle name="40% - 强调文字颜色 1 2 2" xfId="137"/>
    <cellStyle name="40% - 强调文字颜色 1 2 2 2" xfId="138"/>
    <cellStyle name="40% - 强调文字颜色 1 2 3" xfId="139"/>
    <cellStyle name="40% - 强调文字颜色 1 3" xfId="141"/>
    <cellStyle name="40% - 强调文字颜色 1 3 2" xfId="142"/>
    <cellStyle name="40% - 强调文字颜色 1 4" xfId="143"/>
    <cellStyle name="40% - 强调文字颜色 1 4 2" xfId="144"/>
    <cellStyle name="40% - 强调文字颜色 1 5" xfId="145"/>
    <cellStyle name="40% - 强调文字颜色 1 5 2" xfId="146"/>
    <cellStyle name="40% - 强调文字颜色 1 6" xfId="147"/>
    <cellStyle name="40% - 强调文字颜色 2" xfId="148"/>
    <cellStyle name="40% - 强调文字颜色 2 2" xfId="27"/>
    <cellStyle name="40% - 强调文字颜色 2 2 2" xfId="149"/>
    <cellStyle name="40% - 强调文字颜色 2 2 2 2" xfId="150"/>
    <cellStyle name="40% - 强调文字颜色 2 2 3" xfId="151"/>
    <cellStyle name="40% - 强调文字颜色 2 3" xfId="152"/>
    <cellStyle name="40% - 强调文字颜色 2 3 2" xfId="153"/>
    <cellStyle name="40% - 强调文字颜色 2 4" xfId="154"/>
    <cellStyle name="40% - 强调文字颜色 2 4 2" xfId="155"/>
    <cellStyle name="40% - 强调文字颜色 2 5" xfId="156"/>
    <cellStyle name="40% - 强调文字颜色 2 5 2" xfId="157"/>
    <cellStyle name="40% - 强调文字颜色 2 6" xfId="158"/>
    <cellStyle name="40% - 强调文字颜色 3" xfId="160"/>
    <cellStyle name="40% - 强调文字颜色 3 2" xfId="162"/>
    <cellStyle name="40% - 强调文字颜色 3 2 2" xfId="163"/>
    <cellStyle name="40% - 强调文字颜色 3 2 2 2" xfId="164"/>
    <cellStyle name="40% - 强调文字颜色 3 2 3" xfId="165"/>
    <cellStyle name="40% - 强调文字颜色 3 3" xfId="166"/>
    <cellStyle name="40% - 强调文字颜色 3 3 2" xfId="167"/>
    <cellStyle name="40% - 强调文字颜色 3 4" xfId="168"/>
    <cellStyle name="40% - 强调文字颜色 3 4 2" xfId="169"/>
    <cellStyle name="40% - 强调文字颜色 3 5" xfId="170"/>
    <cellStyle name="40% - 强调文字颜色 3 5 2" xfId="171"/>
    <cellStyle name="40% - 强调文字颜色 3 6" xfId="172"/>
    <cellStyle name="40% - 强调文字颜色 4" xfId="174"/>
    <cellStyle name="40% - 强调文字颜色 4 2" xfId="177"/>
    <cellStyle name="40% - 强调文字颜色 4 2 2" xfId="180"/>
    <cellStyle name="40% - 强调文字颜色 4 2 2 2" xfId="182"/>
    <cellStyle name="40% - 强调文字颜色 4 2 3" xfId="184"/>
    <cellStyle name="40% - 强调文字颜色 4 3" xfId="185"/>
    <cellStyle name="40% - 强调文字颜色 4 3 2" xfId="134"/>
    <cellStyle name="40% - 强调文字颜色 4 4" xfId="110"/>
    <cellStyle name="40% - 强调文字颜色 4 4 2" xfId="112"/>
    <cellStyle name="40% - 强调文字颜色 4 5" xfId="114"/>
    <cellStyle name="40% - 强调文字颜色 4 5 2" xfId="186"/>
    <cellStyle name="40% - 强调文字颜色 4 6" xfId="187"/>
    <cellStyle name="40% - 强调文字颜色 5" xfId="189"/>
    <cellStyle name="40% - 强调文字颜色 5 2" xfId="190"/>
    <cellStyle name="40% - 强调文字颜色 5 2 2" xfId="125"/>
    <cellStyle name="40% - 强调文字颜色 5 2 2 2" xfId="129"/>
    <cellStyle name="40% - 强调文字颜色 5 2 3" xfId="132"/>
    <cellStyle name="40% - 强调文字颜色 5 3" xfId="191"/>
    <cellStyle name="40% - 强调文字颜色 5 3 2" xfId="193"/>
    <cellStyle name="40% - 强调文字颜色 5 4" xfId="117"/>
    <cellStyle name="40% - 强调文字颜色 5 4 2" xfId="195"/>
    <cellStyle name="40% - 强调文字颜色 5 5" xfId="196"/>
    <cellStyle name="40% - 强调文字颜色 5 5 2" xfId="197"/>
    <cellStyle name="40% - 强调文字颜色 5 6" xfId="199"/>
    <cellStyle name="40% - 强调文字颜色 6" xfId="68"/>
    <cellStyle name="40% - 强调文字颜色 6 2" xfId="201"/>
    <cellStyle name="40% - 强调文字颜色 6 2 2" xfId="202"/>
    <cellStyle name="40% - 强调文字颜色 6 2 2 2" xfId="203"/>
    <cellStyle name="40% - 强调文字颜色 6 2 3" xfId="204"/>
    <cellStyle name="40% - 强调文字颜色 6 3" xfId="206"/>
    <cellStyle name="40% - 强调文字颜色 6 3 2" xfId="208"/>
    <cellStyle name="40% - 强调文字颜色 6 4" xfId="122"/>
    <cellStyle name="40% - 强调文字颜色 6 4 2" xfId="209"/>
    <cellStyle name="40% - 强调文字颜色 6 5" xfId="211"/>
    <cellStyle name="40% - 强调文字颜色 6 5 2" xfId="213"/>
    <cellStyle name="40% - 强调文字颜色 6 6" xfId="215"/>
    <cellStyle name="60% - 强调文字颜色 1" xfId="216"/>
    <cellStyle name="60% - 强调文字颜色 1 2" xfId="70"/>
    <cellStyle name="60% - 强调文字颜色 1 2 2" xfId="73"/>
    <cellStyle name="60% - 强调文字颜色 1 3" xfId="5"/>
    <cellStyle name="60% - 强调文字颜色 1 3 2" xfId="75"/>
    <cellStyle name="60% - 强调文字颜色 1 4" xfId="78"/>
    <cellStyle name="60% - 强调文字颜色 2" xfId="217"/>
    <cellStyle name="60% - 强调文字颜色 2 2" xfId="87"/>
    <cellStyle name="60% - 强调文字颜色 2 2 2" xfId="11"/>
    <cellStyle name="60% - 强调文字颜色 2 3" xfId="90"/>
    <cellStyle name="60% - 强调文字颜色 2 3 2" xfId="94"/>
    <cellStyle name="60% - 强调文字颜色 2 4" xfId="98"/>
    <cellStyle name="60% - 强调文字颜色 3" xfId="218"/>
    <cellStyle name="60% - 强调文字颜色 3 2" xfId="64"/>
    <cellStyle name="60% - 强调文字颜色 3 2 2" xfId="102"/>
    <cellStyle name="60% - 强调文字颜色 3 3" xfId="104"/>
    <cellStyle name="60% - 强调文字颜色 3 3 2" xfId="29"/>
    <cellStyle name="60% - 强调文字颜色 3 4" xfId="106"/>
    <cellStyle name="60% - 强调文字颜色 4" xfId="219"/>
    <cellStyle name="60% - 强调文字颜色 4 2" xfId="119"/>
    <cellStyle name="60% - 强调文字颜色 4 2 2" xfId="121"/>
    <cellStyle name="60% - 强调文字颜色 4 3" xfId="124"/>
    <cellStyle name="60% - 强调文字颜色 4 3 2" xfId="128"/>
    <cellStyle name="60% - 强调文字颜色 4 4" xfId="131"/>
    <cellStyle name="60% - 强调文字颜色 5" xfId="220"/>
    <cellStyle name="60% - 强调文字颜色 5 2" xfId="221"/>
    <cellStyle name="60% - 强调文字颜色 5 2 2" xfId="222"/>
    <cellStyle name="60% - 强调文字颜色 5 3" xfId="192"/>
    <cellStyle name="60% - 强调文字颜色 5 3 2" xfId="223"/>
    <cellStyle name="60% - 强调文字颜色 5 4" xfId="224"/>
    <cellStyle name="60% - 强调文字颜色 6" xfId="225"/>
    <cellStyle name="60% - 强调文字颜色 6 2" xfId="226"/>
    <cellStyle name="60% - 强调文字颜色 6 2 2" xfId="227"/>
    <cellStyle name="60% - 强调文字颜色 6 3" xfId="194"/>
    <cellStyle name="60% - 强调文字颜色 6 3 2" xfId="228"/>
    <cellStyle name="60% - 强调文字颜色 6 4" xfId="229"/>
    <cellStyle name="标题" xfId="10"/>
    <cellStyle name="标题 1" xfId="230"/>
    <cellStyle name="标题 1 2" xfId="231"/>
    <cellStyle name="标题 1 2 2" xfId="232"/>
    <cellStyle name="标题 1 3" xfId="233"/>
    <cellStyle name="标题 1 3 2" xfId="235"/>
    <cellStyle name="标题 1 4" xfId="236"/>
    <cellStyle name="标题 2" xfId="237"/>
    <cellStyle name="标题 2 2" xfId="238"/>
    <cellStyle name="标题 2 2 2" xfId="239"/>
    <cellStyle name="标题 2 3" xfId="240"/>
    <cellStyle name="标题 2 3 2" xfId="242"/>
    <cellStyle name="标题 2 4" xfId="243"/>
    <cellStyle name="标题 3" xfId="244"/>
    <cellStyle name="标题 3 2" xfId="245"/>
    <cellStyle name="标题 3 2 2" xfId="246"/>
    <cellStyle name="标题 3 3" xfId="7"/>
    <cellStyle name="标题 3 3 2" xfId="247"/>
    <cellStyle name="标题 3 4" xfId="248"/>
    <cellStyle name="标题 4" xfId="250"/>
    <cellStyle name="标题 4 2" xfId="251"/>
    <cellStyle name="标题 4 2 2" xfId="252"/>
    <cellStyle name="标题 4 3" xfId="254"/>
    <cellStyle name="标题 4 3 2" xfId="255"/>
    <cellStyle name="标题 4 4" xfId="179"/>
    <cellStyle name="标题 5" xfId="23"/>
    <cellStyle name="差" xfId="256"/>
    <cellStyle name="差 2" xfId="257"/>
    <cellStyle name="差 2 2" xfId="258"/>
    <cellStyle name="差 3" xfId="259"/>
    <cellStyle name="差 3 2" xfId="260"/>
    <cellStyle name="差 4" xfId="261"/>
    <cellStyle name="常规" xfId="0" builtinId="0"/>
    <cellStyle name="常规 10" xfId="263"/>
    <cellStyle name="常规 10 2" xfId="264"/>
    <cellStyle name="常规 11" xfId="241"/>
    <cellStyle name="常规 11 2" xfId="265"/>
    <cellStyle name="常规 12" xfId="267"/>
    <cellStyle name="常规 12 2" xfId="268"/>
    <cellStyle name="常规 13" xfId="270"/>
    <cellStyle name="常规 13 2" xfId="271"/>
    <cellStyle name="常规 14" xfId="273"/>
    <cellStyle name="常规 14 2" xfId="274"/>
    <cellStyle name="常规 15" xfId="127"/>
    <cellStyle name="常规 15 2" xfId="275"/>
    <cellStyle name="常规 16" xfId="276"/>
    <cellStyle name="常规 16 2" xfId="262"/>
    <cellStyle name="常规 17" xfId="277"/>
    <cellStyle name="常规 2" xfId="278"/>
    <cellStyle name="常规 2 2" xfId="279"/>
    <cellStyle name="常规 2 2 2" xfId="280"/>
    <cellStyle name="常规 2 2 2 2" xfId="281"/>
    <cellStyle name="常规 2 2 3" xfId="282"/>
    <cellStyle name="常规 2 3" xfId="284"/>
    <cellStyle name="常规 2 3 2" xfId="285"/>
    <cellStyle name="常规 2 4" xfId="286"/>
    <cellStyle name="常规 3" xfId="34"/>
    <cellStyle name="常规 3 2" xfId="3"/>
    <cellStyle name="常规 4" xfId="82"/>
    <cellStyle name="常规 4 2" xfId="84"/>
    <cellStyle name="常规 5" xfId="86"/>
    <cellStyle name="常规 5 2" xfId="9"/>
    <cellStyle name="常规 6" xfId="89"/>
    <cellStyle name="常规 6 2" xfId="93"/>
    <cellStyle name="常规 7" xfId="97"/>
    <cellStyle name="常规 7 2" xfId="287"/>
    <cellStyle name="常规 8" xfId="289"/>
    <cellStyle name="常规 8 2" xfId="37"/>
    <cellStyle name="常规 9" xfId="290"/>
    <cellStyle name="常规 9 2" xfId="140"/>
    <cellStyle name="超链接" xfId="291" builtinId="8"/>
    <cellStyle name="超链接 2" xfId="292"/>
    <cellStyle name="好 2" xfId="43"/>
    <cellStyle name="好 2 2" xfId="45"/>
    <cellStyle name="好 3" xfId="47"/>
    <cellStyle name="好 3 2" xfId="293"/>
    <cellStyle name="好 4" xfId="294"/>
    <cellStyle name="好 4 2" xfId="266"/>
    <cellStyle name="汇总" xfId="210"/>
    <cellStyle name="汇总 2" xfId="212"/>
    <cellStyle name="汇总 2 2" xfId="253"/>
    <cellStyle name="汇总 3" xfId="234"/>
    <cellStyle name="汇总 3 2" xfId="295"/>
    <cellStyle name="汇总 4" xfId="296"/>
    <cellStyle name="计算" xfId="297"/>
    <cellStyle name="计算 2" xfId="159"/>
    <cellStyle name="计算 2 2" xfId="161"/>
    <cellStyle name="计算 3" xfId="173"/>
    <cellStyle name="计算 3 2" xfId="176"/>
    <cellStyle name="计算 4" xfId="188"/>
    <cellStyle name="检查单元格" xfId="175"/>
    <cellStyle name="检查单元格 2" xfId="178"/>
    <cellStyle name="检查单元格 2 2" xfId="181"/>
    <cellStyle name="检查单元格 3" xfId="183"/>
    <cellStyle name="检查单元格 3 2" xfId="299"/>
    <cellStyle name="检查单元格 4" xfId="300"/>
    <cellStyle name="解释性文本" xfId="301"/>
    <cellStyle name="解释性文本 2" xfId="1"/>
    <cellStyle name="解释性文本 2 2" xfId="249"/>
    <cellStyle name="解释性文本 3" xfId="207"/>
    <cellStyle name="解释性文本 3 2" xfId="302"/>
    <cellStyle name="解释性文本 4" xfId="303"/>
    <cellStyle name="警告文本" xfId="304"/>
    <cellStyle name="警告文本 2" xfId="305"/>
    <cellStyle name="警告文本 2 2" xfId="306"/>
    <cellStyle name="警告文本 3" xfId="307"/>
    <cellStyle name="警告文本 3 2" xfId="288"/>
    <cellStyle name="警告文本 4" xfId="308"/>
    <cellStyle name="链接单元格" xfId="310"/>
    <cellStyle name="链接单元格 2" xfId="312"/>
    <cellStyle name="链接单元格 2 2" xfId="313"/>
    <cellStyle name="链接单元格 3" xfId="13"/>
    <cellStyle name="链接单元格 3 2" xfId="17"/>
    <cellStyle name="链接单元格 4" xfId="50"/>
    <cellStyle name="强调文字颜色 1" xfId="298"/>
    <cellStyle name="强调文字颜色 1 2" xfId="314"/>
    <cellStyle name="强调文字颜色 1 2 2" xfId="315"/>
    <cellStyle name="强调文字颜色 1 3" xfId="316"/>
    <cellStyle name="强调文字颜色 1 3 2" xfId="317"/>
    <cellStyle name="强调文字颜色 1 4" xfId="318"/>
    <cellStyle name="强调文字颜色 2" xfId="319"/>
    <cellStyle name="强调文字颜色 2 2" xfId="320"/>
    <cellStyle name="强调文字颜色 2 2 2" xfId="321"/>
    <cellStyle name="强调文字颜色 2 3" xfId="322"/>
    <cellStyle name="强调文字颜色 2 3 2" xfId="324"/>
    <cellStyle name="强调文字颜色 2 4" xfId="325"/>
    <cellStyle name="强调文字颜色 3" xfId="326"/>
    <cellStyle name="强调文字颜色 3 2" xfId="327"/>
    <cellStyle name="强调文字颜色 3 2 2" xfId="205"/>
    <cellStyle name="强调文字颜色 3 3" xfId="328"/>
    <cellStyle name="强调文字颜色 3 3 2" xfId="272"/>
    <cellStyle name="强调文字颜色 3 4" xfId="329"/>
    <cellStyle name="强调文字颜色 4" xfId="330"/>
    <cellStyle name="强调文字颜色 4 2" xfId="331"/>
    <cellStyle name="强调文字颜色 4 2 2" xfId="332"/>
    <cellStyle name="强调文字颜色 4 3" xfId="333"/>
    <cellStyle name="强调文字颜色 4 3 2" xfId="334"/>
    <cellStyle name="强调文字颜色 4 4" xfId="335"/>
    <cellStyle name="强调文字颜色 5" xfId="336"/>
    <cellStyle name="强调文字颜色 5 2" xfId="337"/>
    <cellStyle name="强调文字颜色 5 2 2" xfId="338"/>
    <cellStyle name="强调文字颜色 5 3" xfId="339"/>
    <cellStyle name="强调文字颜色 5 3 2" xfId="340"/>
    <cellStyle name="强调文字颜色 5 4" xfId="341"/>
    <cellStyle name="强调文字颜色 6" xfId="342"/>
    <cellStyle name="强调文字颜色 6 2" xfId="343"/>
    <cellStyle name="强调文字颜色 6 2 2" xfId="344"/>
    <cellStyle name="强调文字颜色 6 3" xfId="345"/>
    <cellStyle name="强调文字颜色 6 3 2" xfId="346"/>
    <cellStyle name="强调文字颜色 6 4" xfId="347"/>
    <cellStyle name="适中" xfId="25"/>
    <cellStyle name="适中 2" xfId="67"/>
    <cellStyle name="适中 2 2" xfId="200"/>
    <cellStyle name="适中 3" xfId="348"/>
    <cellStyle name="适中 3 2" xfId="269"/>
    <cellStyle name="适中 4" xfId="80"/>
    <cellStyle name="输出" xfId="60"/>
    <cellStyle name="输出 2" xfId="49"/>
    <cellStyle name="输出 2 2" xfId="52"/>
    <cellStyle name="输出 3" xfId="15"/>
    <cellStyle name="输出 3 2" xfId="19"/>
    <cellStyle name="输出 4" xfId="31"/>
    <cellStyle name="输入" xfId="323"/>
    <cellStyle name="输入 2" xfId="349"/>
    <cellStyle name="输入 2 2" xfId="350"/>
    <cellStyle name="输入 3" xfId="351"/>
    <cellStyle name="输入 3 2" xfId="283"/>
    <cellStyle name="输入 4" xfId="352"/>
    <cellStyle name="注释 2" xfId="92"/>
    <cellStyle name="注释 2 2" xfId="198"/>
    <cellStyle name="注释 2 2 2" xfId="353"/>
    <cellStyle name="注释 2 2 2 2" xfId="354"/>
    <cellStyle name="注释 2 2 3" xfId="355"/>
    <cellStyle name="注释 2 3" xfId="309"/>
    <cellStyle name="注释 2 3 2" xfId="311"/>
    <cellStyle name="注释 2 4" xfId="356"/>
    <cellStyle name="注释 3" xfId="357"/>
    <cellStyle name="注释 3 2" xfId="2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pane xSplit="1" ySplit="2" topLeftCell="B3" activePane="bottomRight" state="frozen"/>
      <selection pane="topRight"/>
      <selection pane="bottomLeft"/>
      <selection pane="bottomRight" activeCell="E15" sqref="E15"/>
    </sheetView>
  </sheetViews>
  <sheetFormatPr defaultColWidth="9" defaultRowHeight="16.5" x14ac:dyDescent="0.15"/>
  <cols>
    <col min="1" max="1" width="11.375" style="9" customWidth="1"/>
    <col min="2" max="2" width="11.5" style="9" customWidth="1"/>
    <col min="3" max="3" width="24" style="9" customWidth="1"/>
    <col min="4" max="4" width="67.625" style="9" customWidth="1"/>
    <col min="5" max="5" width="29.625" style="9" customWidth="1"/>
    <col min="6" max="6" width="17.5" style="9" customWidth="1"/>
    <col min="7" max="16384" width="9" style="9"/>
  </cols>
  <sheetData>
    <row r="1" spans="1:7" x14ac:dyDescent="0.15">
      <c r="A1" s="100" t="s">
        <v>0</v>
      </c>
      <c r="B1" s="100"/>
      <c r="C1" s="100"/>
      <c r="D1" s="100"/>
      <c r="E1" s="100"/>
      <c r="F1" s="10" t="s">
        <v>13</v>
      </c>
      <c r="G1" s="9">
        <v>0</v>
      </c>
    </row>
    <row r="2" spans="1:7" x14ac:dyDescent="0.1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9">
        <v>0</v>
      </c>
    </row>
    <row r="3" spans="1:7" x14ac:dyDescent="0.15">
      <c r="A3" s="11" t="s">
        <v>7</v>
      </c>
      <c r="B3" s="12">
        <v>1</v>
      </c>
      <c r="C3" s="13" t="s">
        <v>57</v>
      </c>
      <c r="D3" s="14" t="s">
        <v>18</v>
      </c>
      <c r="E3" s="14"/>
      <c r="F3" s="15" t="s">
        <v>23</v>
      </c>
      <c r="G3" s="9">
        <v>1</v>
      </c>
    </row>
    <row r="4" spans="1:7" x14ac:dyDescent="0.15">
      <c r="A4" s="11" t="s">
        <v>7</v>
      </c>
      <c r="B4" s="12">
        <v>1</v>
      </c>
      <c r="C4" s="13" t="s">
        <v>58</v>
      </c>
      <c r="D4" s="14" t="s">
        <v>18</v>
      </c>
      <c r="E4" s="14"/>
      <c r="F4" s="15" t="s">
        <v>23</v>
      </c>
      <c r="G4" s="9">
        <v>1</v>
      </c>
    </row>
    <row r="5" spans="1:7" x14ac:dyDescent="0.15">
      <c r="A5" s="11" t="s">
        <v>7</v>
      </c>
      <c r="B5" s="12">
        <v>1</v>
      </c>
      <c r="C5" s="13" t="s">
        <v>59</v>
      </c>
      <c r="D5" s="14" t="s">
        <v>18</v>
      </c>
      <c r="E5" s="14"/>
      <c r="F5" s="15" t="s">
        <v>23</v>
      </c>
      <c r="G5" s="9">
        <v>1</v>
      </c>
    </row>
    <row r="6" spans="1:7" x14ac:dyDescent="0.15">
      <c r="A6" s="11" t="s">
        <v>7</v>
      </c>
      <c r="B6" s="12">
        <v>1</v>
      </c>
      <c r="C6" s="13" t="s">
        <v>60</v>
      </c>
      <c r="D6" s="14" t="s">
        <v>18</v>
      </c>
      <c r="E6" s="14"/>
      <c r="F6" s="15" t="s">
        <v>23</v>
      </c>
      <c r="G6" s="9">
        <v>1</v>
      </c>
    </row>
    <row r="7" spans="1:7" x14ac:dyDescent="0.15">
      <c r="A7" s="11" t="s">
        <v>7</v>
      </c>
      <c r="B7" s="12">
        <v>1</v>
      </c>
      <c r="C7" s="13" t="s">
        <v>61</v>
      </c>
      <c r="D7" s="14" t="s">
        <v>18</v>
      </c>
      <c r="E7" s="14"/>
      <c r="F7" s="15" t="s">
        <v>62</v>
      </c>
      <c r="G7" s="9">
        <v>1</v>
      </c>
    </row>
    <row r="8" spans="1:7" x14ac:dyDescent="0.15">
      <c r="A8" s="11" t="s">
        <v>7</v>
      </c>
      <c r="B8" s="12">
        <v>1</v>
      </c>
      <c r="C8" s="9" t="s">
        <v>158</v>
      </c>
      <c r="D8" s="14" t="s">
        <v>18</v>
      </c>
      <c r="E8" s="14"/>
      <c r="F8" s="15" t="s">
        <v>159</v>
      </c>
      <c r="G8" s="9">
        <v>1</v>
      </c>
    </row>
    <row r="9" spans="1:7" x14ac:dyDescent="0.15">
      <c r="A9" s="11" t="s">
        <v>7</v>
      </c>
      <c r="B9" s="12">
        <v>1</v>
      </c>
      <c r="C9" s="9" t="s">
        <v>306</v>
      </c>
      <c r="D9" s="14" t="s">
        <v>18</v>
      </c>
      <c r="E9" s="14"/>
      <c r="F9" s="15" t="s">
        <v>307</v>
      </c>
      <c r="G9" s="9">
        <v>1</v>
      </c>
    </row>
  </sheetData>
  <autoFilter ref="A2:F4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84"/>
  <sheetViews>
    <sheetView workbookViewId="0">
      <pane ySplit="8" topLeftCell="A18" activePane="bottomLeft" state="frozen"/>
      <selection pane="bottomLeft" activeCell="E23" sqref="E23"/>
    </sheetView>
  </sheetViews>
  <sheetFormatPr defaultColWidth="9" defaultRowHeight="13.5" x14ac:dyDescent="0.15"/>
  <cols>
    <col min="1" max="1" width="9" style="36" customWidth="1"/>
    <col min="2" max="2" width="10.625" style="37" customWidth="1"/>
    <col min="3" max="3" width="9.25" style="37" bestFit="1" customWidth="1"/>
    <col min="4" max="4" width="16.5" style="37" customWidth="1"/>
    <col min="5" max="6" width="17.25" style="37" bestFit="1" customWidth="1"/>
    <col min="7" max="8" width="16.5" style="37" customWidth="1"/>
    <col min="9" max="9" width="15.125" style="37" bestFit="1" customWidth="1"/>
    <col min="10" max="11" width="16.5" style="37" customWidth="1"/>
    <col min="12" max="16384" width="9" style="36"/>
  </cols>
  <sheetData>
    <row r="1" spans="1:11" s="1" customFormat="1" x14ac:dyDescent="0.15">
      <c r="A1" s="5" t="s">
        <v>15</v>
      </c>
      <c r="B1" s="1" t="s">
        <v>12</v>
      </c>
      <c r="C1" s="1" t="s">
        <v>12</v>
      </c>
      <c r="D1" s="1" t="s">
        <v>8</v>
      </c>
      <c r="E1" s="1" t="s">
        <v>12</v>
      </c>
      <c r="F1" s="1" t="s">
        <v>12</v>
      </c>
      <c r="G1" s="1" t="s">
        <v>8</v>
      </c>
      <c r="H1" s="1" t="s">
        <v>8</v>
      </c>
      <c r="I1" s="1" t="s">
        <v>8</v>
      </c>
      <c r="J1" s="1" t="s">
        <v>12</v>
      </c>
      <c r="K1" s="1" t="s">
        <v>8</v>
      </c>
    </row>
    <row r="2" spans="1:11" s="1" customFormat="1" x14ac:dyDescent="0.15">
      <c r="A2" s="5" t="s">
        <v>14</v>
      </c>
      <c r="B2" s="1" t="s">
        <v>8</v>
      </c>
      <c r="C2" s="1" t="s">
        <v>12</v>
      </c>
      <c r="D2" s="1" t="s">
        <v>8</v>
      </c>
      <c r="E2" s="1" t="s">
        <v>12</v>
      </c>
      <c r="F2" s="1" t="s">
        <v>12</v>
      </c>
      <c r="G2" s="1" t="s">
        <v>8</v>
      </c>
      <c r="H2" s="1" t="s">
        <v>8</v>
      </c>
      <c r="I2" s="1" t="s">
        <v>8</v>
      </c>
      <c r="J2" s="1" t="s">
        <v>12</v>
      </c>
      <c r="K2" s="1" t="s">
        <v>8</v>
      </c>
    </row>
    <row r="3" spans="1:11" s="2" customFormat="1" ht="14.25" x14ac:dyDescent="0.15">
      <c r="A3" s="16" t="s">
        <v>8</v>
      </c>
      <c r="B3" s="16" t="s">
        <v>9</v>
      </c>
      <c r="C3" s="16" t="s">
        <v>20</v>
      </c>
      <c r="D3" s="16" t="s">
        <v>22</v>
      </c>
      <c r="E3" s="16" t="s">
        <v>20</v>
      </c>
      <c r="F3" s="16" t="s">
        <v>20</v>
      </c>
      <c r="G3" s="16" t="s">
        <v>22</v>
      </c>
      <c r="H3" s="16" t="s">
        <v>22</v>
      </c>
      <c r="I3" s="16" t="s">
        <v>20</v>
      </c>
      <c r="J3" s="16" t="s">
        <v>20</v>
      </c>
      <c r="K3" s="16" t="s">
        <v>22</v>
      </c>
    </row>
    <row r="4" spans="1:11" s="2" customFormat="1" ht="14.25" x14ac:dyDescent="0.15">
      <c r="A4" s="16"/>
      <c r="B4" s="16" t="s">
        <v>11</v>
      </c>
      <c r="C4" s="16" t="s">
        <v>29</v>
      </c>
      <c r="D4" s="16" t="s">
        <v>172</v>
      </c>
      <c r="E4" s="16" t="s">
        <v>180</v>
      </c>
      <c r="F4" s="16" t="s">
        <v>179</v>
      </c>
      <c r="G4" s="16" t="s">
        <v>178</v>
      </c>
      <c r="H4" s="16" t="s">
        <v>175</v>
      </c>
      <c r="I4" s="16" t="s">
        <v>176</v>
      </c>
      <c r="J4" s="16" t="s">
        <v>177</v>
      </c>
      <c r="K4" s="16" t="s">
        <v>67</v>
      </c>
    </row>
    <row r="5" spans="1:11" s="2" customFormat="1" ht="14.25" x14ac:dyDescent="0.15">
      <c r="A5" s="16"/>
      <c r="B5" s="16" t="str">
        <f>IF(B3="","",IF(B3="INT","i",IF(B3="FLOAT","f",IF(B3="STRING","s"))))</f>
        <v>i</v>
      </c>
      <c r="C5" s="16" t="s">
        <v>30</v>
      </c>
      <c r="D5" s="16" t="str">
        <f>IF(D3="","",IF(D3="INT","i",IF(D3="FLOAT","f",IF(D3="STRING","s"))))</f>
        <v>s</v>
      </c>
      <c r="E5" s="16" t="s">
        <v>30</v>
      </c>
      <c r="F5" s="16" t="s">
        <v>30</v>
      </c>
      <c r="G5" s="16" t="str">
        <f>IF(G3="","",IF(G3="INT","i",IF(G3="FLOAT","f",IF(G3="STRING","s"))))</f>
        <v>s</v>
      </c>
      <c r="H5" s="16" t="str">
        <f>IF(H3="","",IF(H3="INT","i",IF(H3="FLOAT","f",IF(H3="STRING","s"))))</f>
        <v>s</v>
      </c>
      <c r="I5" s="16" t="str">
        <f>IF(I3="","",IF(I3="INT","i",IF(I3="FLOAT","f",IF(I3="STRING","s"))))</f>
        <v>i</v>
      </c>
      <c r="J5" s="16" t="s">
        <v>30</v>
      </c>
      <c r="K5" s="16" t="str">
        <f>IF(K3="","",IF(K3="INT","i",IF(K3="FLOAT","f",IF(K3="STRING","s"))))</f>
        <v>s</v>
      </c>
    </row>
    <row r="6" spans="1:11" s="2" customFormat="1" ht="14.25" x14ac:dyDescent="0.15">
      <c r="A6" s="16" t="s">
        <v>8</v>
      </c>
      <c r="B6" s="16" t="str">
        <f t="shared" ref="B6:I6" si="0">B5&amp;B4</f>
        <v>iID</v>
      </c>
      <c r="C6" s="16" t="str">
        <f t="shared" si="0"/>
        <v>iTaskType</v>
      </c>
      <c r="D6" s="16" t="str">
        <f t="shared" si="0"/>
        <v>sLimitLvl</v>
      </c>
      <c r="E6" s="16" t="str">
        <f t="shared" si="0"/>
        <v>iSelectCardNum</v>
      </c>
      <c r="F6" s="16" t="str">
        <f>F5&amp;F4</f>
        <v>iSpecialEventNum</v>
      </c>
      <c r="G6" s="16" t="str">
        <f>G5&amp;G4</f>
        <v>sen</v>
      </c>
      <c r="H6" s="16" t="str">
        <f>H5&amp;H4</f>
        <v>sProperty</v>
      </c>
      <c r="I6" s="16" t="str">
        <f t="shared" si="0"/>
        <v>iSuccessValue</v>
      </c>
      <c r="J6" s="16" t="str">
        <f>J5&amp;J4</f>
        <v>iBigSuccessValue</v>
      </c>
      <c r="K6" s="16" t="str">
        <f>K5&amp;K4</f>
        <v>sAward</v>
      </c>
    </row>
    <row r="7" spans="1:11" s="35" customFormat="1" ht="14.25" x14ac:dyDescent="0.15">
      <c r="A7" s="16"/>
      <c r="B7" s="16" t="s">
        <v>19</v>
      </c>
      <c r="C7" s="16" t="s">
        <v>88</v>
      </c>
      <c r="D7" s="16" t="s">
        <v>173</v>
      </c>
      <c r="E7" s="16" t="s">
        <v>174</v>
      </c>
      <c r="F7" s="16" t="s">
        <v>181</v>
      </c>
      <c r="G7" s="16" t="s">
        <v>170</v>
      </c>
      <c r="H7" s="16" t="s">
        <v>171</v>
      </c>
      <c r="I7" s="16" t="s">
        <v>168</v>
      </c>
      <c r="J7" s="16" t="s">
        <v>169</v>
      </c>
      <c r="K7" s="16" t="s">
        <v>66</v>
      </c>
    </row>
    <row r="8" spans="1:11" s="35" customFormat="1" ht="14.25" x14ac:dyDescent="0.15">
      <c r="A8" s="16" t="s">
        <v>10</v>
      </c>
      <c r="B8" s="16">
        <v>0</v>
      </c>
      <c r="C8" s="16">
        <v>0</v>
      </c>
      <c r="D8" s="16"/>
      <c r="E8" s="16">
        <v>0</v>
      </c>
      <c r="F8" s="16">
        <v>0</v>
      </c>
      <c r="G8" s="16"/>
      <c r="H8" s="16"/>
      <c r="I8" s="16">
        <v>0</v>
      </c>
      <c r="J8" s="16">
        <v>0</v>
      </c>
      <c r="K8" s="16"/>
    </row>
    <row r="9" spans="1:11" s="34" customFormat="1" ht="14.25" x14ac:dyDescent="0.15">
      <c r="A9" s="29"/>
      <c r="B9" s="29"/>
      <c r="C9" s="30"/>
      <c r="D9" s="29"/>
      <c r="E9" s="29"/>
      <c r="F9" s="29"/>
      <c r="G9" s="29"/>
      <c r="H9" s="29"/>
      <c r="I9" s="29"/>
      <c r="J9" s="29"/>
      <c r="K9" s="29"/>
    </row>
    <row r="10" spans="1:11" ht="14.25" x14ac:dyDescent="0.15">
      <c r="A10" s="38"/>
      <c r="B10" s="18"/>
      <c r="C10" s="39"/>
      <c r="D10" s="39"/>
      <c r="E10" s="39"/>
      <c r="F10" s="39"/>
      <c r="G10" s="39"/>
      <c r="H10" s="39"/>
      <c r="I10" s="39"/>
      <c r="J10" s="39"/>
      <c r="K10" s="39"/>
    </row>
    <row r="11" spans="1:11" ht="14.25" x14ac:dyDescent="0.15">
      <c r="A11" s="38"/>
      <c r="B11" s="18"/>
      <c r="C11" s="39"/>
      <c r="D11" s="39"/>
      <c r="E11" s="39"/>
      <c r="F11" s="39"/>
      <c r="G11" s="39"/>
      <c r="H11" s="39"/>
      <c r="I11" s="39"/>
      <c r="J11" s="39"/>
      <c r="K11" s="39"/>
    </row>
    <row r="12" spans="1:11" ht="14.25" x14ac:dyDescent="0.15">
      <c r="A12" s="38"/>
      <c r="B12" s="18"/>
      <c r="C12" s="39"/>
      <c r="D12" s="39"/>
      <c r="E12" s="39"/>
      <c r="F12" s="39"/>
      <c r="G12" s="39"/>
      <c r="H12" s="39"/>
      <c r="I12" s="39"/>
      <c r="J12" s="39"/>
      <c r="K12" s="39"/>
    </row>
    <row r="13" spans="1:11" ht="14.25" x14ac:dyDescent="0.15">
      <c r="A13" s="38"/>
      <c r="B13" s="18"/>
      <c r="C13" s="39"/>
      <c r="D13" s="39"/>
      <c r="E13" s="39"/>
      <c r="F13" s="39"/>
      <c r="G13" s="39"/>
      <c r="H13" s="39"/>
      <c r="I13" s="39"/>
      <c r="J13" s="39"/>
      <c r="K13" s="39"/>
    </row>
    <row r="14" spans="1:11" ht="14.25" x14ac:dyDescent="0.15">
      <c r="A14" s="38"/>
      <c r="B14" s="18"/>
      <c r="C14" s="39"/>
      <c r="D14" s="39"/>
      <c r="E14" s="39"/>
      <c r="F14" s="39"/>
      <c r="G14" s="39"/>
      <c r="H14" s="39"/>
      <c r="I14" s="39"/>
      <c r="J14" s="39"/>
      <c r="K14" s="39"/>
    </row>
    <row r="15" spans="1:11" ht="14.25" x14ac:dyDescent="0.15">
      <c r="A15" s="38"/>
      <c r="B15" s="18"/>
      <c r="C15" s="39"/>
      <c r="D15" s="39"/>
      <c r="E15" s="39"/>
      <c r="F15" s="39"/>
      <c r="G15" s="39"/>
      <c r="H15" s="39"/>
      <c r="I15" s="39"/>
      <c r="J15" s="39"/>
      <c r="K15" s="39"/>
    </row>
    <row r="16" spans="1:11" ht="14.25" x14ac:dyDescent="0.15">
      <c r="A16" s="38"/>
      <c r="B16" s="18"/>
      <c r="C16" s="39"/>
      <c r="D16" s="39"/>
      <c r="E16" s="39"/>
      <c r="F16" s="39"/>
      <c r="G16" s="39"/>
      <c r="H16" s="39"/>
      <c r="I16" s="39"/>
      <c r="J16" s="39"/>
      <c r="K16" s="39"/>
    </row>
    <row r="17" spans="1:11" ht="14.25" x14ac:dyDescent="0.15">
      <c r="A17" s="38"/>
      <c r="B17" s="18"/>
      <c r="C17" s="39"/>
      <c r="D17" s="39"/>
      <c r="E17" s="39"/>
      <c r="F17" s="39"/>
      <c r="G17" s="39"/>
      <c r="H17" s="39"/>
      <c r="I17" s="39"/>
      <c r="J17" s="39"/>
      <c r="K17" s="39"/>
    </row>
    <row r="18" spans="1:11" ht="14.25" x14ac:dyDescent="0.15">
      <c r="A18" s="38"/>
      <c r="B18" s="18"/>
      <c r="C18" s="39"/>
      <c r="D18" s="39"/>
      <c r="E18" s="39"/>
      <c r="F18" s="39"/>
      <c r="G18" s="39"/>
      <c r="H18" s="39"/>
      <c r="I18" s="39"/>
      <c r="J18" s="39"/>
      <c r="K18" s="39"/>
    </row>
    <row r="19" spans="1:11" ht="14.25" x14ac:dyDescent="0.15">
      <c r="A19" s="38"/>
      <c r="B19" s="18"/>
      <c r="C19" s="39"/>
      <c r="D19" s="39"/>
      <c r="E19" s="39"/>
      <c r="F19" s="39"/>
      <c r="G19" s="39"/>
      <c r="H19" s="39"/>
      <c r="I19" s="39"/>
      <c r="J19" s="39"/>
      <c r="K19" s="39"/>
    </row>
    <row r="20" spans="1:11" ht="14.25" x14ac:dyDescent="0.15">
      <c r="A20" s="38"/>
      <c r="B20" s="18"/>
      <c r="C20" s="39"/>
      <c r="D20" s="39"/>
      <c r="E20" s="39"/>
      <c r="F20" s="39"/>
      <c r="G20" s="39"/>
      <c r="H20" s="39"/>
      <c r="I20" s="39"/>
      <c r="J20" s="39"/>
      <c r="K20" s="39"/>
    </row>
    <row r="21" spans="1:11" ht="14.25" x14ac:dyDescent="0.15">
      <c r="A21" s="38"/>
      <c r="B21" s="18"/>
      <c r="C21" s="39"/>
      <c r="D21" s="39"/>
      <c r="E21" s="39"/>
      <c r="F21" s="39"/>
      <c r="G21" s="39"/>
      <c r="H21" s="39"/>
      <c r="I21" s="39"/>
      <c r="J21" s="39"/>
      <c r="K21" s="39"/>
    </row>
    <row r="22" spans="1:11" ht="14.25" x14ac:dyDescent="0.15">
      <c r="A22" s="38"/>
      <c r="B22" s="18"/>
      <c r="C22" s="39"/>
      <c r="D22" s="39"/>
      <c r="E22" s="39"/>
      <c r="F22" s="39"/>
      <c r="G22" s="39"/>
      <c r="H22" s="39"/>
      <c r="I22" s="39"/>
      <c r="J22" s="39"/>
      <c r="K22" s="39"/>
    </row>
    <row r="23" spans="1:11" ht="14.25" x14ac:dyDescent="0.15">
      <c r="A23" s="38"/>
      <c r="B23" s="18"/>
      <c r="C23" s="39"/>
      <c r="D23" s="39"/>
      <c r="E23" s="39"/>
      <c r="F23" s="39"/>
      <c r="G23" s="39"/>
      <c r="H23" s="39"/>
      <c r="I23" s="39"/>
      <c r="J23" s="39"/>
      <c r="K23" s="39"/>
    </row>
    <row r="24" spans="1:11" ht="14.25" x14ac:dyDescent="0.15">
      <c r="A24" s="38"/>
      <c r="B24" s="18"/>
      <c r="C24" s="39"/>
      <c r="D24" s="39"/>
      <c r="E24" s="39"/>
      <c r="F24" s="39"/>
      <c r="G24" s="39"/>
      <c r="H24" s="39"/>
      <c r="I24" s="39"/>
      <c r="J24" s="39"/>
      <c r="K24" s="39"/>
    </row>
    <row r="25" spans="1:11" ht="14.25" x14ac:dyDescent="0.15">
      <c r="A25" s="38"/>
      <c r="B25" s="18"/>
      <c r="C25" s="39"/>
      <c r="D25" s="39"/>
      <c r="E25" s="39"/>
      <c r="F25" s="39"/>
      <c r="G25" s="39"/>
      <c r="H25" s="39"/>
      <c r="I25" s="39"/>
      <c r="J25" s="39"/>
      <c r="K25" s="39"/>
    </row>
    <row r="26" spans="1:11" ht="14.25" x14ac:dyDescent="0.15">
      <c r="A26" s="38"/>
      <c r="B26" s="18"/>
      <c r="C26" s="39"/>
      <c r="D26" s="39"/>
      <c r="E26" s="39"/>
      <c r="F26" s="39"/>
      <c r="G26" s="39"/>
      <c r="H26" s="39"/>
      <c r="I26" s="39"/>
      <c r="J26" s="39"/>
      <c r="K26" s="39"/>
    </row>
    <row r="27" spans="1:11" ht="14.25" x14ac:dyDescent="0.15">
      <c r="A27" s="38"/>
      <c r="B27" s="18"/>
      <c r="C27" s="39"/>
      <c r="D27" s="39"/>
      <c r="E27" s="39"/>
      <c r="F27" s="39"/>
      <c r="G27" s="39"/>
      <c r="H27" s="39"/>
      <c r="I27" s="39"/>
      <c r="J27" s="39"/>
      <c r="K27" s="39"/>
    </row>
    <row r="28" spans="1:11" ht="14.25" x14ac:dyDescent="0.15">
      <c r="A28" s="38"/>
      <c r="B28" s="18"/>
      <c r="C28" s="39"/>
      <c r="D28" s="39"/>
      <c r="E28" s="39"/>
      <c r="F28" s="39"/>
      <c r="G28" s="39"/>
      <c r="H28" s="39"/>
      <c r="I28" s="39"/>
      <c r="J28" s="39"/>
      <c r="K28" s="39"/>
    </row>
    <row r="29" spans="1:11" ht="14.25" x14ac:dyDescent="0.15">
      <c r="A29" s="38"/>
      <c r="B29" s="18"/>
      <c r="C29" s="39"/>
      <c r="D29" s="39"/>
      <c r="E29" s="39"/>
      <c r="F29" s="39"/>
      <c r="G29" s="39"/>
      <c r="H29" s="39"/>
      <c r="I29" s="39"/>
      <c r="J29" s="39"/>
      <c r="K29" s="39"/>
    </row>
    <row r="30" spans="1:11" ht="14.25" x14ac:dyDescent="0.15">
      <c r="A30" s="38"/>
      <c r="B30" s="18"/>
      <c r="C30" s="39"/>
      <c r="D30" s="39"/>
      <c r="E30" s="39"/>
      <c r="F30" s="39"/>
      <c r="G30" s="39"/>
      <c r="H30" s="39"/>
      <c r="I30" s="39"/>
      <c r="J30" s="39"/>
      <c r="K30" s="39"/>
    </row>
    <row r="31" spans="1:11" ht="14.25" x14ac:dyDescent="0.15">
      <c r="A31" s="38"/>
      <c r="B31" s="18"/>
      <c r="C31" s="39"/>
      <c r="D31" s="39"/>
      <c r="E31" s="39"/>
      <c r="F31" s="39"/>
      <c r="G31" s="39"/>
      <c r="H31" s="39"/>
      <c r="I31" s="39"/>
      <c r="J31" s="39"/>
      <c r="K31" s="39"/>
    </row>
    <row r="32" spans="1:11" ht="14.25" x14ac:dyDescent="0.15">
      <c r="B32" s="18"/>
      <c r="C32" s="39"/>
      <c r="D32" s="39"/>
      <c r="E32" s="39"/>
      <c r="F32" s="39"/>
      <c r="G32" s="39"/>
      <c r="H32" s="39"/>
      <c r="I32" s="39"/>
      <c r="J32" s="39"/>
      <c r="K32" s="39"/>
    </row>
    <row r="33" spans="1:11" ht="14.25" x14ac:dyDescent="0.15">
      <c r="B33" s="18"/>
      <c r="C33" s="39"/>
      <c r="D33" s="39"/>
      <c r="E33" s="39"/>
      <c r="F33" s="39"/>
      <c r="G33" s="39"/>
      <c r="H33" s="39"/>
      <c r="I33" s="39"/>
      <c r="J33" s="39"/>
      <c r="K33" s="39"/>
    </row>
    <row r="34" spans="1:11" ht="14.25" x14ac:dyDescent="0.15">
      <c r="A34" s="38"/>
      <c r="C34" s="36"/>
      <c r="D34" s="36"/>
      <c r="E34" s="36"/>
      <c r="F34" s="36"/>
      <c r="G34" s="36"/>
      <c r="H34" s="36"/>
      <c r="I34" s="24"/>
      <c r="J34" s="36"/>
      <c r="K34" s="36"/>
    </row>
    <row r="35" spans="1:11" ht="14.25" x14ac:dyDescent="0.15">
      <c r="A35" s="38"/>
      <c r="C35" s="36"/>
      <c r="D35" s="36"/>
      <c r="E35" s="36"/>
      <c r="F35" s="36"/>
      <c r="G35" s="36"/>
      <c r="H35" s="36"/>
      <c r="I35" s="39"/>
      <c r="J35" s="36"/>
      <c r="K35" s="36"/>
    </row>
    <row r="36" spans="1:11" ht="14.25" x14ac:dyDescent="0.15">
      <c r="A36" s="38"/>
      <c r="C36" s="36"/>
      <c r="D36" s="36"/>
      <c r="E36" s="36"/>
      <c r="F36" s="36"/>
      <c r="G36" s="36"/>
      <c r="H36" s="36"/>
      <c r="I36" s="36"/>
      <c r="J36" s="36"/>
      <c r="K36" s="36"/>
    </row>
    <row r="37" spans="1:11" ht="14.25" x14ac:dyDescent="0.15">
      <c r="C37" s="36"/>
      <c r="D37" s="36"/>
      <c r="E37" s="36"/>
      <c r="F37" s="36"/>
      <c r="G37" s="36"/>
      <c r="H37" s="36"/>
      <c r="I37" s="39"/>
      <c r="J37" s="36"/>
      <c r="K37" s="36"/>
    </row>
    <row r="38" spans="1:11" ht="14.25" x14ac:dyDescent="0.15">
      <c r="A38" s="38"/>
      <c r="C38" s="36"/>
      <c r="D38" s="36"/>
      <c r="E38" s="36"/>
      <c r="F38" s="36"/>
      <c r="G38" s="36"/>
      <c r="H38" s="36"/>
      <c r="I38" s="36"/>
      <c r="J38" s="36"/>
      <c r="K38" s="36"/>
    </row>
    <row r="39" spans="1:11" ht="14.25" x14ac:dyDescent="0.15">
      <c r="C39" s="36"/>
      <c r="D39" s="36"/>
      <c r="E39" s="36"/>
      <c r="F39" s="36"/>
      <c r="G39" s="36"/>
      <c r="H39" s="36"/>
      <c r="I39" s="39"/>
      <c r="J39" s="36"/>
      <c r="K39" s="36"/>
    </row>
    <row r="40" spans="1:11" x14ac:dyDescent="0.15">
      <c r="C40" s="36"/>
      <c r="D40" s="36"/>
      <c r="E40" s="36"/>
      <c r="F40" s="36"/>
      <c r="G40" s="36"/>
      <c r="H40" s="36"/>
      <c r="I40" s="36"/>
      <c r="J40" s="36"/>
      <c r="K40" s="36"/>
    </row>
    <row r="41" spans="1:11" ht="14.25" x14ac:dyDescent="0.15">
      <c r="A41" s="38"/>
      <c r="C41" s="36"/>
      <c r="D41" s="36"/>
      <c r="E41" s="36"/>
      <c r="F41" s="36"/>
      <c r="G41" s="36"/>
      <c r="H41" s="36"/>
      <c r="I41" s="39"/>
      <c r="J41" s="36"/>
      <c r="K41" s="36"/>
    </row>
    <row r="42" spans="1:11" x14ac:dyDescent="0.15">
      <c r="C42" s="36"/>
      <c r="D42" s="36"/>
      <c r="E42" s="36"/>
      <c r="F42" s="36"/>
      <c r="G42" s="36"/>
      <c r="H42" s="36"/>
      <c r="I42" s="36"/>
      <c r="J42" s="36"/>
      <c r="K42" s="36"/>
    </row>
    <row r="43" spans="1:11" ht="14.25" x14ac:dyDescent="0.15">
      <c r="C43" s="36"/>
      <c r="D43" s="36"/>
      <c r="E43" s="36"/>
      <c r="F43" s="36"/>
      <c r="G43" s="36"/>
      <c r="H43" s="36"/>
      <c r="I43" s="39"/>
      <c r="J43" s="36"/>
      <c r="K43" s="36"/>
    </row>
    <row r="44" spans="1:11" ht="14.25" x14ac:dyDescent="0.15">
      <c r="A44" s="38"/>
      <c r="C44" s="36"/>
      <c r="D44" s="36"/>
      <c r="E44" s="36"/>
      <c r="F44" s="36"/>
      <c r="G44" s="36"/>
      <c r="H44" s="36"/>
      <c r="I44" s="36"/>
      <c r="J44" s="36"/>
      <c r="K44" s="36"/>
    </row>
    <row r="45" spans="1:11" ht="14.25" x14ac:dyDescent="0.15">
      <c r="C45" s="36"/>
      <c r="D45" s="36"/>
      <c r="E45" s="36"/>
      <c r="F45" s="36"/>
      <c r="G45" s="36"/>
      <c r="H45" s="36"/>
      <c r="I45" s="39"/>
      <c r="J45" s="36"/>
      <c r="K45" s="36"/>
    </row>
    <row r="46" spans="1:11" ht="14.25" x14ac:dyDescent="0.15">
      <c r="A46" s="38"/>
      <c r="C46" s="36"/>
      <c r="D46" s="36"/>
      <c r="E46" s="36"/>
      <c r="F46" s="36"/>
      <c r="G46" s="36"/>
      <c r="H46" s="36"/>
      <c r="I46" s="36"/>
      <c r="J46" s="36"/>
      <c r="K46" s="36"/>
    </row>
    <row r="47" spans="1:11" x14ac:dyDescent="0.15">
      <c r="C47" s="36"/>
      <c r="D47" s="36"/>
      <c r="E47" s="36"/>
      <c r="F47" s="36"/>
      <c r="G47" s="36"/>
      <c r="H47" s="36"/>
      <c r="I47" s="36"/>
      <c r="J47" s="36"/>
      <c r="K47" s="36"/>
    </row>
    <row r="48" spans="1:11" x14ac:dyDescent="0.15">
      <c r="C48" s="36"/>
      <c r="D48" s="36"/>
      <c r="E48" s="36"/>
      <c r="F48" s="36"/>
      <c r="G48" s="36"/>
      <c r="H48" s="36"/>
      <c r="I48" s="36"/>
      <c r="J48" s="36"/>
      <c r="K48" s="36"/>
    </row>
    <row r="49" spans="2:11" x14ac:dyDescent="0.15">
      <c r="B49" s="36"/>
      <c r="C49" s="36"/>
      <c r="D49" s="36"/>
      <c r="E49" s="36"/>
      <c r="F49" s="36"/>
      <c r="G49" s="36"/>
      <c r="H49" s="36"/>
      <c r="I49" s="36"/>
      <c r="J49" s="36"/>
      <c r="K49" s="36"/>
    </row>
    <row r="50" spans="2:11" x14ac:dyDescent="0.15">
      <c r="B50" s="36"/>
      <c r="C50" s="36"/>
      <c r="D50" s="36"/>
      <c r="E50" s="36"/>
      <c r="F50" s="36"/>
      <c r="G50" s="36"/>
      <c r="H50" s="36"/>
      <c r="I50" s="36"/>
      <c r="J50" s="36"/>
      <c r="K50" s="36"/>
    </row>
    <row r="51" spans="2:11" x14ac:dyDescent="0.15">
      <c r="B51" s="36"/>
      <c r="C51" s="36"/>
      <c r="D51" s="36"/>
      <c r="E51" s="36"/>
      <c r="F51" s="36"/>
      <c r="G51" s="36"/>
      <c r="H51" s="36"/>
      <c r="I51" s="36"/>
      <c r="J51" s="36"/>
      <c r="K51" s="36"/>
    </row>
    <row r="52" spans="2:11" x14ac:dyDescent="0.15">
      <c r="B52" s="36"/>
      <c r="C52" s="36"/>
      <c r="D52" s="36"/>
      <c r="E52" s="36"/>
      <c r="F52" s="36"/>
      <c r="G52" s="36"/>
      <c r="H52" s="36"/>
      <c r="I52" s="36"/>
      <c r="J52" s="36"/>
      <c r="K52" s="36"/>
    </row>
    <row r="53" spans="2:11" x14ac:dyDescent="0.15">
      <c r="B53" s="36"/>
      <c r="C53" s="36"/>
      <c r="D53" s="36"/>
      <c r="E53" s="36"/>
      <c r="F53" s="36"/>
      <c r="G53" s="36"/>
      <c r="H53" s="36"/>
      <c r="I53" s="36"/>
      <c r="J53" s="36"/>
      <c r="K53" s="36"/>
    </row>
    <row r="54" spans="2:11" x14ac:dyDescent="0.15">
      <c r="B54" s="36"/>
      <c r="C54" s="36"/>
      <c r="D54" s="36"/>
      <c r="E54" s="36"/>
      <c r="F54" s="36"/>
      <c r="G54" s="36"/>
      <c r="H54" s="36"/>
      <c r="I54" s="36"/>
      <c r="J54" s="36"/>
      <c r="K54" s="36"/>
    </row>
    <row r="55" spans="2:11" x14ac:dyDescent="0.15">
      <c r="B55" s="36"/>
      <c r="C55" s="36"/>
      <c r="D55" s="36"/>
      <c r="E55" s="36"/>
      <c r="F55" s="36"/>
      <c r="G55" s="36"/>
      <c r="H55" s="36"/>
      <c r="I55" s="36"/>
      <c r="J55" s="36"/>
      <c r="K55" s="36"/>
    </row>
    <row r="56" spans="2:11" x14ac:dyDescent="0.15">
      <c r="B56" s="36"/>
      <c r="C56" s="36"/>
      <c r="D56" s="36"/>
      <c r="E56" s="36"/>
      <c r="F56" s="36"/>
      <c r="G56" s="36"/>
      <c r="H56" s="36"/>
      <c r="I56" s="36"/>
      <c r="J56" s="36"/>
      <c r="K56" s="36"/>
    </row>
    <row r="57" spans="2:11" x14ac:dyDescent="0.15">
      <c r="B57" s="36"/>
      <c r="C57" s="36"/>
      <c r="D57" s="36"/>
      <c r="E57" s="36"/>
      <c r="F57" s="36"/>
      <c r="G57" s="36"/>
      <c r="H57" s="36"/>
      <c r="I57" s="36"/>
      <c r="J57" s="36"/>
      <c r="K57" s="36"/>
    </row>
    <row r="58" spans="2:11" x14ac:dyDescent="0.15">
      <c r="B58" s="36"/>
      <c r="C58" s="36"/>
      <c r="D58" s="36"/>
      <c r="E58" s="36"/>
      <c r="F58" s="36"/>
      <c r="G58" s="36"/>
      <c r="H58" s="36"/>
      <c r="I58" s="36"/>
      <c r="J58" s="36"/>
      <c r="K58" s="36"/>
    </row>
    <row r="59" spans="2:11" x14ac:dyDescent="0.15">
      <c r="B59" s="36"/>
      <c r="C59" s="36"/>
      <c r="D59" s="36"/>
      <c r="E59" s="36"/>
      <c r="F59" s="36"/>
      <c r="G59" s="36"/>
      <c r="H59" s="36"/>
      <c r="I59" s="36"/>
      <c r="J59" s="36"/>
      <c r="K59" s="36"/>
    </row>
    <row r="60" spans="2:11" x14ac:dyDescent="0.15">
      <c r="B60" s="36"/>
      <c r="C60" s="36"/>
      <c r="D60" s="36"/>
      <c r="E60" s="36"/>
      <c r="F60" s="36"/>
      <c r="G60" s="36"/>
      <c r="H60" s="36"/>
      <c r="I60" s="36"/>
      <c r="J60" s="36"/>
      <c r="K60" s="36"/>
    </row>
    <row r="61" spans="2:11" x14ac:dyDescent="0.15">
      <c r="B61" s="36"/>
      <c r="C61" s="36"/>
      <c r="D61" s="36"/>
      <c r="E61" s="36"/>
      <c r="F61" s="36"/>
      <c r="G61" s="36"/>
      <c r="H61" s="36"/>
      <c r="I61" s="36"/>
      <c r="J61" s="36"/>
      <c r="K61" s="36"/>
    </row>
    <row r="62" spans="2:11" x14ac:dyDescent="0.15">
      <c r="B62" s="36"/>
      <c r="C62" s="36"/>
      <c r="D62" s="36"/>
      <c r="E62" s="36"/>
      <c r="F62" s="36"/>
      <c r="G62" s="36"/>
      <c r="H62" s="36"/>
      <c r="I62" s="36"/>
      <c r="J62" s="36"/>
      <c r="K62" s="36"/>
    </row>
    <row r="63" spans="2:11" x14ac:dyDescent="0.15">
      <c r="B63" s="36"/>
      <c r="C63" s="36"/>
      <c r="D63" s="36"/>
      <c r="E63" s="36"/>
      <c r="F63" s="36"/>
      <c r="G63" s="36"/>
      <c r="H63" s="36"/>
      <c r="I63" s="36"/>
      <c r="J63" s="36"/>
      <c r="K63" s="36"/>
    </row>
    <row r="64" spans="2:11" x14ac:dyDescent="0.15">
      <c r="B64" s="36"/>
      <c r="C64" s="36"/>
      <c r="D64" s="36"/>
      <c r="E64" s="36"/>
      <c r="F64" s="36"/>
      <c r="G64" s="36"/>
      <c r="H64" s="36"/>
      <c r="I64" s="36"/>
      <c r="J64" s="36"/>
      <c r="K64" s="36"/>
    </row>
    <row r="65" spans="2:11" x14ac:dyDescent="0.15">
      <c r="B65" s="36"/>
      <c r="C65" s="36"/>
      <c r="D65" s="36"/>
      <c r="E65" s="36"/>
      <c r="F65" s="36"/>
      <c r="G65" s="36"/>
      <c r="H65" s="36"/>
      <c r="I65" s="36"/>
      <c r="J65" s="36"/>
      <c r="K65" s="36"/>
    </row>
    <row r="66" spans="2:11" x14ac:dyDescent="0.15">
      <c r="B66" s="36"/>
      <c r="C66" s="36"/>
      <c r="D66" s="36"/>
      <c r="E66" s="36"/>
      <c r="F66" s="36"/>
      <c r="G66" s="36"/>
      <c r="H66" s="36"/>
      <c r="I66" s="36"/>
      <c r="J66" s="36"/>
      <c r="K66" s="36"/>
    </row>
    <row r="67" spans="2:11" x14ac:dyDescent="0.15">
      <c r="B67" s="36"/>
      <c r="C67" s="36"/>
      <c r="D67" s="36"/>
      <c r="E67" s="36"/>
      <c r="F67" s="36"/>
      <c r="G67" s="36"/>
      <c r="H67" s="36"/>
      <c r="I67" s="36"/>
      <c r="J67" s="36"/>
      <c r="K67" s="36"/>
    </row>
    <row r="68" spans="2:11" x14ac:dyDescent="0.15">
      <c r="B68" s="36"/>
      <c r="C68" s="36"/>
      <c r="D68" s="36"/>
      <c r="E68" s="36"/>
      <c r="F68" s="36"/>
      <c r="G68" s="36"/>
      <c r="H68" s="36"/>
      <c r="I68" s="36"/>
      <c r="J68" s="36"/>
      <c r="K68" s="36"/>
    </row>
    <row r="69" spans="2:11" x14ac:dyDescent="0.15">
      <c r="B69" s="36"/>
      <c r="C69" s="36"/>
      <c r="D69" s="36"/>
      <c r="E69" s="36"/>
      <c r="F69" s="36"/>
      <c r="G69" s="36"/>
      <c r="H69" s="36"/>
      <c r="I69" s="36"/>
      <c r="J69" s="36"/>
      <c r="K69" s="36"/>
    </row>
    <row r="70" spans="2:11" x14ac:dyDescent="0.15">
      <c r="B70" s="36"/>
      <c r="C70" s="36"/>
      <c r="D70" s="36"/>
      <c r="E70" s="36"/>
      <c r="F70" s="36"/>
      <c r="G70" s="36"/>
      <c r="H70" s="36"/>
      <c r="I70" s="36"/>
      <c r="J70" s="36"/>
      <c r="K70" s="36"/>
    </row>
    <row r="71" spans="2:11" x14ac:dyDescent="0.15">
      <c r="B71" s="36"/>
      <c r="C71" s="36"/>
      <c r="D71" s="36"/>
      <c r="E71" s="36"/>
      <c r="F71" s="36"/>
      <c r="G71" s="36"/>
      <c r="H71" s="36"/>
      <c r="I71" s="36"/>
      <c r="J71" s="36"/>
      <c r="K71" s="36"/>
    </row>
    <row r="72" spans="2:11" x14ac:dyDescent="0.15">
      <c r="B72" s="36"/>
      <c r="C72" s="36"/>
      <c r="D72" s="36"/>
      <c r="E72" s="36"/>
      <c r="F72" s="36"/>
      <c r="G72" s="36"/>
      <c r="H72" s="36"/>
      <c r="I72" s="36"/>
      <c r="J72" s="36"/>
      <c r="K72" s="36"/>
    </row>
    <row r="73" spans="2:11" x14ac:dyDescent="0.15">
      <c r="B73" s="36"/>
      <c r="C73" s="36"/>
      <c r="D73" s="36"/>
      <c r="E73" s="36"/>
      <c r="F73" s="36"/>
      <c r="G73" s="36"/>
      <c r="H73" s="36"/>
      <c r="I73" s="36"/>
      <c r="J73" s="36"/>
      <c r="K73" s="36"/>
    </row>
    <row r="74" spans="2:11" x14ac:dyDescent="0.15">
      <c r="B74" s="36"/>
      <c r="C74" s="36"/>
      <c r="D74" s="36"/>
      <c r="E74" s="36"/>
      <c r="F74" s="36"/>
      <c r="G74" s="36"/>
      <c r="H74" s="36"/>
      <c r="I74" s="36"/>
      <c r="J74" s="36"/>
      <c r="K74" s="36"/>
    </row>
    <row r="75" spans="2:11" x14ac:dyDescent="0.15">
      <c r="B75" s="36"/>
      <c r="C75" s="36"/>
      <c r="D75" s="36"/>
      <c r="E75" s="36"/>
      <c r="F75" s="36"/>
      <c r="G75" s="36"/>
      <c r="H75" s="36"/>
      <c r="I75" s="36"/>
      <c r="J75" s="36"/>
      <c r="K75" s="36"/>
    </row>
    <row r="76" spans="2:11" x14ac:dyDescent="0.15">
      <c r="B76" s="36"/>
      <c r="C76" s="36"/>
      <c r="D76" s="36"/>
      <c r="E76" s="36"/>
      <c r="F76" s="36"/>
      <c r="G76" s="36"/>
      <c r="H76" s="36"/>
      <c r="I76" s="36"/>
      <c r="J76" s="36"/>
      <c r="K76" s="36"/>
    </row>
    <row r="77" spans="2:11" x14ac:dyDescent="0.15">
      <c r="B77" s="36"/>
      <c r="C77" s="36"/>
      <c r="D77" s="36"/>
      <c r="E77" s="36"/>
      <c r="F77" s="36"/>
      <c r="G77" s="36"/>
      <c r="H77" s="36"/>
      <c r="I77" s="36"/>
      <c r="J77" s="36"/>
      <c r="K77" s="36"/>
    </row>
    <row r="78" spans="2:11" x14ac:dyDescent="0.15">
      <c r="B78" s="36"/>
      <c r="C78" s="36"/>
      <c r="D78" s="36"/>
      <c r="E78" s="36"/>
      <c r="F78" s="36"/>
      <c r="G78" s="36"/>
      <c r="H78" s="36"/>
      <c r="I78" s="36"/>
      <c r="J78" s="36"/>
      <c r="K78" s="36"/>
    </row>
    <row r="79" spans="2:11" x14ac:dyDescent="0.15">
      <c r="B79" s="36"/>
      <c r="C79" s="36"/>
      <c r="D79" s="36"/>
      <c r="E79" s="36"/>
      <c r="F79" s="36"/>
      <c r="G79" s="36"/>
      <c r="H79" s="36"/>
      <c r="I79" s="36"/>
      <c r="J79" s="36"/>
      <c r="K79" s="36"/>
    </row>
    <row r="80" spans="2:11" x14ac:dyDescent="0.15">
      <c r="B80" s="36"/>
      <c r="C80" s="36"/>
      <c r="D80" s="36"/>
      <c r="E80" s="36"/>
      <c r="F80" s="36"/>
      <c r="G80" s="36"/>
      <c r="H80" s="36"/>
      <c r="I80" s="36"/>
      <c r="J80" s="36"/>
      <c r="K80" s="36"/>
    </row>
    <row r="81" spans="2:9" x14ac:dyDescent="0.15">
      <c r="B81" s="36"/>
      <c r="I81" s="36"/>
    </row>
    <row r="82" spans="2:9" x14ac:dyDescent="0.15">
      <c r="B82" s="36"/>
      <c r="I82" s="36"/>
    </row>
    <row r="83" spans="2:9" x14ac:dyDescent="0.15">
      <c r="B83" s="36"/>
      <c r="I83" s="36"/>
    </row>
    <row r="84" spans="2:9" x14ac:dyDescent="0.15">
      <c r="B84" s="36"/>
      <c r="I84" s="36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19"/>
  <sheetViews>
    <sheetView tabSelected="1" zoomScale="110" zoomScaleNormal="110" workbookViewId="0">
      <pane ySplit="8" topLeftCell="A63" activePane="bottomLeft" state="frozen"/>
      <selection pane="bottomLeft" activeCell="M1" sqref="M1:M1048576"/>
    </sheetView>
  </sheetViews>
  <sheetFormatPr defaultColWidth="9" defaultRowHeight="13.5" x14ac:dyDescent="0.15"/>
  <cols>
    <col min="1" max="1" width="9" style="52" customWidth="1"/>
    <col min="2" max="2" width="10.625" style="53" customWidth="1"/>
    <col min="3" max="3" width="11.5" style="53" bestFit="1" customWidth="1"/>
    <col min="4" max="4" width="10.875" style="53" customWidth="1"/>
    <col min="5" max="5" width="16.5" style="53" customWidth="1"/>
    <col min="6" max="6" width="8.125" style="53" bestFit="1" customWidth="1"/>
    <col min="7" max="7" width="9.25" style="53" bestFit="1" customWidth="1"/>
    <col min="8" max="8" width="17.25" style="53" bestFit="1" customWidth="1"/>
    <col min="9" max="9" width="15.125" style="53" bestFit="1" customWidth="1"/>
    <col min="10" max="10" width="22.375" style="53" bestFit="1" customWidth="1"/>
    <col min="11" max="11" width="10.625" style="52" bestFit="1" customWidth="1"/>
    <col min="12" max="12" width="12.5" style="53" bestFit="1" customWidth="1"/>
    <col min="13" max="13" width="15.5" style="53" bestFit="1" customWidth="1"/>
    <col min="14" max="14" width="20.5" style="53" bestFit="1" customWidth="1"/>
    <col min="15" max="15" width="14.25" style="53" customWidth="1"/>
    <col min="16" max="16" width="12" style="52" customWidth="1"/>
    <col min="17" max="17" width="16.5" style="53" customWidth="1"/>
    <col min="18" max="18" width="17.75" style="52" customWidth="1"/>
    <col min="19" max="19" width="12.125" style="52" customWidth="1"/>
    <col min="20" max="21" width="15.125" style="60" bestFit="1" customWidth="1"/>
    <col min="22" max="16384" width="9" style="52"/>
  </cols>
  <sheetData>
    <row r="1" spans="1:21" s="51" customFormat="1" x14ac:dyDescent="0.15">
      <c r="A1" s="5" t="s">
        <v>317</v>
      </c>
      <c r="B1" s="51" t="s">
        <v>219</v>
      </c>
      <c r="C1" s="51" t="s">
        <v>12</v>
      </c>
      <c r="D1" s="51" t="s">
        <v>8</v>
      </c>
      <c r="E1" s="51" t="s">
        <v>8</v>
      </c>
      <c r="F1" s="51" t="s">
        <v>12</v>
      </c>
      <c r="G1" s="51" t="s">
        <v>219</v>
      </c>
      <c r="H1" s="51" t="s">
        <v>220</v>
      </c>
      <c r="I1" s="51" t="s">
        <v>8</v>
      </c>
      <c r="J1" s="51" t="s">
        <v>220</v>
      </c>
      <c r="K1" s="51" t="s">
        <v>12</v>
      </c>
      <c r="L1" s="51" t="s">
        <v>8</v>
      </c>
      <c r="M1" s="51" t="s">
        <v>8</v>
      </c>
      <c r="N1" s="51" t="s">
        <v>8</v>
      </c>
      <c r="O1" s="51" t="s">
        <v>8</v>
      </c>
      <c r="P1" s="51" t="s">
        <v>219</v>
      </c>
      <c r="Q1" s="51" t="s">
        <v>220</v>
      </c>
      <c r="T1" s="57" t="s">
        <v>8</v>
      </c>
      <c r="U1" s="57" t="s">
        <v>8</v>
      </c>
    </row>
    <row r="2" spans="1:21" s="51" customFormat="1" x14ac:dyDescent="0.15">
      <c r="A2" s="5" t="s">
        <v>318</v>
      </c>
      <c r="B2" s="51" t="s">
        <v>8</v>
      </c>
      <c r="C2" s="51" t="s">
        <v>220</v>
      </c>
      <c r="D2" s="51" t="s">
        <v>8</v>
      </c>
      <c r="E2" s="51" t="s">
        <v>8</v>
      </c>
      <c r="F2" s="51" t="s">
        <v>220</v>
      </c>
      <c r="G2" s="51" t="s">
        <v>220</v>
      </c>
      <c r="H2" s="51" t="s">
        <v>220</v>
      </c>
      <c r="I2" s="51" t="s">
        <v>8</v>
      </c>
      <c r="J2" s="51" t="s">
        <v>220</v>
      </c>
      <c r="K2" s="51" t="s">
        <v>219</v>
      </c>
      <c r="L2" s="51" t="s">
        <v>8</v>
      </c>
      <c r="M2" s="51" t="s">
        <v>8</v>
      </c>
      <c r="N2" s="51" t="s">
        <v>8</v>
      </c>
      <c r="O2" s="51" t="s">
        <v>8</v>
      </c>
      <c r="P2" s="51" t="s">
        <v>220</v>
      </c>
      <c r="Q2" s="51" t="s">
        <v>220</v>
      </c>
      <c r="T2" s="57"/>
      <c r="U2" s="57"/>
    </row>
    <row r="3" spans="1:21" s="2" customFormat="1" ht="14.25" x14ac:dyDescent="0.15">
      <c r="A3" s="16" t="s">
        <v>8</v>
      </c>
      <c r="B3" s="16" t="s">
        <v>9</v>
      </c>
      <c r="C3" s="16" t="s">
        <v>221</v>
      </c>
      <c r="D3" s="16" t="s">
        <v>221</v>
      </c>
      <c r="E3" s="16" t="s">
        <v>222</v>
      </c>
      <c r="F3" s="16" t="s">
        <v>221</v>
      </c>
      <c r="G3" s="16" t="s">
        <v>221</v>
      </c>
      <c r="H3" s="16" t="s">
        <v>221</v>
      </c>
      <c r="I3" s="16" t="s">
        <v>221</v>
      </c>
      <c r="J3" s="16" t="s">
        <v>222</v>
      </c>
      <c r="K3" s="16" t="s">
        <v>222</v>
      </c>
      <c r="L3" s="16" t="s">
        <v>222</v>
      </c>
      <c r="M3" s="16" t="s">
        <v>222</v>
      </c>
      <c r="N3" s="16" t="s">
        <v>223</v>
      </c>
      <c r="O3" s="16" t="s">
        <v>223</v>
      </c>
      <c r="P3" s="16" t="s">
        <v>222</v>
      </c>
      <c r="Q3" s="16" t="s">
        <v>221</v>
      </c>
      <c r="R3" s="16" t="s">
        <v>221</v>
      </c>
      <c r="S3" s="2" t="s">
        <v>74</v>
      </c>
      <c r="T3" s="16" t="s">
        <v>20</v>
      </c>
      <c r="U3" s="16" t="s">
        <v>20</v>
      </c>
    </row>
    <row r="4" spans="1:21" s="2" customFormat="1" ht="14.25" x14ac:dyDescent="0.15">
      <c r="A4" s="16"/>
      <c r="B4" s="16" t="s">
        <v>11</v>
      </c>
      <c r="C4" s="16" t="s">
        <v>224</v>
      </c>
      <c r="D4" s="16" t="s">
        <v>225</v>
      </c>
      <c r="E4" s="16" t="s">
        <v>226</v>
      </c>
      <c r="F4" s="16" t="s">
        <v>227</v>
      </c>
      <c r="G4" s="16" t="s">
        <v>228</v>
      </c>
      <c r="H4" s="16" t="s">
        <v>229</v>
      </c>
      <c r="I4" s="16" t="s">
        <v>230</v>
      </c>
      <c r="J4" s="16" t="s">
        <v>231</v>
      </c>
      <c r="K4" s="16" t="s">
        <v>232</v>
      </c>
      <c r="L4" s="16" t="s">
        <v>233</v>
      </c>
      <c r="M4" s="16" t="s">
        <v>234</v>
      </c>
      <c r="N4" s="16" t="s">
        <v>235</v>
      </c>
      <c r="O4" s="16" t="s">
        <v>21</v>
      </c>
      <c r="P4" s="16" t="s">
        <v>236</v>
      </c>
      <c r="Q4" s="16" t="s">
        <v>237</v>
      </c>
      <c r="R4" s="16" t="s">
        <v>238</v>
      </c>
      <c r="S4" s="2" t="s">
        <v>75</v>
      </c>
      <c r="T4" s="16" t="s">
        <v>921</v>
      </c>
      <c r="U4" s="16" t="s">
        <v>922</v>
      </c>
    </row>
    <row r="5" spans="1:21" s="2" customFormat="1" ht="14.25" x14ac:dyDescent="0.15">
      <c r="A5" s="16"/>
      <c r="B5" s="16" t="str">
        <f>IF(B3="","",IF(B3="INT","i",IF(B3="FLOAT","f",IF(B3="STRING","s"))))</f>
        <v>i</v>
      </c>
      <c r="C5" s="16" t="s">
        <v>239</v>
      </c>
      <c r="D5" s="16" t="str">
        <f>IF(D3="","",IF(D3="INT","i",IF(D3="FLOAT","f",IF(D3="STRING","s"))))</f>
        <v>i</v>
      </c>
      <c r="E5" s="16" t="str">
        <f>IF(E3="","",IF(E3="INT","i",IF(E3="FLOAT","f",IF(E3="STRING","s"))))</f>
        <v>s</v>
      </c>
      <c r="F5" s="16" t="s">
        <v>239</v>
      </c>
      <c r="G5" s="16" t="s">
        <v>239</v>
      </c>
      <c r="H5" s="16" t="s">
        <v>239</v>
      </c>
      <c r="I5" s="16" t="str">
        <f>IF(I3="","",IF(I3="INT","i",IF(I3="FLOAT","f",IF(I3="STRING","s"))))</f>
        <v>i</v>
      </c>
      <c r="J5" s="16" t="s">
        <v>240</v>
      </c>
      <c r="K5" s="16" t="s">
        <v>240</v>
      </c>
      <c r="L5" s="16" t="str">
        <f>IF(L3="","",IF(L3="INT","i",IF(L3="FLOAT","f",IF(L3="STRING","s"))))</f>
        <v>s</v>
      </c>
      <c r="M5" s="16" t="str">
        <f>IF(M3="","",IF(M3="INT","i",IF(M3="FLOAT","f",IF(M3="STRING","s"))))</f>
        <v>s</v>
      </c>
      <c r="N5" s="16" t="s">
        <v>241</v>
      </c>
      <c r="O5" s="16" t="s">
        <v>241</v>
      </c>
      <c r="P5" s="16" t="s">
        <v>240</v>
      </c>
      <c r="Q5" s="16" t="s">
        <v>239</v>
      </c>
      <c r="R5" s="16" t="s">
        <v>239</v>
      </c>
      <c r="S5" s="2" t="s">
        <v>76</v>
      </c>
      <c r="T5" s="16" t="str">
        <f>IF(T3="","",IF(T3="INT","i",IF(T3="FLOAT","f",IF(T3="STRING","s"))))</f>
        <v>i</v>
      </c>
      <c r="U5" s="16" t="str">
        <f>IF(U3="","",IF(U3="INT","i",IF(U3="FLOAT","f",IF(U3="STRING","s"))))</f>
        <v>i</v>
      </c>
    </row>
    <row r="6" spans="1:21" s="2" customFormat="1" ht="14.25" x14ac:dyDescent="0.15">
      <c r="A6" s="16" t="s">
        <v>8</v>
      </c>
      <c r="B6" s="16" t="str">
        <f t="shared" ref="B6:O6" si="0">B5&amp;B4</f>
        <v>iID</v>
      </c>
      <c r="C6" s="16" t="str">
        <f t="shared" si="0"/>
        <v>iTaskChainId</v>
      </c>
      <c r="D6" s="16" t="str">
        <f t="shared" si="0"/>
        <v>iTaskRank</v>
      </c>
      <c r="E6" s="16" t="str">
        <f t="shared" si="0"/>
        <v>sNextTaskId</v>
      </c>
      <c r="F6" s="16" t="str">
        <f t="shared" si="0"/>
        <v>iCDTime</v>
      </c>
      <c r="G6" s="16" t="str">
        <f t="shared" si="0"/>
        <v>iTaskType</v>
      </c>
      <c r="H6" s="16" t="str">
        <f>H5&amp;H4</f>
        <v>iFinishCount</v>
      </c>
      <c r="I6" s="16" t="str">
        <f t="shared" si="0"/>
        <v>iFinishEventID</v>
      </c>
      <c r="J6" s="16" t="str">
        <f t="shared" si="0"/>
        <v>sConditions</v>
      </c>
      <c r="K6" s="16" t="str">
        <f>K5&amp;K4</f>
        <v>sTaskAward</v>
      </c>
      <c r="L6" s="16" t="str">
        <f t="shared" si="0"/>
        <v>sTaskName</v>
      </c>
      <c r="M6" s="16" t="str">
        <f t="shared" si="0"/>
        <v>sTaskDesc</v>
      </c>
      <c r="N6" s="16" t="str">
        <f t="shared" si="0"/>
        <v>sAcceptLimitDesc</v>
      </c>
      <c r="O6" s="16" t="str">
        <f t="shared" si="0"/>
        <v>sJumpTo</v>
      </c>
      <c r="P6" s="16" t="str">
        <f>P5&amp;P4</f>
        <v>sIcon</v>
      </c>
      <c r="Q6" s="16" t="str">
        <f>Q5&amp;Q4</f>
        <v>iActiveNum</v>
      </c>
      <c r="R6" s="16" t="str">
        <f>R5&amp;R4</f>
        <v>iAcceptLimitRelation</v>
      </c>
      <c r="S6" s="2" t="s">
        <v>242</v>
      </c>
      <c r="T6" s="16" t="str">
        <f t="shared" ref="T6:U6" si="1">T5&amp;T4</f>
        <v>iMinLevel</v>
      </c>
      <c r="U6" s="16" t="str">
        <f t="shared" si="1"/>
        <v>iMaxLevel</v>
      </c>
    </row>
    <row r="7" spans="1:21" s="35" customFormat="1" ht="14.25" x14ac:dyDescent="0.15">
      <c r="A7" s="16"/>
      <c r="B7" s="16" t="s">
        <v>243</v>
      </c>
      <c r="C7" s="16" t="s">
        <v>244</v>
      </c>
      <c r="D7" s="16" t="s">
        <v>245</v>
      </c>
      <c r="E7" s="16" t="s">
        <v>246</v>
      </c>
      <c r="F7" s="16" t="s">
        <v>247</v>
      </c>
      <c r="G7" s="16" t="s">
        <v>248</v>
      </c>
      <c r="H7" s="16" t="s">
        <v>249</v>
      </c>
      <c r="I7" s="16" t="s">
        <v>250</v>
      </c>
      <c r="J7" s="16" t="s">
        <v>251</v>
      </c>
      <c r="K7" s="16" t="s">
        <v>252</v>
      </c>
      <c r="L7" s="16" t="s">
        <v>253</v>
      </c>
      <c r="M7" s="16" t="s">
        <v>254</v>
      </c>
      <c r="N7" s="16" t="s">
        <v>255</v>
      </c>
      <c r="O7" s="16" t="s">
        <v>256</v>
      </c>
      <c r="P7" s="16" t="s">
        <v>257</v>
      </c>
      <c r="Q7" s="16" t="s">
        <v>258</v>
      </c>
      <c r="R7" s="16" t="s">
        <v>259</v>
      </c>
      <c r="S7" s="35" t="s">
        <v>77</v>
      </c>
      <c r="T7" s="16" t="s">
        <v>923</v>
      </c>
      <c r="U7" s="16"/>
    </row>
    <row r="8" spans="1:21" s="35" customFormat="1" ht="14.25" x14ac:dyDescent="0.15">
      <c r="A8" s="16" t="s">
        <v>10</v>
      </c>
      <c r="B8" s="16" t="e">
        <f>MODE(B10:B961)</f>
        <v>#N/A</v>
      </c>
      <c r="C8" s="16">
        <v>0</v>
      </c>
      <c r="D8" s="16">
        <v>0</v>
      </c>
      <c r="E8" s="16">
        <v>0</v>
      </c>
      <c r="F8" s="16">
        <v>0</v>
      </c>
      <c r="G8" s="16">
        <v>1</v>
      </c>
      <c r="H8" s="16">
        <v>1</v>
      </c>
      <c r="I8" s="16">
        <v>0</v>
      </c>
      <c r="J8" s="16"/>
      <c r="L8" s="16">
        <v>0</v>
      </c>
      <c r="M8" s="16"/>
      <c r="N8" s="16"/>
      <c r="O8" s="16"/>
      <c r="Q8" s="16">
        <v>0</v>
      </c>
      <c r="R8" s="16">
        <v>1</v>
      </c>
      <c r="T8" s="16">
        <v>0</v>
      </c>
      <c r="U8" s="16">
        <v>0</v>
      </c>
    </row>
    <row r="9" spans="1:21" s="34" customFormat="1" ht="46.5" customHeight="1" x14ac:dyDescent="0.15">
      <c r="A9" s="29"/>
      <c r="B9" s="29"/>
      <c r="C9" s="29"/>
      <c r="D9" s="29"/>
      <c r="E9" s="29"/>
      <c r="F9" s="29"/>
      <c r="G9" s="30" t="s">
        <v>316</v>
      </c>
      <c r="H9" s="29"/>
      <c r="I9" s="29"/>
      <c r="J9" s="31"/>
      <c r="K9" s="32"/>
      <c r="L9" s="29"/>
      <c r="M9" s="29"/>
      <c r="N9" s="29"/>
      <c r="O9" s="47" t="s">
        <v>551</v>
      </c>
      <c r="P9" s="33"/>
      <c r="Q9" s="29"/>
      <c r="R9" s="29"/>
      <c r="T9" s="29"/>
      <c r="U9" s="30" t="s">
        <v>924</v>
      </c>
    </row>
    <row r="10" spans="1:21" ht="14.25" x14ac:dyDescent="0.15">
      <c r="A10" s="54"/>
      <c r="B10" s="18">
        <v>1</v>
      </c>
      <c r="C10" s="55">
        <v>1</v>
      </c>
      <c r="D10" s="55">
        <v>1</v>
      </c>
      <c r="E10" s="55">
        <v>2</v>
      </c>
      <c r="F10" s="55"/>
      <c r="G10" s="55">
        <v>2</v>
      </c>
      <c r="H10" s="55">
        <v>1</v>
      </c>
      <c r="I10" s="55">
        <v>1005</v>
      </c>
      <c r="J10" s="20" t="s">
        <v>260</v>
      </c>
      <c r="K10" s="23" t="s">
        <v>304</v>
      </c>
      <c r="L10" s="55" t="s">
        <v>422</v>
      </c>
      <c r="M10" s="55" t="s">
        <v>402</v>
      </c>
      <c r="N10" s="52" t="s">
        <v>261</v>
      </c>
      <c r="O10" s="60">
        <v>8</v>
      </c>
      <c r="P10" s="7"/>
      <c r="Q10" s="55"/>
      <c r="S10" s="52" t="s">
        <v>78</v>
      </c>
      <c r="T10" s="62"/>
      <c r="U10" s="62"/>
    </row>
    <row r="11" spans="1:21" ht="14.25" x14ac:dyDescent="0.15">
      <c r="A11" s="54"/>
      <c r="B11" s="18">
        <v>2</v>
      </c>
      <c r="C11" s="55">
        <v>1</v>
      </c>
      <c r="D11" s="55">
        <v>2</v>
      </c>
      <c r="E11" s="55">
        <v>3</v>
      </c>
      <c r="F11" s="55"/>
      <c r="G11" s="55">
        <v>2</v>
      </c>
      <c r="H11" s="55">
        <v>1</v>
      </c>
      <c r="I11" s="55">
        <v>1005</v>
      </c>
      <c r="J11" s="20" t="s">
        <v>262</v>
      </c>
      <c r="K11" s="23" t="s">
        <v>552</v>
      </c>
      <c r="L11" s="62" t="s">
        <v>423</v>
      </c>
      <c r="M11" s="55" t="s">
        <v>201</v>
      </c>
      <c r="N11" s="52" t="s">
        <v>263</v>
      </c>
      <c r="O11" s="60">
        <v>8</v>
      </c>
      <c r="P11" s="7"/>
      <c r="Q11" s="55"/>
      <c r="T11" s="62"/>
      <c r="U11" s="62"/>
    </row>
    <row r="12" spans="1:21" ht="14.25" x14ac:dyDescent="0.15">
      <c r="A12" s="54"/>
      <c r="B12" s="18">
        <v>3</v>
      </c>
      <c r="C12" s="55">
        <v>1</v>
      </c>
      <c r="D12" s="62">
        <v>3</v>
      </c>
      <c r="E12" s="62">
        <v>4</v>
      </c>
      <c r="F12" s="55"/>
      <c r="G12" s="55">
        <v>2</v>
      </c>
      <c r="H12" s="55">
        <v>1</v>
      </c>
      <c r="I12" s="62">
        <v>1005</v>
      </c>
      <c r="J12" s="20" t="s">
        <v>264</v>
      </c>
      <c r="K12" s="23" t="s">
        <v>304</v>
      </c>
      <c r="L12" s="62" t="s">
        <v>424</v>
      </c>
      <c r="M12" s="62" t="s">
        <v>403</v>
      </c>
      <c r="N12" s="58" t="s">
        <v>265</v>
      </c>
      <c r="O12" s="60">
        <v>8</v>
      </c>
      <c r="P12" s="7"/>
      <c r="Q12" s="55"/>
      <c r="S12" s="52" t="s">
        <v>78</v>
      </c>
      <c r="T12" s="62"/>
      <c r="U12" s="62"/>
    </row>
    <row r="13" spans="1:21" ht="14.25" x14ac:dyDescent="0.15">
      <c r="A13" s="54"/>
      <c r="B13" s="18">
        <v>4</v>
      </c>
      <c r="C13" s="55">
        <v>1</v>
      </c>
      <c r="D13" s="62">
        <v>4</v>
      </c>
      <c r="E13" s="62">
        <v>5</v>
      </c>
      <c r="F13" s="55"/>
      <c r="G13" s="55">
        <v>2</v>
      </c>
      <c r="H13" s="55">
        <v>1</v>
      </c>
      <c r="I13" s="55">
        <v>1018</v>
      </c>
      <c r="J13" s="20" t="s">
        <v>266</v>
      </c>
      <c r="K13" s="23" t="s">
        <v>552</v>
      </c>
      <c r="L13" s="62" t="s">
        <v>425</v>
      </c>
      <c r="M13" s="55" t="s">
        <v>202</v>
      </c>
      <c r="N13" s="52" t="s">
        <v>267</v>
      </c>
      <c r="O13" s="60">
        <v>7</v>
      </c>
      <c r="P13" s="7"/>
      <c r="Q13" s="55"/>
      <c r="T13" s="62"/>
      <c r="U13" s="62"/>
    </row>
    <row r="14" spans="1:21" ht="14.25" x14ac:dyDescent="0.15">
      <c r="A14" s="54"/>
      <c r="B14" s="18">
        <v>5</v>
      </c>
      <c r="C14" s="55">
        <v>1</v>
      </c>
      <c r="D14" s="62">
        <v>5</v>
      </c>
      <c r="E14" s="62">
        <v>6</v>
      </c>
      <c r="F14" s="55"/>
      <c r="G14" s="55">
        <v>2</v>
      </c>
      <c r="H14" s="55">
        <v>1</v>
      </c>
      <c r="I14" s="55">
        <v>1016</v>
      </c>
      <c r="J14" s="20" t="s">
        <v>268</v>
      </c>
      <c r="K14" s="23" t="s">
        <v>304</v>
      </c>
      <c r="L14" s="62" t="s">
        <v>426</v>
      </c>
      <c r="M14" s="55" t="s">
        <v>203</v>
      </c>
      <c r="N14" s="52" t="s">
        <v>269</v>
      </c>
      <c r="O14" s="60" t="s">
        <v>459</v>
      </c>
      <c r="P14" s="7"/>
      <c r="Q14" s="55"/>
      <c r="S14" s="52" t="s">
        <v>78</v>
      </c>
      <c r="T14" s="62"/>
      <c r="U14" s="62"/>
    </row>
    <row r="15" spans="1:21" ht="14.25" x14ac:dyDescent="0.15">
      <c r="A15" s="54"/>
      <c r="B15" s="18">
        <v>6</v>
      </c>
      <c r="C15" s="55">
        <v>1</v>
      </c>
      <c r="D15" s="62">
        <v>6</v>
      </c>
      <c r="E15" s="62">
        <v>7</v>
      </c>
      <c r="F15" s="55"/>
      <c r="G15" s="55">
        <v>2</v>
      </c>
      <c r="H15" s="55">
        <v>1</v>
      </c>
      <c r="I15" s="55">
        <v>1005</v>
      </c>
      <c r="J15" s="20" t="s">
        <v>270</v>
      </c>
      <c r="K15" s="23" t="s">
        <v>552</v>
      </c>
      <c r="L15" s="62" t="s">
        <v>427</v>
      </c>
      <c r="M15" s="55" t="s">
        <v>404</v>
      </c>
      <c r="N15" s="52" t="s">
        <v>271</v>
      </c>
      <c r="O15" s="60">
        <v>8</v>
      </c>
      <c r="P15" s="7"/>
      <c r="Q15" s="55"/>
      <c r="T15" s="62"/>
      <c r="U15" s="62"/>
    </row>
    <row r="16" spans="1:21" ht="14.25" x14ac:dyDescent="0.15">
      <c r="A16" s="54"/>
      <c r="B16" s="18">
        <v>7</v>
      </c>
      <c r="C16" s="55">
        <v>1</v>
      </c>
      <c r="D16" s="62">
        <v>7</v>
      </c>
      <c r="E16" s="62">
        <v>8</v>
      </c>
      <c r="F16" s="55"/>
      <c r="G16" s="55">
        <v>2</v>
      </c>
      <c r="H16" s="55">
        <v>1</v>
      </c>
      <c r="I16" s="55">
        <v>1023</v>
      </c>
      <c r="J16" s="20"/>
      <c r="K16" s="23" t="s">
        <v>304</v>
      </c>
      <c r="L16" s="62" t="s">
        <v>428</v>
      </c>
      <c r="M16" s="55" t="s">
        <v>204</v>
      </c>
      <c r="N16" s="55" t="s">
        <v>272</v>
      </c>
      <c r="O16" s="60">
        <v>10</v>
      </c>
      <c r="P16" s="7"/>
      <c r="Q16" s="55"/>
      <c r="S16" s="52" t="s">
        <v>78</v>
      </c>
      <c r="T16" s="62"/>
      <c r="U16" s="62"/>
    </row>
    <row r="17" spans="1:21" ht="14.25" x14ac:dyDescent="0.15">
      <c r="A17" s="54"/>
      <c r="B17" s="18">
        <v>8</v>
      </c>
      <c r="C17" s="55">
        <v>1</v>
      </c>
      <c r="D17" s="62">
        <v>8</v>
      </c>
      <c r="E17" s="62">
        <v>9</v>
      </c>
      <c r="F17" s="55"/>
      <c r="G17" s="55">
        <v>2</v>
      </c>
      <c r="H17" s="55">
        <v>1</v>
      </c>
      <c r="I17" s="55">
        <v>1005</v>
      </c>
      <c r="J17" s="20" t="s">
        <v>273</v>
      </c>
      <c r="K17" s="23" t="s">
        <v>552</v>
      </c>
      <c r="L17" s="62" t="s">
        <v>429</v>
      </c>
      <c r="M17" s="55" t="s">
        <v>406</v>
      </c>
      <c r="N17" s="55" t="s">
        <v>407</v>
      </c>
      <c r="O17" s="60">
        <v>8</v>
      </c>
      <c r="P17" s="7"/>
      <c r="Q17" s="55"/>
      <c r="T17" s="62"/>
      <c r="U17" s="62"/>
    </row>
    <row r="18" spans="1:21" ht="14.25" x14ac:dyDescent="0.15">
      <c r="A18" s="54"/>
      <c r="B18" s="18">
        <v>9</v>
      </c>
      <c r="C18" s="55">
        <v>1</v>
      </c>
      <c r="D18" s="62">
        <v>9</v>
      </c>
      <c r="E18" s="62">
        <v>10</v>
      </c>
      <c r="F18" s="55"/>
      <c r="G18" s="55">
        <v>2</v>
      </c>
      <c r="H18" s="55">
        <v>1</v>
      </c>
      <c r="I18" s="55">
        <v>1018</v>
      </c>
      <c r="J18" s="20" t="s">
        <v>274</v>
      </c>
      <c r="K18" s="23" t="s">
        <v>304</v>
      </c>
      <c r="L18" s="62" t="s">
        <v>430</v>
      </c>
      <c r="M18" s="55" t="s">
        <v>205</v>
      </c>
      <c r="N18" s="55" t="s">
        <v>287</v>
      </c>
      <c r="O18" s="60">
        <v>7</v>
      </c>
      <c r="P18" s="7"/>
      <c r="Q18" s="55"/>
      <c r="T18" s="62"/>
      <c r="U18" s="62"/>
    </row>
    <row r="19" spans="1:21" ht="14.25" x14ac:dyDescent="0.15">
      <c r="A19" s="54"/>
      <c r="B19" s="18">
        <v>10</v>
      </c>
      <c r="C19" s="55">
        <v>1</v>
      </c>
      <c r="D19" s="62">
        <v>10</v>
      </c>
      <c r="E19" s="62">
        <v>11</v>
      </c>
      <c r="F19" s="55"/>
      <c r="G19" s="55">
        <v>2</v>
      </c>
      <c r="H19" s="62">
        <v>100</v>
      </c>
      <c r="I19" s="62">
        <v>1025</v>
      </c>
      <c r="J19" s="20" t="s">
        <v>278</v>
      </c>
      <c r="K19" s="23" t="s">
        <v>552</v>
      </c>
      <c r="L19" s="62" t="s">
        <v>431</v>
      </c>
      <c r="M19" s="62" t="s">
        <v>293</v>
      </c>
      <c r="N19" s="62" t="s">
        <v>279</v>
      </c>
      <c r="O19" s="60">
        <v>10</v>
      </c>
      <c r="P19" s="7"/>
      <c r="Q19" s="55"/>
      <c r="S19" s="52" t="s">
        <v>78</v>
      </c>
      <c r="T19" s="62"/>
      <c r="U19" s="62"/>
    </row>
    <row r="20" spans="1:21" ht="14.25" x14ac:dyDescent="0.15">
      <c r="A20" s="54"/>
      <c r="B20" s="18">
        <v>11</v>
      </c>
      <c r="C20" s="55">
        <v>1</v>
      </c>
      <c r="D20" s="62">
        <v>11</v>
      </c>
      <c r="E20" s="62">
        <v>12</v>
      </c>
      <c r="F20" s="55"/>
      <c r="G20" s="55">
        <v>2</v>
      </c>
      <c r="H20" s="55">
        <v>1</v>
      </c>
      <c r="I20" s="55">
        <v>1016</v>
      </c>
      <c r="J20" s="20" t="s">
        <v>275</v>
      </c>
      <c r="K20" s="23" t="s">
        <v>304</v>
      </c>
      <c r="L20" s="62" t="s">
        <v>432</v>
      </c>
      <c r="M20" s="55" t="s">
        <v>206</v>
      </c>
      <c r="N20" s="55" t="s">
        <v>276</v>
      </c>
      <c r="O20" s="60" t="s">
        <v>460</v>
      </c>
      <c r="P20" s="7"/>
      <c r="Q20" s="55"/>
      <c r="T20" s="62"/>
      <c r="U20" s="62"/>
    </row>
    <row r="21" spans="1:21" ht="14.25" x14ac:dyDescent="0.15">
      <c r="A21" s="54"/>
      <c r="B21" s="18">
        <v>12</v>
      </c>
      <c r="C21" s="55">
        <v>1</v>
      </c>
      <c r="D21" s="62">
        <v>12</v>
      </c>
      <c r="E21" s="62">
        <v>13</v>
      </c>
      <c r="F21" s="55"/>
      <c r="G21" s="55">
        <v>2</v>
      </c>
      <c r="H21" s="55">
        <v>1</v>
      </c>
      <c r="I21" s="55">
        <v>1005</v>
      </c>
      <c r="J21" s="20" t="s">
        <v>277</v>
      </c>
      <c r="K21" s="23" t="s">
        <v>552</v>
      </c>
      <c r="L21" s="62" t="s">
        <v>433</v>
      </c>
      <c r="M21" s="55" t="s">
        <v>405</v>
      </c>
      <c r="N21" s="55" t="s">
        <v>408</v>
      </c>
      <c r="O21" s="60">
        <v>8</v>
      </c>
      <c r="P21" s="7"/>
      <c r="Q21" s="55"/>
      <c r="S21" s="52" t="s">
        <v>78</v>
      </c>
      <c r="T21" s="62"/>
      <c r="U21" s="62"/>
    </row>
    <row r="22" spans="1:21" ht="14.25" x14ac:dyDescent="0.15">
      <c r="A22" s="54"/>
      <c r="B22" s="18">
        <v>13</v>
      </c>
      <c r="C22" s="55">
        <v>1</v>
      </c>
      <c r="D22" s="62">
        <v>13</v>
      </c>
      <c r="E22" s="62">
        <v>14</v>
      </c>
      <c r="F22" s="55"/>
      <c r="G22" s="55">
        <v>2</v>
      </c>
      <c r="H22" s="55">
        <v>300</v>
      </c>
      <c r="I22" s="55">
        <v>1025</v>
      </c>
      <c r="J22" s="20" t="s">
        <v>278</v>
      </c>
      <c r="K22" s="23" t="s">
        <v>304</v>
      </c>
      <c r="L22" s="62" t="s">
        <v>434</v>
      </c>
      <c r="M22" s="62" t="s">
        <v>454</v>
      </c>
      <c r="N22" s="55" t="s">
        <v>279</v>
      </c>
      <c r="O22" s="60">
        <v>10</v>
      </c>
      <c r="P22" s="7"/>
      <c r="Q22" s="55"/>
      <c r="T22" s="62"/>
      <c r="U22" s="62"/>
    </row>
    <row r="23" spans="1:21" ht="14.25" x14ac:dyDescent="0.15">
      <c r="A23" s="54"/>
      <c r="B23" s="18">
        <v>14</v>
      </c>
      <c r="C23" s="55">
        <v>1</v>
      </c>
      <c r="D23" s="62">
        <v>14</v>
      </c>
      <c r="E23" s="62">
        <v>15</v>
      </c>
      <c r="F23" s="55"/>
      <c r="G23" s="55">
        <v>2</v>
      </c>
      <c r="H23" s="55">
        <v>1</v>
      </c>
      <c r="I23" s="55">
        <v>1005</v>
      </c>
      <c r="J23" s="20" t="s">
        <v>280</v>
      </c>
      <c r="K23" s="23" t="s">
        <v>552</v>
      </c>
      <c r="L23" s="62" t="s">
        <v>435</v>
      </c>
      <c r="M23" s="62" t="s">
        <v>289</v>
      </c>
      <c r="N23" s="62" t="s">
        <v>290</v>
      </c>
      <c r="O23" s="60">
        <v>8</v>
      </c>
      <c r="P23" s="7"/>
      <c r="Q23" s="55"/>
      <c r="T23" s="62"/>
      <c r="U23" s="62"/>
    </row>
    <row r="24" spans="1:21" ht="14.25" x14ac:dyDescent="0.15">
      <c r="A24" s="54"/>
      <c r="B24" s="18">
        <v>15</v>
      </c>
      <c r="C24" s="55">
        <v>1</v>
      </c>
      <c r="D24" s="62">
        <v>15</v>
      </c>
      <c r="E24" s="62">
        <v>16</v>
      </c>
      <c r="F24" s="55"/>
      <c r="G24" s="55">
        <v>2</v>
      </c>
      <c r="H24" s="55">
        <v>3</v>
      </c>
      <c r="I24" s="55">
        <v>1008</v>
      </c>
      <c r="J24" s="20" t="s">
        <v>548</v>
      </c>
      <c r="K24" s="23" t="s">
        <v>304</v>
      </c>
      <c r="L24" s="62" t="s">
        <v>436</v>
      </c>
      <c r="M24" s="55" t="s">
        <v>281</v>
      </c>
      <c r="N24" s="55" t="s">
        <v>282</v>
      </c>
      <c r="O24" s="60">
        <v>17</v>
      </c>
      <c r="P24" s="7"/>
      <c r="Q24" s="55"/>
      <c r="S24" s="52" t="s">
        <v>79</v>
      </c>
      <c r="T24" s="62"/>
      <c r="U24" s="62"/>
    </row>
    <row r="25" spans="1:21" s="58" customFormat="1" ht="14.25" x14ac:dyDescent="0.15">
      <c r="A25" s="61"/>
      <c r="B25" s="18">
        <v>16</v>
      </c>
      <c r="C25" s="62">
        <v>1</v>
      </c>
      <c r="D25" s="62">
        <v>16</v>
      </c>
      <c r="E25" s="62">
        <v>17</v>
      </c>
      <c r="F25" s="62"/>
      <c r="G25" s="62">
        <v>2</v>
      </c>
      <c r="H25" s="62">
        <v>1</v>
      </c>
      <c r="I25" s="62">
        <v>1005</v>
      </c>
      <c r="J25" s="20" t="s">
        <v>409</v>
      </c>
      <c r="K25" s="23" t="s">
        <v>552</v>
      </c>
      <c r="L25" s="62" t="s">
        <v>437</v>
      </c>
      <c r="M25" s="62" t="s">
        <v>410</v>
      </c>
      <c r="N25" s="62" t="s">
        <v>411</v>
      </c>
      <c r="O25" s="60">
        <v>8</v>
      </c>
      <c r="P25" s="7"/>
      <c r="Q25" s="62"/>
      <c r="T25" s="62"/>
      <c r="U25" s="62"/>
    </row>
    <row r="26" spans="1:21" s="58" customFormat="1" ht="14.25" x14ac:dyDescent="0.15">
      <c r="A26" s="61"/>
      <c r="B26" s="18">
        <v>17</v>
      </c>
      <c r="C26" s="62">
        <v>1</v>
      </c>
      <c r="D26" s="62">
        <v>17</v>
      </c>
      <c r="E26" s="62">
        <v>18</v>
      </c>
      <c r="F26" s="62"/>
      <c r="G26" s="62">
        <v>2</v>
      </c>
      <c r="H26" s="62">
        <v>1</v>
      </c>
      <c r="I26" s="62">
        <v>1018</v>
      </c>
      <c r="J26" s="20" t="s">
        <v>302</v>
      </c>
      <c r="K26" s="23" t="s">
        <v>304</v>
      </c>
      <c r="L26" s="62" t="s">
        <v>438</v>
      </c>
      <c r="M26" s="62" t="s">
        <v>412</v>
      </c>
      <c r="N26" s="62" t="s">
        <v>291</v>
      </c>
      <c r="O26" s="60">
        <v>7</v>
      </c>
      <c r="P26" s="7"/>
      <c r="Q26" s="62"/>
      <c r="T26" s="62"/>
      <c r="U26" s="62"/>
    </row>
    <row r="27" spans="1:21" ht="14.25" x14ac:dyDescent="0.15">
      <c r="A27" s="61"/>
      <c r="B27" s="18">
        <v>18</v>
      </c>
      <c r="C27" s="62">
        <v>1</v>
      </c>
      <c r="D27" s="62">
        <v>18</v>
      </c>
      <c r="E27" s="62">
        <v>19</v>
      </c>
      <c r="F27" s="55"/>
      <c r="G27" s="55">
        <v>2</v>
      </c>
      <c r="H27" s="55">
        <v>500</v>
      </c>
      <c r="I27" s="55">
        <v>1025</v>
      </c>
      <c r="J27" s="20" t="s">
        <v>278</v>
      </c>
      <c r="K27" s="23" t="s">
        <v>552</v>
      </c>
      <c r="L27" s="62" t="s">
        <v>439</v>
      </c>
      <c r="M27" s="62" t="s">
        <v>294</v>
      </c>
      <c r="N27" s="55" t="s">
        <v>285</v>
      </c>
      <c r="O27" s="60">
        <v>10</v>
      </c>
      <c r="P27" s="7"/>
      <c r="Q27" s="55"/>
      <c r="S27" s="52" t="s">
        <v>106</v>
      </c>
      <c r="T27" s="62"/>
      <c r="U27" s="62"/>
    </row>
    <row r="28" spans="1:21" ht="14.25" x14ac:dyDescent="0.15">
      <c r="A28" s="61"/>
      <c r="B28" s="18">
        <v>19</v>
      </c>
      <c r="C28" s="62">
        <v>1</v>
      </c>
      <c r="D28" s="62">
        <v>19</v>
      </c>
      <c r="E28" s="62">
        <v>20</v>
      </c>
      <c r="F28" s="55"/>
      <c r="G28" s="55">
        <v>2</v>
      </c>
      <c r="H28" s="55">
        <v>3</v>
      </c>
      <c r="I28" s="55">
        <v>1008</v>
      </c>
      <c r="J28" s="20" t="s">
        <v>462</v>
      </c>
      <c r="K28" s="23" t="s">
        <v>304</v>
      </c>
      <c r="L28" s="62" t="s">
        <v>440</v>
      </c>
      <c r="M28" s="55" t="s">
        <v>283</v>
      </c>
      <c r="N28" s="55" t="s">
        <v>284</v>
      </c>
      <c r="O28" s="60">
        <v>17</v>
      </c>
      <c r="P28" s="7"/>
      <c r="Q28" s="55"/>
      <c r="T28" s="62"/>
      <c r="U28" s="62"/>
    </row>
    <row r="29" spans="1:21" s="58" customFormat="1" ht="14.25" x14ac:dyDescent="0.15">
      <c r="A29" s="61"/>
      <c r="B29" s="18">
        <v>20</v>
      </c>
      <c r="C29" s="62">
        <v>1</v>
      </c>
      <c r="D29" s="62">
        <v>20</v>
      </c>
      <c r="E29" s="62">
        <v>21</v>
      </c>
      <c r="F29" s="62"/>
      <c r="G29" s="62">
        <v>2</v>
      </c>
      <c r="H29" s="62">
        <v>1</v>
      </c>
      <c r="I29" s="62">
        <v>1005</v>
      </c>
      <c r="J29" s="20" t="s">
        <v>413</v>
      </c>
      <c r="K29" s="23" t="s">
        <v>552</v>
      </c>
      <c r="L29" s="62" t="s">
        <v>441</v>
      </c>
      <c r="M29" s="62" t="s">
        <v>414</v>
      </c>
      <c r="N29" s="62" t="s">
        <v>415</v>
      </c>
      <c r="O29" s="60">
        <v>8</v>
      </c>
      <c r="P29" s="7"/>
      <c r="Q29" s="62"/>
      <c r="T29" s="62"/>
      <c r="U29" s="62"/>
    </row>
    <row r="30" spans="1:21" s="58" customFormat="1" ht="14.25" x14ac:dyDescent="0.15">
      <c r="A30" s="61"/>
      <c r="B30" s="18">
        <v>21</v>
      </c>
      <c r="C30" s="62">
        <v>1</v>
      </c>
      <c r="D30" s="62">
        <v>21</v>
      </c>
      <c r="E30" s="62">
        <v>22</v>
      </c>
      <c r="F30" s="62"/>
      <c r="G30" s="62">
        <v>2</v>
      </c>
      <c r="H30" s="62">
        <v>1</v>
      </c>
      <c r="I30" s="62">
        <v>1018</v>
      </c>
      <c r="J30" s="20" t="s">
        <v>303</v>
      </c>
      <c r="K30" s="23" t="s">
        <v>304</v>
      </c>
      <c r="L30" s="62" t="s">
        <v>442</v>
      </c>
      <c r="M30" s="62" t="s">
        <v>416</v>
      </c>
      <c r="N30" s="62" t="s">
        <v>292</v>
      </c>
      <c r="O30" s="60">
        <v>7</v>
      </c>
      <c r="P30" s="7"/>
      <c r="Q30" s="62"/>
      <c r="T30" s="62"/>
      <c r="U30" s="62"/>
    </row>
    <row r="31" spans="1:21" s="58" customFormat="1" ht="14.25" x14ac:dyDescent="0.15">
      <c r="A31" s="61"/>
      <c r="B31" s="18">
        <v>22</v>
      </c>
      <c r="C31" s="62">
        <v>1</v>
      </c>
      <c r="D31" s="62">
        <v>22</v>
      </c>
      <c r="E31" s="62">
        <v>23</v>
      </c>
      <c r="F31" s="62"/>
      <c r="G31" s="62">
        <v>2</v>
      </c>
      <c r="H31" s="62">
        <v>1000</v>
      </c>
      <c r="I31" s="62">
        <v>1025</v>
      </c>
      <c r="J31" s="20" t="s">
        <v>278</v>
      </c>
      <c r="K31" s="23" t="s">
        <v>552</v>
      </c>
      <c r="L31" s="62" t="s">
        <v>443</v>
      </c>
      <c r="M31" s="62" t="s">
        <v>295</v>
      </c>
      <c r="N31" s="62" t="s">
        <v>298</v>
      </c>
      <c r="O31" s="60">
        <v>10</v>
      </c>
      <c r="P31" s="7"/>
      <c r="Q31" s="62"/>
      <c r="T31" s="62"/>
      <c r="U31" s="62"/>
    </row>
    <row r="32" spans="1:21" s="58" customFormat="1" ht="14.25" x14ac:dyDescent="0.15">
      <c r="A32" s="61"/>
      <c r="B32" s="18">
        <v>23</v>
      </c>
      <c r="C32" s="62">
        <v>1</v>
      </c>
      <c r="D32" s="62">
        <v>23</v>
      </c>
      <c r="E32" s="62">
        <v>24</v>
      </c>
      <c r="F32" s="62"/>
      <c r="G32" s="62">
        <v>2</v>
      </c>
      <c r="H32" s="62">
        <v>3</v>
      </c>
      <c r="I32" s="62">
        <v>1008</v>
      </c>
      <c r="J32" s="20" t="s">
        <v>549</v>
      </c>
      <c r="K32" s="23" t="s">
        <v>304</v>
      </c>
      <c r="L32" s="62" t="s">
        <v>444</v>
      </c>
      <c r="M32" s="62" t="s">
        <v>288</v>
      </c>
      <c r="N32" s="62" t="s">
        <v>299</v>
      </c>
      <c r="O32" s="60">
        <v>17</v>
      </c>
      <c r="P32" s="7"/>
      <c r="Q32" s="62"/>
      <c r="T32" s="62"/>
      <c r="U32" s="62"/>
    </row>
    <row r="33" spans="1:21" s="58" customFormat="1" ht="14.25" x14ac:dyDescent="0.15">
      <c r="A33" s="61"/>
      <c r="B33" s="18">
        <v>24</v>
      </c>
      <c r="C33" s="62">
        <v>1</v>
      </c>
      <c r="D33" s="62">
        <v>24</v>
      </c>
      <c r="E33" s="62">
        <v>25</v>
      </c>
      <c r="F33" s="62"/>
      <c r="G33" s="62">
        <v>2</v>
      </c>
      <c r="H33" s="62">
        <v>1</v>
      </c>
      <c r="I33" s="62">
        <v>1005</v>
      </c>
      <c r="J33" s="20" t="s">
        <v>417</v>
      </c>
      <c r="K33" s="23" t="s">
        <v>552</v>
      </c>
      <c r="L33" s="62" t="s">
        <v>445</v>
      </c>
      <c r="M33" s="62" t="s">
        <v>418</v>
      </c>
      <c r="N33" s="62" t="s">
        <v>419</v>
      </c>
      <c r="O33" s="60">
        <v>8</v>
      </c>
      <c r="P33" s="7"/>
      <c r="Q33" s="62"/>
      <c r="T33" s="62"/>
      <c r="U33" s="62"/>
    </row>
    <row r="34" spans="1:21" s="58" customFormat="1" ht="14.25" x14ac:dyDescent="0.15">
      <c r="A34" s="61"/>
      <c r="B34" s="18">
        <v>25</v>
      </c>
      <c r="C34" s="62">
        <v>1</v>
      </c>
      <c r="D34" s="62">
        <v>25</v>
      </c>
      <c r="E34" s="62">
        <v>26</v>
      </c>
      <c r="F34" s="62"/>
      <c r="G34" s="62">
        <v>2</v>
      </c>
      <c r="H34" s="62">
        <v>1500</v>
      </c>
      <c r="I34" s="62">
        <v>1025</v>
      </c>
      <c r="J34" s="20" t="s">
        <v>278</v>
      </c>
      <c r="K34" s="23" t="s">
        <v>304</v>
      </c>
      <c r="L34" s="62" t="s">
        <v>446</v>
      </c>
      <c r="M34" s="62" t="s">
        <v>296</v>
      </c>
      <c r="N34" s="62" t="s">
        <v>301</v>
      </c>
      <c r="O34" s="60">
        <v>10</v>
      </c>
      <c r="P34" s="7"/>
      <c r="Q34" s="62"/>
      <c r="T34" s="62"/>
      <c r="U34" s="62"/>
    </row>
    <row r="35" spans="1:21" s="58" customFormat="1" ht="14.25" x14ac:dyDescent="0.15">
      <c r="A35" s="61"/>
      <c r="B35" s="18">
        <v>26</v>
      </c>
      <c r="C35" s="62">
        <v>1</v>
      </c>
      <c r="D35" s="62">
        <v>26</v>
      </c>
      <c r="E35" s="62">
        <v>27</v>
      </c>
      <c r="F35" s="62"/>
      <c r="G35" s="62">
        <v>2</v>
      </c>
      <c r="H35" s="62">
        <v>3</v>
      </c>
      <c r="I35" s="62">
        <v>1008</v>
      </c>
      <c r="J35" s="20" t="s">
        <v>550</v>
      </c>
      <c r="K35" s="23" t="s">
        <v>552</v>
      </c>
      <c r="L35" s="62" t="s">
        <v>447</v>
      </c>
      <c r="M35" s="62" t="s">
        <v>297</v>
      </c>
      <c r="N35" s="62" t="s">
        <v>300</v>
      </c>
      <c r="O35" s="60">
        <v>17</v>
      </c>
      <c r="P35" s="7"/>
      <c r="Q35" s="62"/>
      <c r="T35" s="62"/>
      <c r="U35" s="62"/>
    </row>
    <row r="36" spans="1:21" s="58" customFormat="1" ht="14.25" x14ac:dyDescent="0.15">
      <c r="A36" s="61"/>
      <c r="B36" s="18">
        <v>27</v>
      </c>
      <c r="C36" s="62">
        <v>1</v>
      </c>
      <c r="D36" s="62">
        <v>27</v>
      </c>
      <c r="E36" s="62">
        <v>0</v>
      </c>
      <c r="F36" s="62"/>
      <c r="G36" s="62">
        <v>2</v>
      </c>
      <c r="H36" s="62">
        <v>1</v>
      </c>
      <c r="I36" s="62">
        <v>1018</v>
      </c>
      <c r="J36" s="20" t="s">
        <v>461</v>
      </c>
      <c r="K36" s="23" t="s">
        <v>304</v>
      </c>
      <c r="L36" s="62" t="s">
        <v>448</v>
      </c>
      <c r="M36" s="62" t="s">
        <v>420</v>
      </c>
      <c r="N36" s="62" t="s">
        <v>421</v>
      </c>
      <c r="O36" s="60">
        <v>7</v>
      </c>
      <c r="P36" s="7"/>
      <c r="Q36" s="62"/>
      <c r="T36" s="62"/>
      <c r="U36" s="62"/>
    </row>
    <row r="37" spans="1:21" ht="14.25" x14ac:dyDescent="0.15">
      <c r="A37" s="61" t="s">
        <v>8</v>
      </c>
      <c r="B37" s="60">
        <v>201</v>
      </c>
      <c r="C37" s="58">
        <v>1001</v>
      </c>
      <c r="D37" s="58">
        <v>1</v>
      </c>
      <c r="E37" s="58">
        <v>0</v>
      </c>
      <c r="F37" s="52"/>
      <c r="G37" s="62">
        <v>1</v>
      </c>
      <c r="H37" s="62">
        <v>1</v>
      </c>
      <c r="I37" s="62">
        <v>1016</v>
      </c>
      <c r="J37" s="20" t="s">
        <v>474</v>
      </c>
      <c r="K37" s="23" t="s">
        <v>938</v>
      </c>
      <c r="L37" s="58" t="s">
        <v>950</v>
      </c>
      <c r="M37" s="58" t="s">
        <v>578</v>
      </c>
      <c r="N37" s="52"/>
      <c r="O37" s="60" t="s">
        <v>547</v>
      </c>
      <c r="P37" s="7"/>
      <c r="Q37" s="52">
        <v>10</v>
      </c>
      <c r="S37" s="58" t="s">
        <v>482</v>
      </c>
      <c r="T37" s="62"/>
      <c r="U37" s="62"/>
    </row>
    <row r="38" spans="1:21" ht="14.25" x14ac:dyDescent="0.15">
      <c r="A38" s="61" t="s">
        <v>8</v>
      </c>
      <c r="B38" s="60">
        <v>202</v>
      </c>
      <c r="C38" s="58">
        <v>1002</v>
      </c>
      <c r="D38" s="58">
        <v>2</v>
      </c>
      <c r="E38" s="58">
        <v>0</v>
      </c>
      <c r="F38" s="52"/>
      <c r="G38" s="62">
        <v>1</v>
      </c>
      <c r="H38" s="55">
        <v>1</v>
      </c>
      <c r="I38" s="55">
        <v>1026</v>
      </c>
      <c r="J38" s="20" t="s">
        <v>332</v>
      </c>
      <c r="K38" s="23" t="s">
        <v>939</v>
      </c>
      <c r="L38" s="58" t="s">
        <v>946</v>
      </c>
      <c r="M38" s="52" t="s">
        <v>934</v>
      </c>
      <c r="N38" s="58"/>
      <c r="O38" s="53">
        <v>10</v>
      </c>
      <c r="P38" s="7"/>
      <c r="Q38" s="58">
        <v>10</v>
      </c>
      <c r="S38" s="58" t="s">
        <v>483</v>
      </c>
      <c r="T38" s="62"/>
      <c r="U38" s="62"/>
    </row>
    <row r="39" spans="1:21" ht="14.25" x14ac:dyDescent="0.15">
      <c r="A39" s="58" t="s">
        <v>219</v>
      </c>
      <c r="B39" s="60">
        <v>203</v>
      </c>
      <c r="C39" s="58">
        <v>1003</v>
      </c>
      <c r="D39" s="58">
        <v>3</v>
      </c>
      <c r="E39" s="58">
        <v>0</v>
      </c>
      <c r="F39" s="52"/>
      <c r="G39" s="62">
        <v>1</v>
      </c>
      <c r="H39" s="52">
        <v>1</v>
      </c>
      <c r="I39" s="55">
        <v>1033</v>
      </c>
      <c r="J39" s="20"/>
      <c r="K39" s="23" t="s">
        <v>1070</v>
      </c>
      <c r="L39" s="52" t="s">
        <v>947</v>
      </c>
      <c r="M39" s="52" t="s">
        <v>577</v>
      </c>
      <c r="N39" s="58"/>
      <c r="O39" s="53">
        <v>10</v>
      </c>
      <c r="P39" s="7"/>
      <c r="Q39" s="58">
        <v>5</v>
      </c>
      <c r="S39" s="58" t="s">
        <v>484</v>
      </c>
      <c r="T39" s="62"/>
      <c r="U39" s="62"/>
    </row>
    <row r="40" spans="1:21" ht="14.25" x14ac:dyDescent="0.15">
      <c r="A40" s="61" t="s">
        <v>8</v>
      </c>
      <c r="B40" s="60">
        <v>204</v>
      </c>
      <c r="C40" s="58">
        <v>1004</v>
      </c>
      <c r="D40" s="58">
        <v>4</v>
      </c>
      <c r="E40" s="58">
        <v>0</v>
      </c>
      <c r="F40" s="52"/>
      <c r="G40" s="62">
        <v>1</v>
      </c>
      <c r="H40" s="58">
        <v>1</v>
      </c>
      <c r="I40" s="24">
        <v>1044</v>
      </c>
      <c r="J40" s="20"/>
      <c r="K40" s="23" t="s">
        <v>1074</v>
      </c>
      <c r="L40" s="58" t="s">
        <v>948</v>
      </c>
      <c r="M40" s="58" t="s">
        <v>574</v>
      </c>
      <c r="N40" s="58"/>
      <c r="O40" s="53">
        <v>19</v>
      </c>
      <c r="P40" s="7"/>
      <c r="Q40" s="58">
        <v>20</v>
      </c>
      <c r="S40" s="58" t="s">
        <v>106</v>
      </c>
      <c r="T40" s="62"/>
      <c r="U40" s="62"/>
    </row>
    <row r="41" spans="1:21" ht="14.25" x14ac:dyDescent="0.15">
      <c r="A41" s="58" t="s">
        <v>12</v>
      </c>
      <c r="B41" s="60">
        <v>205</v>
      </c>
      <c r="C41" s="58">
        <v>1005</v>
      </c>
      <c r="D41" s="58">
        <v>5</v>
      </c>
      <c r="E41" s="58">
        <v>0</v>
      </c>
      <c r="F41" s="52"/>
      <c r="G41" s="62">
        <v>1</v>
      </c>
      <c r="H41" s="62">
        <v>1</v>
      </c>
      <c r="I41" s="62">
        <v>1047</v>
      </c>
      <c r="J41" s="20" t="s">
        <v>933</v>
      </c>
      <c r="K41" s="23" t="s">
        <v>940</v>
      </c>
      <c r="L41" s="58" t="s">
        <v>949</v>
      </c>
      <c r="M41" s="58" t="s">
        <v>1103</v>
      </c>
      <c r="N41" s="58"/>
      <c r="O41" s="60">
        <v>20</v>
      </c>
      <c r="P41" s="7"/>
      <c r="Q41" s="58">
        <v>10</v>
      </c>
      <c r="S41" s="58" t="s">
        <v>477</v>
      </c>
      <c r="T41" s="62"/>
      <c r="U41" s="62"/>
    </row>
    <row r="42" spans="1:21" ht="14.25" x14ac:dyDescent="0.15">
      <c r="A42" s="61" t="s">
        <v>8</v>
      </c>
      <c r="B42" s="60">
        <v>206</v>
      </c>
      <c r="C42" s="58">
        <v>1006</v>
      </c>
      <c r="D42" s="58">
        <v>6</v>
      </c>
      <c r="E42" s="58">
        <v>0</v>
      </c>
      <c r="F42" s="52"/>
      <c r="G42" s="62">
        <v>1</v>
      </c>
      <c r="H42" s="62">
        <v>1</v>
      </c>
      <c r="I42" s="62">
        <v>1024</v>
      </c>
      <c r="J42" s="20"/>
      <c r="K42" s="23" t="s">
        <v>941</v>
      </c>
      <c r="L42" s="58" t="s">
        <v>951</v>
      </c>
      <c r="M42" s="52" t="s">
        <v>935</v>
      </c>
      <c r="N42" s="58"/>
      <c r="O42" s="60">
        <v>10</v>
      </c>
      <c r="P42" s="7"/>
      <c r="Q42" s="58">
        <v>10</v>
      </c>
      <c r="S42" s="58" t="s">
        <v>478</v>
      </c>
      <c r="T42" s="62"/>
      <c r="U42" s="62"/>
    </row>
    <row r="43" spans="1:21" ht="14.25" x14ac:dyDescent="0.15">
      <c r="A43" s="58" t="s">
        <v>12</v>
      </c>
      <c r="B43" s="60">
        <v>207</v>
      </c>
      <c r="C43" s="58">
        <v>1007</v>
      </c>
      <c r="D43" s="58">
        <v>7</v>
      </c>
      <c r="E43" s="58">
        <v>0</v>
      </c>
      <c r="F43" s="52"/>
      <c r="G43" s="62">
        <v>1</v>
      </c>
      <c r="H43" s="62">
        <v>1</v>
      </c>
      <c r="I43" s="62">
        <v>1037</v>
      </c>
      <c r="J43" s="20" t="s">
        <v>475</v>
      </c>
      <c r="K43" s="23" t="s">
        <v>1071</v>
      </c>
      <c r="L43" s="58" t="s">
        <v>952</v>
      </c>
      <c r="M43" s="52" t="s">
        <v>573</v>
      </c>
      <c r="N43" s="58"/>
      <c r="O43" s="53">
        <v>11</v>
      </c>
      <c r="P43" s="7"/>
      <c r="Q43" s="58">
        <v>10</v>
      </c>
      <c r="S43" s="58" t="s">
        <v>479</v>
      </c>
      <c r="T43" s="24"/>
      <c r="U43" s="24"/>
    </row>
    <row r="44" spans="1:21" s="58" customFormat="1" ht="14.25" x14ac:dyDescent="0.15">
      <c r="A44" s="61" t="s">
        <v>8</v>
      </c>
      <c r="B44" s="60">
        <v>208</v>
      </c>
      <c r="C44" s="58">
        <v>1008</v>
      </c>
      <c r="D44" s="58">
        <v>8</v>
      </c>
      <c r="E44" s="58">
        <v>0</v>
      </c>
      <c r="G44" s="62">
        <v>1</v>
      </c>
      <c r="H44" s="62">
        <v>1</v>
      </c>
      <c r="I44" s="62">
        <v>1009</v>
      </c>
      <c r="J44" s="20"/>
      <c r="K44" s="23" t="s">
        <v>1072</v>
      </c>
      <c r="L44" s="58" t="s">
        <v>953</v>
      </c>
      <c r="M44" s="58" t="s">
        <v>575</v>
      </c>
      <c r="O44" s="53">
        <v>6</v>
      </c>
      <c r="P44" s="7"/>
      <c r="Q44" s="58">
        <v>10</v>
      </c>
      <c r="S44" s="58" t="s">
        <v>480</v>
      </c>
      <c r="T44" s="62"/>
      <c r="U44" s="62"/>
    </row>
    <row r="45" spans="1:21" s="58" customFormat="1" ht="14.25" x14ac:dyDescent="0.15">
      <c r="A45" s="58" t="s">
        <v>12</v>
      </c>
      <c r="B45" s="60">
        <v>209</v>
      </c>
      <c r="C45" s="58">
        <v>1009</v>
      </c>
      <c r="D45" s="58">
        <v>9</v>
      </c>
      <c r="E45" s="58">
        <v>0</v>
      </c>
      <c r="G45" s="62">
        <v>1</v>
      </c>
      <c r="H45" s="62">
        <v>1</v>
      </c>
      <c r="I45" s="62">
        <v>1035</v>
      </c>
      <c r="J45" s="20"/>
      <c r="K45" s="23" t="s">
        <v>942</v>
      </c>
      <c r="L45" s="58" t="s">
        <v>954</v>
      </c>
      <c r="M45" s="58" t="s">
        <v>572</v>
      </c>
      <c r="O45" s="53">
        <v>9</v>
      </c>
      <c r="P45" s="7"/>
      <c r="Q45" s="58">
        <v>10</v>
      </c>
      <c r="S45" s="58" t="s">
        <v>481</v>
      </c>
      <c r="T45" s="62"/>
      <c r="U45" s="62"/>
    </row>
    <row r="46" spans="1:21" ht="14.25" x14ac:dyDescent="0.15">
      <c r="A46" s="61" t="s">
        <v>8</v>
      </c>
      <c r="B46" s="60">
        <v>210</v>
      </c>
      <c r="C46" s="58">
        <v>1010</v>
      </c>
      <c r="D46" s="58">
        <v>10</v>
      </c>
      <c r="E46" s="58">
        <v>0</v>
      </c>
      <c r="F46" s="52"/>
      <c r="G46" s="52">
        <v>1</v>
      </c>
      <c r="H46" s="58">
        <v>1</v>
      </c>
      <c r="I46" s="62">
        <v>1027</v>
      </c>
      <c r="J46" s="20"/>
      <c r="K46" s="23" t="s">
        <v>943</v>
      </c>
      <c r="L46" s="58" t="s">
        <v>955</v>
      </c>
      <c r="M46" s="58" t="s">
        <v>476</v>
      </c>
      <c r="N46" s="58"/>
      <c r="O46" s="60">
        <v>8</v>
      </c>
      <c r="P46" s="7"/>
      <c r="Q46" s="58">
        <v>5</v>
      </c>
      <c r="T46" s="62"/>
      <c r="U46" s="62"/>
    </row>
    <row r="47" spans="1:21" ht="14.25" x14ac:dyDescent="0.15">
      <c r="A47" s="58" t="s">
        <v>12</v>
      </c>
      <c r="B47" s="60">
        <v>211</v>
      </c>
      <c r="C47" s="58">
        <v>1011</v>
      </c>
      <c r="D47" s="58">
        <v>11</v>
      </c>
      <c r="E47" s="58">
        <v>0</v>
      </c>
      <c r="F47" s="52"/>
      <c r="G47" s="62">
        <v>1</v>
      </c>
      <c r="H47" s="62">
        <v>1</v>
      </c>
      <c r="I47" s="55">
        <v>1047</v>
      </c>
      <c r="J47" s="20" t="s">
        <v>930</v>
      </c>
      <c r="K47" s="23" t="s">
        <v>944</v>
      </c>
      <c r="L47" s="52" t="s">
        <v>956</v>
      </c>
      <c r="M47" s="52" t="s">
        <v>576</v>
      </c>
      <c r="N47" s="58"/>
      <c r="O47" s="53">
        <v>13</v>
      </c>
      <c r="P47" s="7"/>
      <c r="Q47" s="58">
        <v>10</v>
      </c>
      <c r="T47" s="58"/>
      <c r="U47" s="58"/>
    </row>
    <row r="48" spans="1:21" ht="14.25" x14ac:dyDescent="0.15">
      <c r="A48" s="61" t="s">
        <v>8</v>
      </c>
      <c r="B48" s="60">
        <v>212</v>
      </c>
      <c r="C48" s="58">
        <v>1012</v>
      </c>
      <c r="D48" s="58">
        <v>12</v>
      </c>
      <c r="E48" s="58">
        <v>0</v>
      </c>
      <c r="F48" s="52"/>
      <c r="G48" s="62">
        <v>1</v>
      </c>
      <c r="H48" s="62">
        <v>1</v>
      </c>
      <c r="I48" s="62">
        <v>1047</v>
      </c>
      <c r="J48" s="20" t="s">
        <v>932</v>
      </c>
      <c r="K48" s="23" t="s">
        <v>945</v>
      </c>
      <c r="L48" s="58" t="s">
        <v>957</v>
      </c>
      <c r="M48" s="58" t="s">
        <v>931</v>
      </c>
      <c r="N48" s="58"/>
      <c r="O48" s="60">
        <v>21</v>
      </c>
      <c r="P48" s="7"/>
      <c r="Q48" s="58">
        <v>10</v>
      </c>
      <c r="T48" s="58"/>
      <c r="U48" s="58"/>
    </row>
    <row r="49" spans="1:21" s="58" customFormat="1" ht="14.25" x14ac:dyDescent="0.15">
      <c r="A49" s="58" t="s">
        <v>12</v>
      </c>
      <c r="B49" s="60">
        <v>213</v>
      </c>
      <c r="C49" s="58">
        <v>1013</v>
      </c>
      <c r="D49" s="58">
        <v>13</v>
      </c>
      <c r="E49" s="58">
        <v>0</v>
      </c>
      <c r="G49" s="62">
        <v>1</v>
      </c>
      <c r="H49" s="62">
        <v>1</v>
      </c>
      <c r="I49" s="62">
        <v>1048</v>
      </c>
      <c r="J49" s="20"/>
      <c r="K49" s="23" t="s">
        <v>1073</v>
      </c>
      <c r="L49" s="58" t="s">
        <v>958</v>
      </c>
      <c r="M49" s="58" t="s">
        <v>1107</v>
      </c>
      <c r="O49" s="60">
        <v>22</v>
      </c>
      <c r="P49" s="7"/>
      <c r="Q49" s="58">
        <v>10</v>
      </c>
    </row>
    <row r="50" spans="1:21" ht="14.25" x14ac:dyDescent="0.15">
      <c r="A50" s="61" t="s">
        <v>8</v>
      </c>
      <c r="B50" s="18">
        <v>300</v>
      </c>
      <c r="C50" s="62">
        <v>5</v>
      </c>
      <c r="D50" s="62">
        <v>1</v>
      </c>
      <c r="E50" s="62">
        <v>0</v>
      </c>
      <c r="F50" s="52"/>
      <c r="G50" s="52">
        <v>8</v>
      </c>
      <c r="H50" s="62">
        <v>500</v>
      </c>
      <c r="I50" s="62">
        <v>1016</v>
      </c>
      <c r="J50" s="20" t="s">
        <v>196</v>
      </c>
      <c r="K50" s="23" t="s">
        <v>1075</v>
      </c>
      <c r="L50" s="52" t="s">
        <v>486</v>
      </c>
      <c r="M50" s="52" t="s">
        <v>963</v>
      </c>
      <c r="O50" s="53" t="s">
        <v>964</v>
      </c>
      <c r="Q50" s="52"/>
      <c r="T50" s="62"/>
      <c r="U50" s="62"/>
    </row>
    <row r="51" spans="1:21" ht="14.25" x14ac:dyDescent="0.15">
      <c r="A51" s="61" t="s">
        <v>8</v>
      </c>
      <c r="B51" s="18">
        <v>301</v>
      </c>
      <c r="C51" s="62">
        <v>5</v>
      </c>
      <c r="D51" s="62">
        <v>2</v>
      </c>
      <c r="E51" s="62">
        <v>0</v>
      </c>
      <c r="F51" s="52"/>
      <c r="G51" s="58">
        <v>8</v>
      </c>
      <c r="H51" s="62">
        <v>500</v>
      </c>
      <c r="I51" s="62">
        <v>1016</v>
      </c>
      <c r="J51" s="20" t="s">
        <v>1026</v>
      </c>
      <c r="K51" s="23" t="s">
        <v>1075</v>
      </c>
      <c r="L51" s="58" t="s">
        <v>487</v>
      </c>
      <c r="M51" s="52" t="s">
        <v>965</v>
      </c>
      <c r="O51" s="60" t="s">
        <v>966</v>
      </c>
      <c r="Q51" s="52"/>
      <c r="T51" s="62"/>
      <c r="U51" s="62"/>
    </row>
    <row r="52" spans="1:21" ht="14.25" x14ac:dyDescent="0.15">
      <c r="A52" s="61" t="s">
        <v>8</v>
      </c>
      <c r="B52" s="18">
        <v>302</v>
      </c>
      <c r="C52" s="62">
        <v>5</v>
      </c>
      <c r="D52" s="62">
        <v>3</v>
      </c>
      <c r="E52" s="62">
        <v>0</v>
      </c>
      <c r="F52" s="52"/>
      <c r="G52" s="58">
        <v>8</v>
      </c>
      <c r="H52" s="62">
        <v>1000</v>
      </c>
      <c r="I52" s="62">
        <v>1025</v>
      </c>
      <c r="J52" s="20" t="s">
        <v>1027</v>
      </c>
      <c r="K52" s="23" t="s">
        <v>1076</v>
      </c>
      <c r="L52" s="58" t="s">
        <v>491</v>
      </c>
      <c r="M52" s="58" t="s">
        <v>967</v>
      </c>
      <c r="N52" s="60"/>
      <c r="O52" s="60">
        <v>10</v>
      </c>
      <c r="Q52" s="52"/>
      <c r="T52" s="62"/>
      <c r="U52" s="62"/>
    </row>
    <row r="53" spans="1:21" ht="14.25" x14ac:dyDescent="0.15">
      <c r="A53" s="61" t="s">
        <v>8</v>
      </c>
      <c r="B53" s="18">
        <v>303</v>
      </c>
      <c r="C53" s="62">
        <v>5</v>
      </c>
      <c r="D53" s="62">
        <v>4</v>
      </c>
      <c r="E53" s="62">
        <v>0</v>
      </c>
      <c r="F53" s="52"/>
      <c r="G53" s="58">
        <v>8</v>
      </c>
      <c r="H53" s="58">
        <v>3</v>
      </c>
      <c r="I53" s="62">
        <v>1033</v>
      </c>
      <c r="J53" s="20"/>
      <c r="K53" s="23" t="s">
        <v>1077</v>
      </c>
      <c r="L53" s="58" t="s">
        <v>488</v>
      </c>
      <c r="M53" s="58" t="s">
        <v>959</v>
      </c>
      <c r="N53" s="58"/>
      <c r="O53" s="60">
        <v>10</v>
      </c>
      <c r="Q53" s="52"/>
      <c r="T53" s="62"/>
      <c r="U53" s="62"/>
    </row>
    <row r="54" spans="1:21" ht="14.25" x14ac:dyDescent="0.15">
      <c r="A54" s="61" t="s">
        <v>8</v>
      </c>
      <c r="B54" s="18">
        <v>304</v>
      </c>
      <c r="C54" s="62">
        <v>5</v>
      </c>
      <c r="D54" s="62">
        <v>5</v>
      </c>
      <c r="E54" s="62">
        <v>0</v>
      </c>
      <c r="F54" s="52"/>
      <c r="G54" s="58">
        <v>8</v>
      </c>
      <c r="H54" s="62">
        <v>3</v>
      </c>
      <c r="I54" s="62">
        <v>1024</v>
      </c>
      <c r="J54" s="20"/>
      <c r="K54" s="23" t="s">
        <v>1075</v>
      </c>
      <c r="L54" s="58" t="s">
        <v>489</v>
      </c>
      <c r="M54" s="58" t="s">
        <v>960</v>
      </c>
      <c r="N54" s="58"/>
      <c r="O54" s="60">
        <v>10</v>
      </c>
      <c r="Q54" s="52"/>
      <c r="T54" s="62"/>
      <c r="U54" s="62"/>
    </row>
    <row r="55" spans="1:21" ht="14.25" x14ac:dyDescent="0.15">
      <c r="A55" s="61" t="s">
        <v>8</v>
      </c>
      <c r="B55" s="18">
        <v>305</v>
      </c>
      <c r="C55" s="62">
        <v>5</v>
      </c>
      <c r="D55" s="62">
        <v>6</v>
      </c>
      <c r="E55" s="62">
        <v>0</v>
      </c>
      <c r="F55" s="52"/>
      <c r="G55" s="58">
        <v>8</v>
      </c>
      <c r="H55" s="62">
        <v>3</v>
      </c>
      <c r="I55" s="62">
        <v>1008</v>
      </c>
      <c r="J55" s="20" t="s">
        <v>961</v>
      </c>
      <c r="K55" s="23" t="s">
        <v>1078</v>
      </c>
      <c r="L55" s="58" t="s">
        <v>490</v>
      </c>
      <c r="M55" s="52" t="s">
        <v>1108</v>
      </c>
      <c r="O55" s="60">
        <v>17</v>
      </c>
      <c r="Q55" s="52"/>
      <c r="T55" s="62"/>
      <c r="U55" s="62"/>
    </row>
    <row r="56" spans="1:21" ht="14.25" x14ac:dyDescent="0.15">
      <c r="A56" s="61" t="s">
        <v>8</v>
      </c>
      <c r="B56" s="18">
        <v>306</v>
      </c>
      <c r="C56" s="62">
        <v>5</v>
      </c>
      <c r="D56" s="62">
        <v>7</v>
      </c>
      <c r="E56" s="62">
        <v>0</v>
      </c>
      <c r="F56" s="52"/>
      <c r="G56" s="58">
        <v>8</v>
      </c>
      <c r="H56" s="62">
        <v>1</v>
      </c>
      <c r="I56" s="62">
        <v>1037</v>
      </c>
      <c r="J56" s="20" t="s">
        <v>1028</v>
      </c>
      <c r="K56" s="23" t="s">
        <v>1079</v>
      </c>
      <c r="L56" s="58" t="s">
        <v>491</v>
      </c>
      <c r="M56" s="58" t="s">
        <v>962</v>
      </c>
      <c r="N56" s="58"/>
      <c r="O56" s="60">
        <v>11</v>
      </c>
      <c r="Q56" s="52"/>
      <c r="T56" s="62"/>
      <c r="U56" s="62"/>
    </row>
    <row r="57" spans="1:21" ht="14.25" x14ac:dyDescent="0.15">
      <c r="A57" s="61" t="s">
        <v>8</v>
      </c>
      <c r="B57" s="18">
        <v>307</v>
      </c>
      <c r="C57" s="62">
        <v>5</v>
      </c>
      <c r="D57" s="62">
        <v>8</v>
      </c>
      <c r="E57" s="62">
        <v>0</v>
      </c>
      <c r="F57" s="52"/>
      <c r="G57" s="58">
        <v>8</v>
      </c>
      <c r="H57" s="52">
        <v>3</v>
      </c>
      <c r="I57" s="62">
        <v>1027</v>
      </c>
      <c r="J57" s="52"/>
      <c r="K57" s="23" t="s">
        <v>1080</v>
      </c>
      <c r="L57" s="58" t="s">
        <v>492</v>
      </c>
      <c r="M57" s="52" t="s">
        <v>968</v>
      </c>
      <c r="O57" s="60">
        <v>8</v>
      </c>
      <c r="Q57" s="52"/>
      <c r="T57" s="62"/>
      <c r="U57" s="62"/>
    </row>
    <row r="58" spans="1:21" ht="14.25" x14ac:dyDescent="0.15">
      <c r="A58" s="61" t="s">
        <v>8</v>
      </c>
      <c r="B58" s="18">
        <v>308</v>
      </c>
      <c r="C58" s="62">
        <v>5</v>
      </c>
      <c r="D58" s="62">
        <v>9</v>
      </c>
      <c r="E58" s="62">
        <v>0</v>
      </c>
      <c r="F58" s="52"/>
      <c r="G58" s="58">
        <v>8</v>
      </c>
      <c r="H58" s="62">
        <v>5</v>
      </c>
      <c r="I58" s="62">
        <v>1047</v>
      </c>
      <c r="J58" s="20" t="s">
        <v>1029</v>
      </c>
      <c r="K58" s="23" t="s">
        <v>1078</v>
      </c>
      <c r="L58" s="58" t="s">
        <v>493</v>
      </c>
      <c r="M58" s="52" t="s">
        <v>1104</v>
      </c>
      <c r="O58" s="53">
        <v>20</v>
      </c>
      <c r="Q58" s="52"/>
      <c r="T58" s="62"/>
      <c r="U58" s="62"/>
    </row>
    <row r="59" spans="1:21" ht="14.25" x14ac:dyDescent="0.15">
      <c r="A59" s="61" t="s">
        <v>8</v>
      </c>
      <c r="B59" s="18">
        <v>309</v>
      </c>
      <c r="C59" s="62">
        <v>5</v>
      </c>
      <c r="D59" s="62">
        <v>10</v>
      </c>
      <c r="E59" s="62">
        <v>0</v>
      </c>
      <c r="G59" s="58">
        <v>8</v>
      </c>
      <c r="H59" s="62">
        <v>1</v>
      </c>
      <c r="I59" s="62">
        <v>1018</v>
      </c>
      <c r="J59" s="20" t="s">
        <v>1030</v>
      </c>
      <c r="K59" s="23" t="s">
        <v>1081</v>
      </c>
      <c r="L59" s="58" t="s">
        <v>494</v>
      </c>
      <c r="M59" s="53" t="s">
        <v>1099</v>
      </c>
      <c r="O59" s="53">
        <v>7</v>
      </c>
      <c r="T59" s="62"/>
      <c r="U59" s="62"/>
    </row>
    <row r="60" spans="1:21" s="58" customFormat="1" ht="14.25" x14ac:dyDescent="0.15">
      <c r="A60" s="61" t="s">
        <v>8</v>
      </c>
      <c r="B60" s="18">
        <v>310</v>
      </c>
      <c r="C60" s="62">
        <v>5</v>
      </c>
      <c r="D60" s="62">
        <v>11</v>
      </c>
      <c r="E60" s="62">
        <v>0</v>
      </c>
      <c r="F60" s="60"/>
      <c r="G60" s="58">
        <v>8</v>
      </c>
      <c r="H60" s="62">
        <v>500</v>
      </c>
      <c r="I60" s="62">
        <v>1016</v>
      </c>
      <c r="J60" s="20" t="s">
        <v>1031</v>
      </c>
      <c r="K60" s="23" t="s">
        <v>1075</v>
      </c>
      <c r="L60" s="60" t="s">
        <v>495</v>
      </c>
      <c r="M60" s="58" t="s">
        <v>969</v>
      </c>
      <c r="N60" s="60"/>
      <c r="O60" s="60" t="s">
        <v>970</v>
      </c>
      <c r="Q60" s="60"/>
      <c r="T60" s="62"/>
      <c r="U60" s="62"/>
    </row>
    <row r="61" spans="1:21" ht="14.25" x14ac:dyDescent="0.15">
      <c r="A61" s="61" t="s">
        <v>8</v>
      </c>
      <c r="B61" s="18">
        <v>311</v>
      </c>
      <c r="C61" s="62">
        <v>5</v>
      </c>
      <c r="D61" s="62">
        <v>12</v>
      </c>
      <c r="E61" s="62">
        <v>0</v>
      </c>
      <c r="G61" s="58">
        <v>8</v>
      </c>
      <c r="H61" s="58">
        <v>300</v>
      </c>
      <c r="I61" s="62">
        <v>1016</v>
      </c>
      <c r="J61" s="20" t="s">
        <v>1032</v>
      </c>
      <c r="K61" s="23" t="s">
        <v>1075</v>
      </c>
      <c r="L61" s="60" t="s">
        <v>496</v>
      </c>
      <c r="M61" s="53" t="s">
        <v>971</v>
      </c>
      <c r="O61" s="60" t="s">
        <v>972</v>
      </c>
      <c r="T61" s="62"/>
      <c r="U61" s="62"/>
    </row>
    <row r="62" spans="1:21" ht="14.25" x14ac:dyDescent="0.15">
      <c r="A62" s="61" t="s">
        <v>8</v>
      </c>
      <c r="B62" s="18">
        <v>312</v>
      </c>
      <c r="C62" s="62">
        <v>5</v>
      </c>
      <c r="D62" s="62">
        <v>13</v>
      </c>
      <c r="E62" s="62">
        <v>0</v>
      </c>
      <c r="G62" s="58">
        <v>8</v>
      </c>
      <c r="H62" s="58">
        <v>10000</v>
      </c>
      <c r="I62" s="62">
        <v>1025</v>
      </c>
      <c r="J62" s="20" t="s">
        <v>1027</v>
      </c>
      <c r="K62" s="23" t="s">
        <v>1076</v>
      </c>
      <c r="L62" s="60" t="s">
        <v>497</v>
      </c>
      <c r="M62" s="53" t="s">
        <v>973</v>
      </c>
      <c r="O62" s="60">
        <v>10</v>
      </c>
      <c r="T62" s="62"/>
      <c r="U62" s="62"/>
    </row>
    <row r="63" spans="1:21" ht="14.25" x14ac:dyDescent="0.15">
      <c r="A63" s="61" t="s">
        <v>8</v>
      </c>
      <c r="B63" s="18">
        <v>313</v>
      </c>
      <c r="C63" s="62">
        <v>5</v>
      </c>
      <c r="D63" s="62">
        <v>14</v>
      </c>
      <c r="E63" s="62">
        <v>0</v>
      </c>
      <c r="G63" s="58">
        <v>8</v>
      </c>
      <c r="H63" s="58">
        <v>1</v>
      </c>
      <c r="I63" s="62">
        <v>1001</v>
      </c>
      <c r="J63" s="20" t="s">
        <v>1033</v>
      </c>
      <c r="K63" s="23" t="s">
        <v>1081</v>
      </c>
      <c r="L63" s="60" t="s">
        <v>498</v>
      </c>
      <c r="M63" s="53" t="s">
        <v>1097</v>
      </c>
      <c r="O63" s="60">
        <v>10</v>
      </c>
      <c r="T63" s="62"/>
      <c r="U63" s="62"/>
    </row>
    <row r="64" spans="1:21" ht="14.25" x14ac:dyDescent="0.15">
      <c r="A64" s="61" t="s">
        <v>8</v>
      </c>
      <c r="B64" s="18">
        <v>314</v>
      </c>
      <c r="C64" s="62">
        <v>5</v>
      </c>
      <c r="D64" s="62">
        <v>15</v>
      </c>
      <c r="E64" s="62">
        <v>0</v>
      </c>
      <c r="G64" s="58">
        <v>8</v>
      </c>
      <c r="H64" s="58">
        <v>2</v>
      </c>
      <c r="I64" s="62">
        <v>1047</v>
      </c>
      <c r="J64" s="20" t="s">
        <v>1034</v>
      </c>
      <c r="K64" s="23" t="s">
        <v>1082</v>
      </c>
      <c r="L64" s="60" t="s">
        <v>499</v>
      </c>
      <c r="M64" s="53" t="s">
        <v>974</v>
      </c>
      <c r="O64" s="60">
        <v>21</v>
      </c>
      <c r="T64" s="62"/>
      <c r="U64" s="62"/>
    </row>
    <row r="65" spans="1:21" ht="14.25" x14ac:dyDescent="0.15">
      <c r="A65" s="61" t="s">
        <v>8</v>
      </c>
      <c r="B65" s="18">
        <v>315</v>
      </c>
      <c r="C65" s="62">
        <v>5</v>
      </c>
      <c r="D65" s="62">
        <v>16</v>
      </c>
      <c r="E65" s="62">
        <v>0</v>
      </c>
      <c r="G65" s="58">
        <v>8</v>
      </c>
      <c r="H65" s="62">
        <v>10</v>
      </c>
      <c r="I65" s="62">
        <v>1009</v>
      </c>
      <c r="J65" s="20"/>
      <c r="K65" s="23" t="s">
        <v>1083</v>
      </c>
      <c r="L65" s="60" t="s">
        <v>500</v>
      </c>
      <c r="M65" s="53" t="s">
        <v>975</v>
      </c>
      <c r="O65" s="60">
        <v>6</v>
      </c>
      <c r="T65" s="62"/>
      <c r="U65" s="62"/>
    </row>
    <row r="66" spans="1:21" ht="14.25" x14ac:dyDescent="0.15">
      <c r="A66" s="61" t="s">
        <v>8</v>
      </c>
      <c r="B66" s="18">
        <v>316</v>
      </c>
      <c r="C66" s="62">
        <v>5</v>
      </c>
      <c r="D66" s="62">
        <v>17</v>
      </c>
      <c r="E66" s="62">
        <v>0</v>
      </c>
      <c r="G66" s="58">
        <v>8</v>
      </c>
      <c r="H66" s="62">
        <v>5</v>
      </c>
      <c r="I66" s="62">
        <v>1048</v>
      </c>
      <c r="K66" s="23" t="s">
        <v>1084</v>
      </c>
      <c r="L66" s="60" t="s">
        <v>501</v>
      </c>
      <c r="M66" s="53" t="s">
        <v>976</v>
      </c>
      <c r="O66" s="60">
        <v>22</v>
      </c>
      <c r="T66" s="62"/>
      <c r="U66" s="62"/>
    </row>
    <row r="67" spans="1:21" ht="14.25" x14ac:dyDescent="0.15">
      <c r="A67" s="61" t="s">
        <v>8</v>
      </c>
      <c r="B67" s="18">
        <v>317</v>
      </c>
      <c r="C67" s="62">
        <v>5</v>
      </c>
      <c r="D67" s="62">
        <v>18</v>
      </c>
      <c r="E67" s="62">
        <v>0</v>
      </c>
      <c r="G67" s="58">
        <v>8</v>
      </c>
      <c r="H67" s="62">
        <v>10</v>
      </c>
      <c r="I67" s="62">
        <v>1044</v>
      </c>
      <c r="J67" s="20"/>
      <c r="K67" s="23" t="s">
        <v>1085</v>
      </c>
      <c r="L67" s="60" t="s">
        <v>502</v>
      </c>
      <c r="M67" s="53" t="s">
        <v>977</v>
      </c>
      <c r="O67" s="60">
        <v>19</v>
      </c>
      <c r="T67" s="62"/>
      <c r="U67" s="62"/>
    </row>
    <row r="68" spans="1:21" ht="14.25" x14ac:dyDescent="0.15">
      <c r="A68" s="61" t="s">
        <v>8</v>
      </c>
      <c r="B68" s="18">
        <v>318</v>
      </c>
      <c r="C68" s="62">
        <v>5</v>
      </c>
      <c r="D68" s="62">
        <v>19</v>
      </c>
      <c r="E68" s="62">
        <v>0</v>
      </c>
      <c r="G68" s="58">
        <v>8</v>
      </c>
      <c r="H68" s="62">
        <v>5</v>
      </c>
      <c r="I68" s="62">
        <v>1047</v>
      </c>
      <c r="J68" s="20" t="s">
        <v>1035</v>
      </c>
      <c r="K68" s="23" t="s">
        <v>1086</v>
      </c>
      <c r="L68" s="60" t="s">
        <v>503</v>
      </c>
      <c r="M68" s="53" t="s">
        <v>978</v>
      </c>
      <c r="O68" s="53">
        <v>13</v>
      </c>
      <c r="T68" s="62"/>
      <c r="U68" s="62"/>
    </row>
    <row r="69" spans="1:21" ht="14.25" x14ac:dyDescent="0.15">
      <c r="A69" s="61" t="s">
        <v>8</v>
      </c>
      <c r="B69" s="18">
        <v>319</v>
      </c>
      <c r="C69" s="62">
        <v>5</v>
      </c>
      <c r="D69" s="62">
        <v>20</v>
      </c>
      <c r="E69" s="62">
        <v>0</v>
      </c>
      <c r="G69" s="58">
        <v>8</v>
      </c>
      <c r="H69" s="58">
        <v>3</v>
      </c>
      <c r="I69" s="24">
        <v>1036</v>
      </c>
      <c r="J69" s="53" t="s">
        <v>1036</v>
      </c>
      <c r="K69" s="23" t="s">
        <v>1086</v>
      </c>
      <c r="L69" s="60" t="s">
        <v>1059</v>
      </c>
      <c r="M69" s="53" t="s">
        <v>979</v>
      </c>
      <c r="O69" s="53">
        <v>18</v>
      </c>
      <c r="T69" s="24"/>
      <c r="U69" s="24"/>
    </row>
    <row r="70" spans="1:21" ht="14.25" x14ac:dyDescent="0.15">
      <c r="A70" s="61" t="s">
        <v>8</v>
      </c>
      <c r="B70" s="18">
        <v>320</v>
      </c>
      <c r="C70" s="62">
        <v>5</v>
      </c>
      <c r="D70" s="62">
        <v>21</v>
      </c>
      <c r="E70" s="62">
        <v>0</v>
      </c>
      <c r="G70" s="58">
        <v>8</v>
      </c>
      <c r="H70" s="62">
        <v>500</v>
      </c>
      <c r="I70" s="62">
        <v>1016</v>
      </c>
      <c r="J70" s="20" t="s">
        <v>1037</v>
      </c>
      <c r="K70" s="23" t="s">
        <v>1075</v>
      </c>
      <c r="L70" s="53" t="s">
        <v>504</v>
      </c>
      <c r="M70" s="53" t="s">
        <v>980</v>
      </c>
      <c r="O70" s="53" t="s">
        <v>981</v>
      </c>
      <c r="T70" s="62"/>
      <c r="U70" s="62"/>
    </row>
    <row r="71" spans="1:21" ht="14.25" x14ac:dyDescent="0.15">
      <c r="A71" s="61" t="s">
        <v>8</v>
      </c>
      <c r="B71" s="18">
        <v>321</v>
      </c>
      <c r="C71" s="62">
        <v>5</v>
      </c>
      <c r="D71" s="62">
        <v>22</v>
      </c>
      <c r="E71" s="62">
        <v>0</v>
      </c>
      <c r="G71" s="58">
        <v>8</v>
      </c>
      <c r="H71" s="62">
        <v>500</v>
      </c>
      <c r="I71" s="62">
        <v>1016</v>
      </c>
      <c r="J71" s="20" t="s">
        <v>1038</v>
      </c>
      <c r="K71" s="23" t="s">
        <v>1075</v>
      </c>
      <c r="L71" s="60" t="s">
        <v>505</v>
      </c>
      <c r="M71" s="53" t="s">
        <v>982</v>
      </c>
      <c r="O71" s="60" t="s">
        <v>983</v>
      </c>
      <c r="T71" s="62"/>
      <c r="U71" s="62"/>
    </row>
    <row r="72" spans="1:21" ht="14.25" x14ac:dyDescent="0.15">
      <c r="A72" s="61" t="s">
        <v>8</v>
      </c>
      <c r="B72" s="18">
        <v>322</v>
      </c>
      <c r="C72" s="62">
        <v>5</v>
      </c>
      <c r="D72" s="62">
        <v>23</v>
      </c>
      <c r="E72" s="62">
        <v>0</v>
      </c>
      <c r="G72" s="58">
        <v>8</v>
      </c>
      <c r="H72" s="62">
        <v>20000</v>
      </c>
      <c r="I72" s="62">
        <v>1025</v>
      </c>
      <c r="J72" s="53" t="s">
        <v>1027</v>
      </c>
      <c r="K72" s="23" t="s">
        <v>1076</v>
      </c>
      <c r="L72" s="60" t="s">
        <v>506</v>
      </c>
      <c r="M72" s="53" t="s">
        <v>984</v>
      </c>
      <c r="O72" s="60">
        <v>10</v>
      </c>
      <c r="T72" s="62"/>
      <c r="U72" s="62"/>
    </row>
    <row r="73" spans="1:21" ht="14.25" x14ac:dyDescent="0.15">
      <c r="A73" s="61" t="s">
        <v>8</v>
      </c>
      <c r="B73" s="18">
        <v>323</v>
      </c>
      <c r="C73" s="62">
        <v>5</v>
      </c>
      <c r="D73" s="62">
        <v>24</v>
      </c>
      <c r="E73" s="62">
        <v>0</v>
      </c>
      <c r="G73" s="58">
        <v>8</v>
      </c>
      <c r="H73" s="58">
        <v>15</v>
      </c>
      <c r="I73" s="62">
        <v>1024</v>
      </c>
      <c r="K73" s="23" t="s">
        <v>1075</v>
      </c>
      <c r="L73" s="60" t="s">
        <v>507</v>
      </c>
      <c r="M73" s="53" t="s">
        <v>985</v>
      </c>
      <c r="O73" s="60">
        <v>10</v>
      </c>
      <c r="T73" s="62"/>
      <c r="U73" s="62"/>
    </row>
    <row r="74" spans="1:21" ht="14.25" x14ac:dyDescent="0.15">
      <c r="A74" s="61" t="s">
        <v>8</v>
      </c>
      <c r="B74" s="18">
        <v>324</v>
      </c>
      <c r="C74" s="62">
        <v>5</v>
      </c>
      <c r="D74" s="62">
        <v>25</v>
      </c>
      <c r="E74" s="62">
        <v>0</v>
      </c>
      <c r="G74" s="58">
        <v>8</v>
      </c>
      <c r="H74" s="62">
        <v>12</v>
      </c>
      <c r="I74" s="62">
        <v>1040</v>
      </c>
      <c r="J74" s="20" t="s">
        <v>1039</v>
      </c>
      <c r="K74" s="23" t="s">
        <v>1079</v>
      </c>
      <c r="L74" s="60" t="s">
        <v>508</v>
      </c>
      <c r="M74" s="60" t="s">
        <v>986</v>
      </c>
      <c r="O74" s="53">
        <v>11</v>
      </c>
      <c r="T74" s="62"/>
      <c r="U74" s="62"/>
    </row>
    <row r="75" spans="1:21" ht="14.25" x14ac:dyDescent="0.15">
      <c r="A75" s="61" t="s">
        <v>8</v>
      </c>
      <c r="B75" s="18">
        <v>325</v>
      </c>
      <c r="C75" s="62">
        <v>5</v>
      </c>
      <c r="D75" s="62">
        <v>26</v>
      </c>
      <c r="E75" s="62">
        <v>0</v>
      </c>
      <c r="G75" s="58">
        <v>8</v>
      </c>
      <c r="H75" s="58">
        <v>5</v>
      </c>
      <c r="I75" s="62">
        <v>1008</v>
      </c>
      <c r="J75" s="53" t="s">
        <v>1040</v>
      </c>
      <c r="K75" s="23" t="s">
        <v>1087</v>
      </c>
      <c r="L75" s="60" t="s">
        <v>509</v>
      </c>
      <c r="M75" s="53" t="s">
        <v>1109</v>
      </c>
      <c r="O75" s="53">
        <v>17</v>
      </c>
      <c r="T75" s="62"/>
      <c r="U75" s="62"/>
    </row>
    <row r="76" spans="1:21" ht="14.25" x14ac:dyDescent="0.15">
      <c r="A76" s="61" t="s">
        <v>8</v>
      </c>
      <c r="B76" s="18">
        <v>326</v>
      </c>
      <c r="C76" s="62">
        <v>5</v>
      </c>
      <c r="D76" s="62">
        <v>27</v>
      </c>
      <c r="E76" s="62">
        <v>0</v>
      </c>
      <c r="G76" s="58">
        <v>8</v>
      </c>
      <c r="H76" s="62">
        <v>6</v>
      </c>
      <c r="I76" s="62">
        <v>1027</v>
      </c>
      <c r="J76" s="20"/>
      <c r="K76" s="23" t="s">
        <v>1080</v>
      </c>
      <c r="L76" s="60" t="s">
        <v>510</v>
      </c>
      <c r="M76" s="53" t="s">
        <v>987</v>
      </c>
      <c r="O76" s="53">
        <v>8</v>
      </c>
      <c r="T76" s="62"/>
      <c r="U76" s="62"/>
    </row>
    <row r="77" spans="1:21" ht="14.25" x14ac:dyDescent="0.15">
      <c r="A77" s="61" t="s">
        <v>8</v>
      </c>
      <c r="B77" s="18">
        <v>327</v>
      </c>
      <c r="C77" s="62">
        <v>5</v>
      </c>
      <c r="D77" s="62">
        <v>28</v>
      </c>
      <c r="E77" s="62">
        <v>0</v>
      </c>
      <c r="G77" s="58">
        <v>8</v>
      </c>
      <c r="H77" s="62">
        <v>1</v>
      </c>
      <c r="I77" s="62">
        <v>1018</v>
      </c>
      <c r="J77" s="53" t="s">
        <v>1041</v>
      </c>
      <c r="K77" s="23" t="s">
        <v>1081</v>
      </c>
      <c r="L77" s="60" t="s">
        <v>511</v>
      </c>
      <c r="M77" s="53" t="s">
        <v>1100</v>
      </c>
      <c r="O77" s="53">
        <v>7</v>
      </c>
      <c r="T77" s="62"/>
      <c r="U77" s="62"/>
    </row>
    <row r="78" spans="1:21" s="58" customFormat="1" ht="14.25" x14ac:dyDescent="0.15">
      <c r="A78" s="61" t="s">
        <v>8</v>
      </c>
      <c r="B78" s="18">
        <v>328</v>
      </c>
      <c r="C78" s="62">
        <v>5</v>
      </c>
      <c r="D78" s="62">
        <v>29</v>
      </c>
      <c r="E78" s="62">
        <v>0</v>
      </c>
      <c r="F78" s="60"/>
      <c r="G78" s="58">
        <v>8</v>
      </c>
      <c r="H78" s="62">
        <v>10</v>
      </c>
      <c r="I78" s="62">
        <v>1039</v>
      </c>
      <c r="J78" s="99"/>
      <c r="K78" s="23" t="s">
        <v>1088</v>
      </c>
      <c r="L78" s="60" t="s">
        <v>1060</v>
      </c>
      <c r="M78" s="60" t="s">
        <v>988</v>
      </c>
      <c r="N78" s="60"/>
      <c r="O78" s="60">
        <v>10</v>
      </c>
      <c r="Q78" s="60"/>
      <c r="T78" s="62"/>
      <c r="U78" s="62"/>
    </row>
    <row r="79" spans="1:21" s="58" customFormat="1" ht="14.25" x14ac:dyDescent="0.15">
      <c r="A79" s="61" t="s">
        <v>8</v>
      </c>
      <c r="B79" s="18">
        <v>329</v>
      </c>
      <c r="C79" s="62">
        <v>5</v>
      </c>
      <c r="D79" s="62">
        <v>30</v>
      </c>
      <c r="E79" s="62">
        <v>0</v>
      </c>
      <c r="F79" s="60"/>
      <c r="G79" s="58">
        <v>8</v>
      </c>
      <c r="H79" s="62">
        <v>20</v>
      </c>
      <c r="I79" s="62">
        <v>1047</v>
      </c>
      <c r="J79" s="99" t="s">
        <v>1029</v>
      </c>
      <c r="K79" s="23" t="s">
        <v>1087</v>
      </c>
      <c r="L79" s="60" t="s">
        <v>1061</v>
      </c>
      <c r="M79" s="60" t="s">
        <v>1105</v>
      </c>
      <c r="N79" s="60"/>
      <c r="O79" s="60">
        <v>20</v>
      </c>
      <c r="Q79" s="60"/>
      <c r="T79" s="62"/>
      <c r="U79" s="62"/>
    </row>
    <row r="80" spans="1:21" ht="14.25" x14ac:dyDescent="0.15">
      <c r="A80" s="61" t="s">
        <v>8</v>
      </c>
      <c r="B80" s="18">
        <v>330</v>
      </c>
      <c r="C80" s="62">
        <v>5</v>
      </c>
      <c r="D80" s="62">
        <v>31</v>
      </c>
      <c r="E80" s="62">
        <v>0</v>
      </c>
      <c r="F80" s="60"/>
      <c r="G80" s="58">
        <v>8</v>
      </c>
      <c r="H80" s="58">
        <v>300</v>
      </c>
      <c r="I80" s="62">
        <v>1016</v>
      </c>
      <c r="J80" s="20" t="s">
        <v>1042</v>
      </c>
      <c r="K80" s="23" t="s">
        <v>1075</v>
      </c>
      <c r="L80" s="53" t="s">
        <v>512</v>
      </c>
      <c r="M80" s="53" t="s">
        <v>989</v>
      </c>
      <c r="O80" s="60" t="s">
        <v>990</v>
      </c>
      <c r="T80" s="62"/>
      <c r="U80" s="62"/>
    </row>
    <row r="81" spans="1:21" ht="14.25" x14ac:dyDescent="0.15">
      <c r="A81" s="61" t="s">
        <v>8</v>
      </c>
      <c r="B81" s="18">
        <v>331</v>
      </c>
      <c r="C81" s="62">
        <v>5</v>
      </c>
      <c r="D81" s="62">
        <v>32</v>
      </c>
      <c r="E81" s="62">
        <v>0</v>
      </c>
      <c r="F81" s="60"/>
      <c r="G81" s="58">
        <v>8</v>
      </c>
      <c r="H81" s="58">
        <v>500</v>
      </c>
      <c r="I81" s="62">
        <v>1016</v>
      </c>
      <c r="J81" s="20" t="s">
        <v>1043</v>
      </c>
      <c r="K81" s="23" t="s">
        <v>1075</v>
      </c>
      <c r="L81" s="60" t="s">
        <v>513</v>
      </c>
      <c r="M81" s="53" t="s">
        <v>991</v>
      </c>
      <c r="O81" s="60" t="s">
        <v>992</v>
      </c>
      <c r="T81" s="62"/>
      <c r="U81" s="62"/>
    </row>
    <row r="82" spans="1:21" ht="14.25" x14ac:dyDescent="0.15">
      <c r="A82" s="61" t="s">
        <v>8</v>
      </c>
      <c r="B82" s="18">
        <v>332</v>
      </c>
      <c r="C82" s="62">
        <v>5</v>
      </c>
      <c r="D82" s="62">
        <v>33</v>
      </c>
      <c r="E82" s="62">
        <v>0</v>
      </c>
      <c r="F82" s="60"/>
      <c r="G82" s="58">
        <v>8</v>
      </c>
      <c r="H82" s="62">
        <v>30000</v>
      </c>
      <c r="I82" s="62">
        <v>1025</v>
      </c>
      <c r="J82" s="20" t="s">
        <v>1027</v>
      </c>
      <c r="K82" s="23" t="s">
        <v>1076</v>
      </c>
      <c r="L82" s="60" t="s">
        <v>514</v>
      </c>
      <c r="M82" s="53" t="s">
        <v>993</v>
      </c>
      <c r="O82" s="53">
        <v>10</v>
      </c>
      <c r="T82" s="62"/>
      <c r="U82" s="62"/>
    </row>
    <row r="83" spans="1:21" ht="14.25" x14ac:dyDescent="0.15">
      <c r="A83" s="61" t="s">
        <v>8</v>
      </c>
      <c r="B83" s="18">
        <v>333</v>
      </c>
      <c r="C83" s="62">
        <v>5</v>
      </c>
      <c r="D83" s="62">
        <v>34</v>
      </c>
      <c r="E83" s="62">
        <v>0</v>
      </c>
      <c r="F83" s="60"/>
      <c r="G83" s="58">
        <v>8</v>
      </c>
      <c r="H83" s="62">
        <v>1</v>
      </c>
      <c r="I83" s="62">
        <v>1001</v>
      </c>
      <c r="J83" s="53" t="s">
        <v>1044</v>
      </c>
      <c r="K83" s="23" t="s">
        <v>1081</v>
      </c>
      <c r="L83" s="60" t="s">
        <v>515</v>
      </c>
      <c r="M83" s="53" t="s">
        <v>1098</v>
      </c>
      <c r="O83" s="60">
        <v>10</v>
      </c>
      <c r="T83" s="62"/>
      <c r="U83" s="62"/>
    </row>
    <row r="84" spans="1:21" ht="14.25" x14ac:dyDescent="0.15">
      <c r="A84" s="61" t="s">
        <v>8</v>
      </c>
      <c r="B84" s="18">
        <v>334</v>
      </c>
      <c r="C84" s="62">
        <v>5</v>
      </c>
      <c r="D84" s="62">
        <v>35</v>
      </c>
      <c r="E84" s="62">
        <v>0</v>
      </c>
      <c r="F84" s="60"/>
      <c r="G84" s="58">
        <v>8</v>
      </c>
      <c r="H84" s="62">
        <v>4</v>
      </c>
      <c r="I84" s="62">
        <v>1047</v>
      </c>
      <c r="J84" s="20" t="s">
        <v>1034</v>
      </c>
      <c r="K84" s="23" t="s">
        <v>1082</v>
      </c>
      <c r="L84" s="60" t="s">
        <v>516</v>
      </c>
      <c r="M84" s="60" t="s">
        <v>994</v>
      </c>
      <c r="O84" s="53">
        <v>21</v>
      </c>
      <c r="T84" s="62"/>
      <c r="U84" s="62"/>
    </row>
    <row r="85" spans="1:21" ht="14.25" x14ac:dyDescent="0.15">
      <c r="A85" s="61" t="s">
        <v>8</v>
      </c>
      <c r="B85" s="18">
        <v>335</v>
      </c>
      <c r="C85" s="62">
        <v>5</v>
      </c>
      <c r="D85" s="62">
        <v>36</v>
      </c>
      <c r="E85" s="62">
        <v>0</v>
      </c>
      <c r="F85" s="60"/>
      <c r="G85" s="58">
        <v>8</v>
      </c>
      <c r="H85" s="62">
        <v>20</v>
      </c>
      <c r="I85" s="62">
        <v>1009</v>
      </c>
      <c r="J85" s="20"/>
      <c r="K85" s="23" t="s">
        <v>1083</v>
      </c>
      <c r="L85" s="60" t="s">
        <v>517</v>
      </c>
      <c r="M85" s="53" t="s">
        <v>995</v>
      </c>
      <c r="O85" s="53">
        <v>6</v>
      </c>
      <c r="T85" s="62"/>
      <c r="U85" s="62"/>
    </row>
    <row r="86" spans="1:21" ht="14.25" x14ac:dyDescent="0.15">
      <c r="A86" s="61" t="s">
        <v>8</v>
      </c>
      <c r="B86" s="18">
        <v>336</v>
      </c>
      <c r="C86" s="62">
        <v>5</v>
      </c>
      <c r="D86" s="62">
        <v>37</v>
      </c>
      <c r="E86" s="62">
        <v>0</v>
      </c>
      <c r="G86" s="58">
        <v>8</v>
      </c>
      <c r="H86" s="62">
        <v>15</v>
      </c>
      <c r="I86" s="62">
        <v>1048</v>
      </c>
      <c r="J86" s="20"/>
      <c r="K86" s="23" t="s">
        <v>1084</v>
      </c>
      <c r="L86" s="60" t="s">
        <v>518</v>
      </c>
      <c r="M86" s="53" t="s">
        <v>996</v>
      </c>
      <c r="O86" s="53">
        <v>22</v>
      </c>
      <c r="T86" s="62"/>
      <c r="U86" s="62"/>
    </row>
    <row r="87" spans="1:21" ht="14.25" x14ac:dyDescent="0.15">
      <c r="A87" s="61" t="s">
        <v>8</v>
      </c>
      <c r="B87" s="18">
        <v>337</v>
      </c>
      <c r="C87" s="62">
        <v>5</v>
      </c>
      <c r="D87" s="62">
        <v>38</v>
      </c>
      <c r="E87" s="62">
        <v>0</v>
      </c>
      <c r="G87" s="58">
        <v>8</v>
      </c>
      <c r="H87" s="62">
        <v>20</v>
      </c>
      <c r="I87" s="62">
        <v>1044</v>
      </c>
      <c r="K87" s="23" t="s">
        <v>1085</v>
      </c>
      <c r="L87" s="60" t="s">
        <v>519</v>
      </c>
      <c r="M87" s="53" t="s">
        <v>997</v>
      </c>
      <c r="O87" s="53">
        <v>19</v>
      </c>
      <c r="T87" s="62"/>
      <c r="U87" s="62"/>
    </row>
    <row r="88" spans="1:21" s="58" customFormat="1" ht="14.25" x14ac:dyDescent="0.15">
      <c r="A88" s="61" t="s">
        <v>8</v>
      </c>
      <c r="B88" s="18">
        <v>338</v>
      </c>
      <c r="C88" s="62">
        <v>5</v>
      </c>
      <c r="D88" s="62">
        <v>39</v>
      </c>
      <c r="E88" s="62">
        <v>0</v>
      </c>
      <c r="F88" s="53"/>
      <c r="G88" s="58">
        <v>8</v>
      </c>
      <c r="H88" s="62">
        <v>10</v>
      </c>
      <c r="I88" s="62">
        <v>1047</v>
      </c>
      <c r="J88" s="99" t="s">
        <v>1035</v>
      </c>
      <c r="K88" s="23" t="s">
        <v>1089</v>
      </c>
      <c r="L88" s="60" t="s">
        <v>1062</v>
      </c>
      <c r="M88" s="60" t="s">
        <v>998</v>
      </c>
      <c r="N88" s="60"/>
      <c r="O88" s="60">
        <v>13</v>
      </c>
      <c r="Q88" s="60"/>
      <c r="T88" s="62"/>
      <c r="U88" s="62"/>
    </row>
    <row r="89" spans="1:21" s="58" customFormat="1" ht="14.25" x14ac:dyDescent="0.15">
      <c r="A89" s="61" t="s">
        <v>8</v>
      </c>
      <c r="B89" s="18">
        <v>339</v>
      </c>
      <c r="C89" s="62">
        <v>5</v>
      </c>
      <c r="D89" s="62">
        <v>40</v>
      </c>
      <c r="E89" s="62">
        <v>0</v>
      </c>
      <c r="F89" s="53"/>
      <c r="G89" s="58">
        <v>8</v>
      </c>
      <c r="H89" s="62">
        <v>5</v>
      </c>
      <c r="I89" s="62">
        <v>1036</v>
      </c>
      <c r="J89" s="99" t="s">
        <v>1045</v>
      </c>
      <c r="K89" s="23" t="s">
        <v>1089</v>
      </c>
      <c r="L89" s="60" t="s">
        <v>1063</v>
      </c>
      <c r="M89" s="60" t="s">
        <v>999</v>
      </c>
      <c r="N89" s="60"/>
      <c r="O89" s="60">
        <v>18</v>
      </c>
      <c r="Q89" s="60"/>
      <c r="T89" s="62"/>
      <c r="U89" s="62"/>
    </row>
    <row r="90" spans="1:21" ht="14.25" x14ac:dyDescent="0.15">
      <c r="A90" s="61" t="s">
        <v>8</v>
      </c>
      <c r="B90" s="18">
        <v>340</v>
      </c>
      <c r="C90" s="62">
        <v>5</v>
      </c>
      <c r="D90" s="62">
        <v>41</v>
      </c>
      <c r="E90" s="62">
        <v>0</v>
      </c>
      <c r="G90" s="58">
        <v>8</v>
      </c>
      <c r="H90" s="62">
        <v>300</v>
      </c>
      <c r="I90" s="62">
        <v>1016</v>
      </c>
      <c r="J90" s="20" t="s">
        <v>1046</v>
      </c>
      <c r="K90" s="23" t="s">
        <v>1075</v>
      </c>
      <c r="L90" s="53" t="s">
        <v>520</v>
      </c>
      <c r="M90" s="53" t="s">
        <v>1000</v>
      </c>
      <c r="O90" s="53" t="s">
        <v>1001</v>
      </c>
      <c r="T90" s="62"/>
      <c r="U90" s="62"/>
    </row>
    <row r="91" spans="1:21" ht="14.25" x14ac:dyDescent="0.15">
      <c r="A91" s="61" t="s">
        <v>8</v>
      </c>
      <c r="B91" s="18">
        <v>341</v>
      </c>
      <c r="C91" s="62">
        <v>5</v>
      </c>
      <c r="D91" s="62">
        <v>42</v>
      </c>
      <c r="E91" s="62">
        <v>0</v>
      </c>
      <c r="G91" s="58">
        <v>8</v>
      </c>
      <c r="H91" s="62">
        <v>300</v>
      </c>
      <c r="I91" s="62">
        <v>1016</v>
      </c>
      <c r="J91" s="20" t="s">
        <v>1047</v>
      </c>
      <c r="K91" s="23" t="s">
        <v>1075</v>
      </c>
      <c r="L91" s="60" t="s">
        <v>521</v>
      </c>
      <c r="M91" s="53" t="s">
        <v>1002</v>
      </c>
      <c r="O91" s="53" t="s">
        <v>1003</v>
      </c>
      <c r="T91" s="62"/>
      <c r="U91" s="62"/>
    </row>
    <row r="92" spans="1:21" ht="14.25" x14ac:dyDescent="0.15">
      <c r="A92" s="61" t="s">
        <v>8</v>
      </c>
      <c r="B92" s="18">
        <v>342</v>
      </c>
      <c r="C92" s="62">
        <v>5</v>
      </c>
      <c r="D92" s="62">
        <v>43</v>
      </c>
      <c r="E92" s="62">
        <v>0</v>
      </c>
      <c r="G92" s="58">
        <v>8</v>
      </c>
      <c r="H92" s="62">
        <v>40000</v>
      </c>
      <c r="I92" s="62">
        <v>1025</v>
      </c>
      <c r="J92" s="53" t="s">
        <v>1027</v>
      </c>
      <c r="K92" s="23" t="s">
        <v>1076</v>
      </c>
      <c r="L92" s="60" t="s">
        <v>522</v>
      </c>
      <c r="M92" s="53" t="s">
        <v>1004</v>
      </c>
      <c r="O92" s="53">
        <v>10</v>
      </c>
      <c r="T92" s="62"/>
      <c r="U92" s="62"/>
    </row>
    <row r="93" spans="1:21" ht="14.25" x14ac:dyDescent="0.15">
      <c r="A93" s="61" t="s">
        <v>8</v>
      </c>
      <c r="B93" s="18">
        <v>343</v>
      </c>
      <c r="C93" s="62">
        <v>5</v>
      </c>
      <c r="D93" s="62">
        <v>44</v>
      </c>
      <c r="E93" s="62">
        <v>0</v>
      </c>
      <c r="G93" s="58">
        <v>8</v>
      </c>
      <c r="H93" s="62">
        <v>30</v>
      </c>
      <c r="I93" s="62">
        <v>1024</v>
      </c>
      <c r="J93" s="20"/>
      <c r="K93" s="23" t="s">
        <v>1075</v>
      </c>
      <c r="L93" s="60" t="s">
        <v>523</v>
      </c>
      <c r="M93" s="53" t="s">
        <v>1005</v>
      </c>
      <c r="O93" s="53">
        <v>10</v>
      </c>
      <c r="T93" s="62"/>
      <c r="U93" s="62"/>
    </row>
    <row r="94" spans="1:21" ht="14.25" x14ac:dyDescent="0.15">
      <c r="A94" s="61" t="s">
        <v>8</v>
      </c>
      <c r="B94" s="18">
        <v>344</v>
      </c>
      <c r="C94" s="62">
        <v>5</v>
      </c>
      <c r="D94" s="62">
        <v>45</v>
      </c>
      <c r="E94" s="62">
        <v>0</v>
      </c>
      <c r="G94" s="58">
        <v>8</v>
      </c>
      <c r="H94" s="62">
        <v>18</v>
      </c>
      <c r="I94" s="62">
        <v>1040</v>
      </c>
      <c r="J94" s="20" t="s">
        <v>1039</v>
      </c>
      <c r="K94" s="23" t="s">
        <v>1079</v>
      </c>
      <c r="L94" s="60" t="s">
        <v>524</v>
      </c>
      <c r="M94" s="53" t="s">
        <v>1006</v>
      </c>
      <c r="O94" s="53">
        <v>11</v>
      </c>
      <c r="T94" s="62"/>
      <c r="U94" s="62"/>
    </row>
    <row r="95" spans="1:21" ht="14.25" x14ac:dyDescent="0.15">
      <c r="A95" s="61" t="s">
        <v>8</v>
      </c>
      <c r="B95" s="18">
        <v>345</v>
      </c>
      <c r="C95" s="62">
        <v>5</v>
      </c>
      <c r="D95" s="62">
        <v>46</v>
      </c>
      <c r="E95" s="62">
        <v>0</v>
      </c>
      <c r="G95" s="58">
        <v>8</v>
      </c>
      <c r="H95" s="62">
        <v>6</v>
      </c>
      <c r="I95" s="62">
        <v>1008</v>
      </c>
      <c r="J95" s="53" t="s">
        <v>1048</v>
      </c>
      <c r="K95" s="23" t="s">
        <v>1090</v>
      </c>
      <c r="L95" s="60" t="s">
        <v>525</v>
      </c>
      <c r="M95" s="53" t="s">
        <v>1110</v>
      </c>
      <c r="O95" s="53">
        <v>17</v>
      </c>
      <c r="T95" s="62"/>
      <c r="U95" s="62"/>
    </row>
    <row r="96" spans="1:21" ht="14.25" x14ac:dyDescent="0.15">
      <c r="A96" s="61" t="s">
        <v>8</v>
      </c>
      <c r="B96" s="18">
        <v>346</v>
      </c>
      <c r="C96" s="62">
        <v>5</v>
      </c>
      <c r="D96" s="62">
        <v>47</v>
      </c>
      <c r="E96" s="62">
        <v>0</v>
      </c>
      <c r="G96" s="58">
        <v>8</v>
      </c>
      <c r="H96" s="58">
        <v>1</v>
      </c>
      <c r="I96" s="62">
        <v>1043</v>
      </c>
      <c r="J96" s="53" t="s">
        <v>1049</v>
      </c>
      <c r="K96" s="23" t="s">
        <v>1091</v>
      </c>
      <c r="L96" s="60" t="s">
        <v>526</v>
      </c>
      <c r="M96" s="53" t="s">
        <v>1007</v>
      </c>
      <c r="O96" s="53">
        <v>17</v>
      </c>
      <c r="T96" s="62"/>
      <c r="U96" s="62"/>
    </row>
    <row r="97" spans="1:21" ht="14.25" x14ac:dyDescent="0.15">
      <c r="A97" s="61" t="s">
        <v>8</v>
      </c>
      <c r="B97" s="18">
        <v>347</v>
      </c>
      <c r="C97" s="62">
        <v>5</v>
      </c>
      <c r="D97" s="62">
        <v>48</v>
      </c>
      <c r="E97" s="62">
        <v>0</v>
      </c>
      <c r="G97" s="58">
        <v>8</v>
      </c>
      <c r="H97" s="58">
        <v>1</v>
      </c>
      <c r="I97" s="62">
        <v>1018</v>
      </c>
      <c r="J97" s="20" t="s">
        <v>1050</v>
      </c>
      <c r="K97" s="23" t="s">
        <v>1081</v>
      </c>
      <c r="L97" s="60" t="s">
        <v>527</v>
      </c>
      <c r="M97" s="53" t="s">
        <v>1101</v>
      </c>
      <c r="O97" s="53">
        <v>7</v>
      </c>
      <c r="T97" s="62"/>
      <c r="U97" s="62"/>
    </row>
    <row r="98" spans="1:21" s="58" customFormat="1" ht="14.25" x14ac:dyDescent="0.15">
      <c r="A98" s="61" t="s">
        <v>8</v>
      </c>
      <c r="B98" s="18">
        <v>348</v>
      </c>
      <c r="C98" s="62">
        <v>5</v>
      </c>
      <c r="D98" s="62">
        <v>49</v>
      </c>
      <c r="E98" s="62">
        <v>0</v>
      </c>
      <c r="F98" s="53"/>
      <c r="G98" s="58">
        <v>8</v>
      </c>
      <c r="H98" s="58">
        <v>30</v>
      </c>
      <c r="I98" s="62">
        <v>1039</v>
      </c>
      <c r="J98" s="20"/>
      <c r="K98" s="23" t="s">
        <v>1088</v>
      </c>
      <c r="L98" s="60" t="s">
        <v>1064</v>
      </c>
      <c r="M98" s="60" t="s">
        <v>1008</v>
      </c>
      <c r="N98" s="60"/>
      <c r="O98" s="60">
        <v>10</v>
      </c>
      <c r="Q98" s="60"/>
      <c r="T98" s="62"/>
      <c r="U98" s="62"/>
    </row>
    <row r="99" spans="1:21" s="58" customFormat="1" ht="14.25" x14ac:dyDescent="0.15">
      <c r="A99" s="61" t="s">
        <v>8</v>
      </c>
      <c r="B99" s="18">
        <v>349</v>
      </c>
      <c r="C99" s="62">
        <v>5</v>
      </c>
      <c r="D99" s="62">
        <v>50</v>
      </c>
      <c r="E99" s="62">
        <v>0</v>
      </c>
      <c r="F99" s="53"/>
      <c r="G99" s="58">
        <v>8</v>
      </c>
      <c r="H99" s="58">
        <v>30</v>
      </c>
      <c r="I99" s="62">
        <v>1047</v>
      </c>
      <c r="J99" s="20" t="s">
        <v>1029</v>
      </c>
      <c r="K99" s="23" t="s">
        <v>1090</v>
      </c>
      <c r="L99" s="60" t="s">
        <v>1065</v>
      </c>
      <c r="M99" s="60" t="s">
        <v>1106</v>
      </c>
      <c r="N99" s="60"/>
      <c r="O99" s="60">
        <v>20</v>
      </c>
      <c r="Q99" s="60"/>
      <c r="T99" s="62"/>
      <c r="U99" s="62"/>
    </row>
    <row r="100" spans="1:21" ht="14.25" x14ac:dyDescent="0.15">
      <c r="A100" s="61" t="s">
        <v>8</v>
      </c>
      <c r="B100" s="18">
        <v>350</v>
      </c>
      <c r="C100" s="62">
        <v>5</v>
      </c>
      <c r="D100" s="62">
        <v>51</v>
      </c>
      <c r="E100" s="62">
        <v>0</v>
      </c>
      <c r="F100" s="60"/>
      <c r="G100" s="58">
        <v>8</v>
      </c>
      <c r="H100" s="58">
        <v>300</v>
      </c>
      <c r="I100" s="62">
        <v>1016</v>
      </c>
      <c r="J100" s="20" t="s">
        <v>1051</v>
      </c>
      <c r="K100" s="23" t="s">
        <v>1075</v>
      </c>
      <c r="L100" s="53" t="s">
        <v>528</v>
      </c>
      <c r="M100" s="53" t="s">
        <v>1009</v>
      </c>
      <c r="O100" s="60" t="s">
        <v>1010</v>
      </c>
      <c r="T100" s="62"/>
      <c r="U100" s="62"/>
    </row>
    <row r="101" spans="1:21" ht="14.25" x14ac:dyDescent="0.15">
      <c r="A101" s="61" t="s">
        <v>8</v>
      </c>
      <c r="B101" s="18">
        <v>351</v>
      </c>
      <c r="C101" s="62">
        <v>5</v>
      </c>
      <c r="D101" s="62">
        <v>52</v>
      </c>
      <c r="E101" s="62">
        <v>0</v>
      </c>
      <c r="F101" s="60"/>
      <c r="G101" s="58">
        <v>8</v>
      </c>
      <c r="H101" s="58">
        <v>300</v>
      </c>
      <c r="I101" s="62">
        <v>1016</v>
      </c>
      <c r="J101" s="20" t="s">
        <v>1052</v>
      </c>
      <c r="K101" s="23" t="s">
        <v>1075</v>
      </c>
      <c r="L101" s="60" t="s">
        <v>529</v>
      </c>
      <c r="M101" s="53" t="s">
        <v>1011</v>
      </c>
      <c r="O101" s="60" t="s">
        <v>1003</v>
      </c>
      <c r="T101" s="62"/>
      <c r="U101" s="62"/>
    </row>
    <row r="102" spans="1:21" ht="14.25" x14ac:dyDescent="0.15">
      <c r="A102" s="61" t="s">
        <v>8</v>
      </c>
      <c r="B102" s="18">
        <v>352</v>
      </c>
      <c r="C102" s="62">
        <v>5</v>
      </c>
      <c r="D102" s="62">
        <v>53</v>
      </c>
      <c r="E102" s="62">
        <v>0</v>
      </c>
      <c r="G102" s="58">
        <v>8</v>
      </c>
      <c r="H102" s="62">
        <v>50000</v>
      </c>
      <c r="I102" s="62">
        <v>1025</v>
      </c>
      <c r="J102" s="20" t="s">
        <v>1027</v>
      </c>
      <c r="K102" s="23" t="s">
        <v>1076</v>
      </c>
      <c r="L102" s="60" t="s">
        <v>530</v>
      </c>
      <c r="M102" s="53" t="s">
        <v>1012</v>
      </c>
      <c r="O102" s="53">
        <v>10</v>
      </c>
      <c r="T102" s="62"/>
      <c r="U102" s="62"/>
    </row>
    <row r="103" spans="1:21" ht="14.25" x14ac:dyDescent="0.15">
      <c r="A103" s="61" t="s">
        <v>8</v>
      </c>
      <c r="B103" s="18">
        <v>353</v>
      </c>
      <c r="C103" s="62">
        <v>5</v>
      </c>
      <c r="D103" s="62">
        <v>54</v>
      </c>
      <c r="E103" s="62">
        <v>0</v>
      </c>
      <c r="G103" s="58">
        <v>8</v>
      </c>
      <c r="H103" s="62">
        <v>1</v>
      </c>
      <c r="I103" s="62">
        <v>1001</v>
      </c>
      <c r="J103" s="53" t="s">
        <v>1053</v>
      </c>
      <c r="K103" s="23" t="s">
        <v>1081</v>
      </c>
      <c r="L103" s="60" t="s">
        <v>531</v>
      </c>
      <c r="M103" s="53" t="s">
        <v>1094</v>
      </c>
      <c r="O103" s="60">
        <v>10</v>
      </c>
      <c r="T103" s="62"/>
      <c r="U103" s="62"/>
    </row>
    <row r="104" spans="1:21" ht="14.25" x14ac:dyDescent="0.15">
      <c r="A104" s="61" t="s">
        <v>8</v>
      </c>
      <c r="B104" s="18">
        <v>354</v>
      </c>
      <c r="C104" s="62">
        <v>5</v>
      </c>
      <c r="D104" s="62">
        <v>55</v>
      </c>
      <c r="E104" s="62">
        <v>0</v>
      </c>
      <c r="G104" s="58">
        <v>8</v>
      </c>
      <c r="H104" s="62">
        <v>5</v>
      </c>
      <c r="I104" s="62">
        <v>1047</v>
      </c>
      <c r="J104" s="20" t="s">
        <v>1034</v>
      </c>
      <c r="K104" s="23" t="s">
        <v>1082</v>
      </c>
      <c r="L104" s="60" t="s">
        <v>532</v>
      </c>
      <c r="M104" s="53" t="s">
        <v>1013</v>
      </c>
      <c r="O104" s="53">
        <v>21</v>
      </c>
      <c r="T104" s="62"/>
      <c r="U104" s="62"/>
    </row>
    <row r="105" spans="1:21" ht="14.25" x14ac:dyDescent="0.15">
      <c r="A105" s="61" t="s">
        <v>8</v>
      </c>
      <c r="B105" s="18">
        <v>355</v>
      </c>
      <c r="C105" s="62">
        <v>5</v>
      </c>
      <c r="D105" s="62">
        <v>56</v>
      </c>
      <c r="E105" s="62">
        <v>0</v>
      </c>
      <c r="G105" s="58">
        <v>8</v>
      </c>
      <c r="H105" s="62">
        <v>30</v>
      </c>
      <c r="I105" s="62">
        <v>1009</v>
      </c>
      <c r="K105" s="23" t="s">
        <v>1083</v>
      </c>
      <c r="L105" s="60" t="s">
        <v>533</v>
      </c>
      <c r="M105" s="53" t="s">
        <v>1014</v>
      </c>
      <c r="O105" s="53">
        <v>6</v>
      </c>
      <c r="T105" s="62"/>
      <c r="U105" s="62"/>
    </row>
    <row r="106" spans="1:21" ht="14.25" x14ac:dyDescent="0.15">
      <c r="A106" s="61" t="s">
        <v>8</v>
      </c>
      <c r="B106" s="18">
        <v>356</v>
      </c>
      <c r="C106" s="62">
        <v>5</v>
      </c>
      <c r="D106" s="62">
        <v>57</v>
      </c>
      <c r="E106" s="62">
        <v>0</v>
      </c>
      <c r="G106" s="58">
        <v>8</v>
      </c>
      <c r="H106" s="58">
        <v>25</v>
      </c>
      <c r="I106" s="62">
        <v>1048</v>
      </c>
      <c r="K106" s="23" t="s">
        <v>1084</v>
      </c>
      <c r="L106" s="60" t="s">
        <v>534</v>
      </c>
      <c r="M106" s="53" t="s">
        <v>1015</v>
      </c>
      <c r="O106" s="53">
        <v>22</v>
      </c>
      <c r="T106" s="62"/>
      <c r="U106" s="62"/>
    </row>
    <row r="107" spans="1:21" ht="14.25" x14ac:dyDescent="0.15">
      <c r="A107" s="61" t="s">
        <v>8</v>
      </c>
      <c r="B107" s="18">
        <v>357</v>
      </c>
      <c r="C107" s="62">
        <v>5</v>
      </c>
      <c r="D107" s="62">
        <v>58</v>
      </c>
      <c r="E107" s="62">
        <v>0</v>
      </c>
      <c r="G107" s="58">
        <v>8</v>
      </c>
      <c r="H107" s="62">
        <v>30</v>
      </c>
      <c r="I107" s="62">
        <v>1044</v>
      </c>
      <c r="K107" s="23" t="s">
        <v>1085</v>
      </c>
      <c r="L107" s="60" t="s">
        <v>535</v>
      </c>
      <c r="M107" s="53" t="s">
        <v>1016</v>
      </c>
      <c r="O107" s="53">
        <v>19</v>
      </c>
      <c r="T107" s="62"/>
      <c r="U107" s="62"/>
    </row>
    <row r="108" spans="1:21" s="58" customFormat="1" ht="14.25" x14ac:dyDescent="0.15">
      <c r="A108" s="61" t="s">
        <v>8</v>
      </c>
      <c r="B108" s="18">
        <v>358</v>
      </c>
      <c r="C108" s="62">
        <v>5</v>
      </c>
      <c r="D108" s="62">
        <v>59</v>
      </c>
      <c r="E108" s="62">
        <v>0</v>
      </c>
      <c r="F108" s="53"/>
      <c r="G108" s="58">
        <v>8</v>
      </c>
      <c r="H108" s="62">
        <v>20</v>
      </c>
      <c r="I108" s="62">
        <v>1047</v>
      </c>
      <c r="J108" s="99" t="s">
        <v>1035</v>
      </c>
      <c r="K108" s="23" t="s">
        <v>1092</v>
      </c>
      <c r="L108" s="60" t="s">
        <v>1066</v>
      </c>
      <c r="M108" s="60" t="s">
        <v>1017</v>
      </c>
      <c r="N108" s="60"/>
      <c r="O108" s="60">
        <v>13</v>
      </c>
      <c r="Q108" s="60"/>
      <c r="T108" s="62"/>
      <c r="U108" s="62"/>
    </row>
    <row r="109" spans="1:21" s="58" customFormat="1" ht="14.25" x14ac:dyDescent="0.15">
      <c r="A109" s="61" t="s">
        <v>8</v>
      </c>
      <c r="B109" s="18">
        <v>359</v>
      </c>
      <c r="C109" s="62">
        <v>5</v>
      </c>
      <c r="D109" s="62">
        <v>60</v>
      </c>
      <c r="E109" s="62">
        <v>0</v>
      </c>
      <c r="F109" s="53"/>
      <c r="G109" s="58">
        <v>8</v>
      </c>
      <c r="H109" s="62">
        <v>5</v>
      </c>
      <c r="I109" s="62">
        <v>1036</v>
      </c>
      <c r="J109" s="99" t="s">
        <v>1054</v>
      </c>
      <c r="K109" s="23" t="s">
        <v>1092</v>
      </c>
      <c r="L109" s="60" t="s">
        <v>1067</v>
      </c>
      <c r="M109" s="60" t="s">
        <v>1018</v>
      </c>
      <c r="N109" s="60"/>
      <c r="O109" s="60">
        <v>18</v>
      </c>
      <c r="Q109" s="60"/>
      <c r="T109" s="62"/>
      <c r="U109" s="62"/>
    </row>
    <row r="110" spans="1:21" ht="14.25" x14ac:dyDescent="0.15">
      <c r="A110" s="61" t="s">
        <v>8</v>
      </c>
      <c r="B110" s="18">
        <v>360</v>
      </c>
      <c r="C110" s="62">
        <v>5</v>
      </c>
      <c r="D110" s="62">
        <v>61</v>
      </c>
      <c r="E110" s="62">
        <v>0</v>
      </c>
      <c r="F110" s="60"/>
      <c r="G110" s="58">
        <v>8</v>
      </c>
      <c r="H110" s="62">
        <v>300</v>
      </c>
      <c r="I110" s="62">
        <v>1016</v>
      </c>
      <c r="J110" s="20" t="s">
        <v>1055</v>
      </c>
      <c r="K110" s="23" t="s">
        <v>1075</v>
      </c>
      <c r="L110" s="53" t="s">
        <v>536</v>
      </c>
      <c r="M110" s="53" t="s">
        <v>1019</v>
      </c>
      <c r="O110" s="60" t="s">
        <v>1003</v>
      </c>
      <c r="T110" s="62"/>
      <c r="U110" s="62"/>
    </row>
    <row r="111" spans="1:21" ht="14.25" x14ac:dyDescent="0.15">
      <c r="A111" s="61" t="s">
        <v>8</v>
      </c>
      <c r="B111" s="18">
        <v>361</v>
      </c>
      <c r="C111" s="62">
        <v>5</v>
      </c>
      <c r="D111" s="62">
        <v>62</v>
      </c>
      <c r="E111" s="62">
        <v>0</v>
      </c>
      <c r="F111" s="60"/>
      <c r="G111" s="58">
        <v>8</v>
      </c>
      <c r="H111" s="58">
        <v>300</v>
      </c>
      <c r="I111" s="62">
        <v>1016</v>
      </c>
      <c r="J111" s="20" t="s">
        <v>1056</v>
      </c>
      <c r="K111" s="23" t="s">
        <v>1075</v>
      </c>
      <c r="L111" s="60" t="s">
        <v>537</v>
      </c>
      <c r="M111" s="53" t="s">
        <v>1020</v>
      </c>
      <c r="O111" s="60" t="s">
        <v>1003</v>
      </c>
      <c r="T111" s="62"/>
      <c r="U111" s="62"/>
    </row>
    <row r="112" spans="1:21" ht="14.25" x14ac:dyDescent="0.15">
      <c r="A112" s="61" t="s">
        <v>8</v>
      </c>
      <c r="B112" s="18">
        <v>362</v>
      </c>
      <c r="C112" s="62">
        <v>5</v>
      </c>
      <c r="D112" s="62">
        <v>63</v>
      </c>
      <c r="E112" s="62">
        <v>0</v>
      </c>
      <c r="F112" s="60"/>
      <c r="G112" s="58">
        <v>8</v>
      </c>
      <c r="H112" s="58">
        <v>60000</v>
      </c>
      <c r="I112" s="62">
        <v>1025</v>
      </c>
      <c r="J112" s="20" t="s">
        <v>1027</v>
      </c>
      <c r="K112" s="52" t="s">
        <v>1076</v>
      </c>
      <c r="L112" s="60" t="s">
        <v>538</v>
      </c>
      <c r="M112" s="53" t="s">
        <v>1021</v>
      </c>
      <c r="O112" s="60">
        <v>10</v>
      </c>
      <c r="T112" s="62"/>
      <c r="U112" s="62"/>
    </row>
    <row r="113" spans="1:21" ht="14.25" x14ac:dyDescent="0.15">
      <c r="A113" s="61" t="s">
        <v>8</v>
      </c>
      <c r="B113" s="18">
        <v>363</v>
      </c>
      <c r="C113" s="62">
        <v>5</v>
      </c>
      <c r="D113" s="62">
        <v>64</v>
      </c>
      <c r="E113" s="62">
        <v>0</v>
      </c>
      <c r="F113" s="60"/>
      <c r="G113" s="58">
        <v>8</v>
      </c>
      <c r="H113" s="62">
        <v>50</v>
      </c>
      <c r="I113" s="62">
        <v>1024</v>
      </c>
      <c r="J113" s="20"/>
      <c r="K113" s="52" t="s">
        <v>1075</v>
      </c>
      <c r="L113" s="60" t="s">
        <v>539</v>
      </c>
      <c r="M113" s="53" t="s">
        <v>1022</v>
      </c>
      <c r="O113" s="53">
        <v>10</v>
      </c>
      <c r="T113" s="62"/>
      <c r="U113" s="62"/>
    </row>
    <row r="114" spans="1:21" ht="14.25" x14ac:dyDescent="0.15">
      <c r="A114" s="61" t="s">
        <v>8</v>
      </c>
      <c r="B114" s="18">
        <v>364</v>
      </c>
      <c r="C114" s="62">
        <v>5</v>
      </c>
      <c r="D114" s="62">
        <v>65</v>
      </c>
      <c r="E114" s="62">
        <v>0</v>
      </c>
      <c r="F114" s="60"/>
      <c r="G114" s="58">
        <v>8</v>
      </c>
      <c r="H114" s="62">
        <v>24</v>
      </c>
      <c r="I114" s="62">
        <v>1040</v>
      </c>
      <c r="J114" s="53" t="s">
        <v>1039</v>
      </c>
      <c r="K114" s="52" t="s">
        <v>1079</v>
      </c>
      <c r="L114" s="60" t="s">
        <v>540</v>
      </c>
      <c r="M114" s="53" t="s">
        <v>1023</v>
      </c>
      <c r="O114" s="60">
        <v>11</v>
      </c>
      <c r="T114" s="62"/>
      <c r="U114" s="62"/>
    </row>
    <row r="115" spans="1:21" ht="14.25" x14ac:dyDescent="0.15">
      <c r="A115" s="61" t="s">
        <v>8</v>
      </c>
      <c r="B115" s="18">
        <v>365</v>
      </c>
      <c r="C115" s="62">
        <v>5</v>
      </c>
      <c r="D115" s="62">
        <v>66</v>
      </c>
      <c r="E115" s="62">
        <v>0</v>
      </c>
      <c r="F115" s="60"/>
      <c r="G115" s="58">
        <v>8</v>
      </c>
      <c r="H115" s="58">
        <v>6</v>
      </c>
      <c r="I115" s="62">
        <v>1008</v>
      </c>
      <c r="J115" s="53" t="s">
        <v>1057</v>
      </c>
      <c r="K115" s="52" t="s">
        <v>1093</v>
      </c>
      <c r="L115" s="60" t="s">
        <v>541</v>
      </c>
      <c r="M115" s="53" t="s">
        <v>1095</v>
      </c>
      <c r="O115" s="60">
        <v>17</v>
      </c>
      <c r="T115" s="62"/>
      <c r="U115" s="62"/>
    </row>
    <row r="116" spans="1:21" ht="14.25" x14ac:dyDescent="0.15">
      <c r="A116" s="61" t="s">
        <v>8</v>
      </c>
      <c r="B116" s="18">
        <v>366</v>
      </c>
      <c r="C116" s="62">
        <v>5</v>
      </c>
      <c r="D116" s="62">
        <v>67</v>
      </c>
      <c r="E116" s="62">
        <v>0</v>
      </c>
      <c r="F116" s="60"/>
      <c r="G116" s="58">
        <v>8</v>
      </c>
      <c r="H116" s="62">
        <v>10</v>
      </c>
      <c r="I116" s="62">
        <v>1027</v>
      </c>
      <c r="J116" s="20"/>
      <c r="K116" s="52" t="s">
        <v>1080</v>
      </c>
      <c r="L116" s="60" t="s">
        <v>542</v>
      </c>
      <c r="M116" s="53" t="s">
        <v>1024</v>
      </c>
      <c r="O116" s="53">
        <v>8</v>
      </c>
      <c r="T116" s="62"/>
      <c r="U116" s="62"/>
    </row>
    <row r="117" spans="1:21" ht="14.25" x14ac:dyDescent="0.15">
      <c r="A117" s="61" t="s">
        <v>8</v>
      </c>
      <c r="B117" s="18">
        <v>367</v>
      </c>
      <c r="C117" s="62">
        <v>5</v>
      </c>
      <c r="D117" s="62">
        <v>68</v>
      </c>
      <c r="E117" s="62">
        <v>0</v>
      </c>
      <c r="F117" s="60"/>
      <c r="G117" s="58">
        <v>8</v>
      </c>
      <c r="H117" s="62">
        <v>1</v>
      </c>
      <c r="I117" s="62">
        <v>1018</v>
      </c>
      <c r="J117" s="20" t="s">
        <v>1058</v>
      </c>
      <c r="K117" s="52" t="s">
        <v>1081</v>
      </c>
      <c r="L117" s="60" t="s">
        <v>543</v>
      </c>
      <c r="M117" s="53" t="s">
        <v>1102</v>
      </c>
      <c r="O117" s="53">
        <v>7</v>
      </c>
      <c r="T117" s="62"/>
      <c r="U117" s="62"/>
    </row>
    <row r="118" spans="1:21" ht="14.25" x14ac:dyDescent="0.15">
      <c r="A118" s="61" t="s">
        <v>8</v>
      </c>
      <c r="B118" s="18">
        <v>368</v>
      </c>
      <c r="C118" s="62">
        <v>5</v>
      </c>
      <c r="D118" s="62">
        <v>69</v>
      </c>
      <c r="E118" s="62">
        <v>0</v>
      </c>
      <c r="F118" s="60"/>
      <c r="G118" s="58">
        <v>8</v>
      </c>
      <c r="H118" s="53">
        <v>40</v>
      </c>
      <c r="I118" s="53">
        <v>1044</v>
      </c>
      <c r="K118" s="52" t="s">
        <v>1085</v>
      </c>
      <c r="L118" s="60" t="s">
        <v>1068</v>
      </c>
      <c r="M118" s="53" t="s">
        <v>1025</v>
      </c>
      <c r="O118" s="53">
        <v>19</v>
      </c>
    </row>
    <row r="119" spans="1:21" ht="14.25" x14ac:dyDescent="0.15">
      <c r="A119" s="61" t="s">
        <v>8</v>
      </c>
      <c r="B119" s="18">
        <v>369</v>
      </c>
      <c r="C119" s="62">
        <v>5</v>
      </c>
      <c r="D119" s="62">
        <v>70</v>
      </c>
      <c r="E119" s="62">
        <v>0</v>
      </c>
      <c r="F119" s="60"/>
      <c r="G119" s="58">
        <v>8</v>
      </c>
      <c r="H119" s="53">
        <v>40</v>
      </c>
      <c r="I119" s="53">
        <v>1047</v>
      </c>
      <c r="J119" s="53" t="s">
        <v>1029</v>
      </c>
      <c r="K119" s="52" t="s">
        <v>1093</v>
      </c>
      <c r="L119" s="60" t="s">
        <v>1069</v>
      </c>
      <c r="M119" s="53" t="s">
        <v>1096</v>
      </c>
      <c r="O119" s="53">
        <v>20</v>
      </c>
    </row>
  </sheetData>
  <autoFilter ref="A9:U117"/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79"/>
  <sheetViews>
    <sheetView workbookViewId="0">
      <pane ySplit="8" topLeftCell="A51" activePane="bottomLeft" state="frozen"/>
      <selection pane="bottomLeft"/>
    </sheetView>
  </sheetViews>
  <sheetFormatPr defaultColWidth="9" defaultRowHeight="13.5" x14ac:dyDescent="0.15"/>
  <cols>
    <col min="1" max="1" width="9" style="58" customWidth="1"/>
    <col min="2" max="2" width="10.625" style="60" customWidth="1"/>
    <col min="3" max="3" width="16.625" style="60" customWidth="1"/>
    <col min="4" max="4" width="27.25" style="60" customWidth="1"/>
    <col min="5" max="5" width="12" style="58" customWidth="1"/>
    <col min="6" max="6" width="15.125" style="58" customWidth="1"/>
    <col min="7" max="16384" width="9" style="58"/>
  </cols>
  <sheetData>
    <row r="1" spans="1:14" s="57" customFormat="1" x14ac:dyDescent="0.15">
      <c r="A1" s="59" t="s">
        <v>15</v>
      </c>
      <c r="B1" s="57" t="s">
        <v>12</v>
      </c>
      <c r="C1" s="57" t="s">
        <v>12</v>
      </c>
    </row>
    <row r="2" spans="1:14" s="57" customFormat="1" x14ac:dyDescent="0.15">
      <c r="A2" s="59" t="s">
        <v>14</v>
      </c>
      <c r="B2" s="57" t="s">
        <v>8</v>
      </c>
      <c r="C2" s="57" t="s">
        <v>8</v>
      </c>
    </row>
    <row r="3" spans="1:14" s="2" customFormat="1" ht="14.25" x14ac:dyDescent="0.15">
      <c r="A3" s="16" t="s">
        <v>8</v>
      </c>
      <c r="B3" s="16" t="s">
        <v>9</v>
      </c>
      <c r="C3" s="16" t="s">
        <v>9</v>
      </c>
      <c r="D3" s="16"/>
      <c r="E3" s="16"/>
      <c r="F3" s="16"/>
    </row>
    <row r="4" spans="1:14" s="2" customFormat="1" ht="14.25" x14ac:dyDescent="0.15">
      <c r="A4" s="16"/>
      <c r="B4" s="16" t="s">
        <v>11</v>
      </c>
      <c r="C4" s="16" t="s">
        <v>305</v>
      </c>
      <c r="D4" s="16"/>
      <c r="E4" s="16"/>
      <c r="F4" s="16"/>
    </row>
    <row r="5" spans="1:14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i</v>
      </c>
      <c r="D5" s="16"/>
      <c r="E5" s="16"/>
      <c r="F5" s="16"/>
    </row>
    <row r="6" spans="1:14" s="2" customFormat="1" ht="14.25" x14ac:dyDescent="0.15">
      <c r="A6" s="16" t="s">
        <v>8</v>
      </c>
      <c r="B6" s="16" t="str">
        <f>B5&amp;B4</f>
        <v>iID</v>
      </c>
      <c r="C6" s="16" t="str">
        <f>C5&amp;C4</f>
        <v>iOpenDay</v>
      </c>
      <c r="D6" s="16"/>
      <c r="E6" s="16"/>
      <c r="F6" s="16"/>
    </row>
    <row r="7" spans="1:14" s="35" customFormat="1" ht="14.25" x14ac:dyDescent="0.15">
      <c r="A7" s="16"/>
      <c r="B7" s="16" t="s">
        <v>46</v>
      </c>
      <c r="C7" s="16" t="s">
        <v>308</v>
      </c>
      <c r="D7" s="16"/>
      <c r="E7" s="16"/>
      <c r="F7" s="16"/>
    </row>
    <row r="8" spans="1:14" s="35" customFormat="1" ht="14.25" x14ac:dyDescent="0.15">
      <c r="A8" s="16" t="s">
        <v>10</v>
      </c>
      <c r="B8" s="16" t="e">
        <f>MODE(B10:B967)</f>
        <v>#N/A</v>
      </c>
      <c r="C8" s="16">
        <f>MODE(C10:C966)</f>
        <v>1</v>
      </c>
      <c r="D8" s="16"/>
    </row>
    <row r="9" spans="1:14" s="26" customFormat="1" ht="14.25" x14ac:dyDescent="0.15">
      <c r="A9" s="72"/>
      <c r="B9" s="72"/>
      <c r="C9" s="72"/>
      <c r="D9" s="72"/>
      <c r="E9" s="73"/>
      <c r="F9" s="74"/>
    </row>
    <row r="10" spans="1:14" ht="14.25" x14ac:dyDescent="0.15">
      <c r="A10" s="61" t="s">
        <v>8</v>
      </c>
      <c r="B10" s="18">
        <v>300</v>
      </c>
      <c r="C10" s="18">
        <v>1</v>
      </c>
      <c r="D10" s="62"/>
      <c r="E10" s="7"/>
      <c r="F10" s="8"/>
    </row>
    <row r="11" spans="1:14" ht="14.25" x14ac:dyDescent="0.15">
      <c r="A11" s="61" t="s">
        <v>8</v>
      </c>
      <c r="B11" s="18">
        <v>301</v>
      </c>
      <c r="C11" s="18">
        <v>1</v>
      </c>
      <c r="E11" s="7"/>
      <c r="F11" s="8"/>
    </row>
    <row r="12" spans="1:14" ht="14.25" x14ac:dyDescent="0.15">
      <c r="A12" s="61" t="s">
        <v>8</v>
      </c>
      <c r="B12" s="18">
        <v>302</v>
      </c>
      <c r="C12" s="18">
        <v>1</v>
      </c>
      <c r="E12" s="7"/>
      <c r="F12" s="8"/>
    </row>
    <row r="13" spans="1:14" ht="14.25" x14ac:dyDescent="0.15">
      <c r="A13" s="61" t="s">
        <v>8</v>
      </c>
      <c r="B13" s="18">
        <v>303</v>
      </c>
      <c r="C13" s="18">
        <v>1</v>
      </c>
      <c r="E13" s="7"/>
      <c r="F13" s="8"/>
    </row>
    <row r="14" spans="1:14" ht="14.25" x14ac:dyDescent="0.15">
      <c r="A14" s="61" t="s">
        <v>8</v>
      </c>
      <c r="B14" s="18">
        <v>304</v>
      </c>
      <c r="C14" s="18">
        <v>1</v>
      </c>
      <c r="E14" s="7"/>
      <c r="F14" s="8"/>
    </row>
    <row r="15" spans="1:14" ht="14.25" x14ac:dyDescent="0.15">
      <c r="A15" s="61" t="s">
        <v>8</v>
      </c>
      <c r="B15" s="18">
        <v>305</v>
      </c>
      <c r="C15" s="18">
        <v>1</v>
      </c>
      <c r="E15" s="7"/>
      <c r="F15" s="8"/>
    </row>
    <row r="16" spans="1:14" s="60" customFormat="1" ht="14.25" x14ac:dyDescent="0.15">
      <c r="A16" s="61" t="s">
        <v>8</v>
      </c>
      <c r="B16" s="18">
        <v>306</v>
      </c>
      <c r="C16" s="18">
        <v>1</v>
      </c>
      <c r="E16" s="7"/>
      <c r="F16" s="8"/>
      <c r="G16" s="58"/>
      <c r="H16" s="58"/>
      <c r="I16" s="58"/>
      <c r="J16" s="58"/>
      <c r="K16" s="58"/>
      <c r="L16" s="58"/>
      <c r="M16" s="58"/>
      <c r="N16" s="58"/>
    </row>
    <row r="17" spans="1:14" s="60" customFormat="1" ht="14.25" x14ac:dyDescent="0.15">
      <c r="A17" s="61" t="s">
        <v>8</v>
      </c>
      <c r="B17" s="18">
        <v>307</v>
      </c>
      <c r="C17" s="18">
        <v>1</v>
      </c>
      <c r="E17" s="7"/>
      <c r="F17" s="8"/>
      <c r="G17" s="58"/>
      <c r="H17" s="58"/>
      <c r="I17" s="58"/>
      <c r="J17" s="58"/>
      <c r="K17" s="58"/>
      <c r="L17" s="58"/>
      <c r="M17" s="58"/>
      <c r="N17" s="58"/>
    </row>
    <row r="18" spans="1:14" s="60" customFormat="1" ht="14.25" x14ac:dyDescent="0.15">
      <c r="A18" s="61" t="s">
        <v>8</v>
      </c>
      <c r="B18" s="18">
        <v>308</v>
      </c>
      <c r="C18" s="18">
        <v>1</v>
      </c>
      <c r="E18" s="7"/>
      <c r="F18" s="8"/>
      <c r="G18" s="58"/>
      <c r="H18" s="58"/>
      <c r="I18" s="58"/>
      <c r="J18" s="58"/>
      <c r="K18" s="58"/>
      <c r="L18" s="58"/>
      <c r="M18" s="58"/>
      <c r="N18" s="58"/>
    </row>
    <row r="19" spans="1:14" s="60" customFormat="1" ht="14.25" x14ac:dyDescent="0.15">
      <c r="A19" s="61" t="s">
        <v>8</v>
      </c>
      <c r="B19" s="18">
        <v>309</v>
      </c>
      <c r="C19" s="18">
        <v>1</v>
      </c>
      <c r="E19" s="7"/>
      <c r="F19" s="8"/>
      <c r="G19" s="58"/>
      <c r="H19" s="58"/>
      <c r="I19" s="58"/>
      <c r="J19" s="58"/>
      <c r="K19" s="58"/>
      <c r="L19" s="58"/>
      <c r="M19" s="58"/>
      <c r="N19" s="58"/>
    </row>
    <row r="20" spans="1:14" s="60" customFormat="1" ht="14.25" x14ac:dyDescent="0.15">
      <c r="A20" s="61" t="s">
        <v>8</v>
      </c>
      <c r="B20" s="18">
        <v>310</v>
      </c>
      <c r="C20" s="18">
        <v>2</v>
      </c>
      <c r="E20" s="7"/>
      <c r="F20" s="8"/>
      <c r="G20" s="58"/>
      <c r="H20" s="58"/>
      <c r="I20" s="58"/>
      <c r="J20" s="58"/>
      <c r="K20" s="58"/>
      <c r="L20" s="58"/>
      <c r="M20" s="58"/>
      <c r="N20" s="58"/>
    </row>
    <row r="21" spans="1:14" s="60" customFormat="1" ht="14.25" x14ac:dyDescent="0.15">
      <c r="A21" s="61" t="s">
        <v>8</v>
      </c>
      <c r="B21" s="18">
        <v>311</v>
      </c>
      <c r="C21" s="18">
        <v>2</v>
      </c>
      <c r="E21" s="7"/>
      <c r="F21" s="8"/>
      <c r="G21" s="58"/>
      <c r="H21" s="58"/>
      <c r="I21" s="58"/>
      <c r="J21" s="58"/>
      <c r="K21" s="58"/>
      <c r="L21" s="58"/>
      <c r="M21" s="58"/>
      <c r="N21" s="58"/>
    </row>
    <row r="22" spans="1:14" s="60" customFormat="1" ht="14.25" x14ac:dyDescent="0.15">
      <c r="A22" s="61" t="s">
        <v>8</v>
      </c>
      <c r="B22" s="18">
        <v>312</v>
      </c>
      <c r="C22" s="18">
        <v>2</v>
      </c>
      <c r="E22" s="7"/>
      <c r="F22" s="8"/>
      <c r="G22" s="58"/>
      <c r="H22" s="58"/>
      <c r="I22" s="58"/>
      <c r="J22" s="58"/>
      <c r="K22" s="58"/>
      <c r="L22" s="58"/>
      <c r="M22" s="58"/>
      <c r="N22" s="58"/>
    </row>
    <row r="23" spans="1:14" s="60" customFormat="1" ht="14.25" x14ac:dyDescent="0.15">
      <c r="A23" s="61" t="s">
        <v>8</v>
      </c>
      <c r="B23" s="18">
        <v>313</v>
      </c>
      <c r="C23" s="18">
        <v>2</v>
      </c>
      <c r="E23" s="7"/>
      <c r="F23" s="8"/>
      <c r="G23" s="58"/>
      <c r="H23" s="58"/>
      <c r="I23" s="58"/>
      <c r="J23" s="58"/>
      <c r="K23" s="58"/>
      <c r="L23" s="58"/>
      <c r="M23" s="58"/>
      <c r="N23" s="58"/>
    </row>
    <row r="24" spans="1:14" s="60" customFormat="1" ht="14.25" x14ac:dyDescent="0.15">
      <c r="A24" s="61" t="s">
        <v>8</v>
      </c>
      <c r="B24" s="18">
        <v>314</v>
      </c>
      <c r="C24" s="18">
        <v>2</v>
      </c>
      <c r="E24" s="7"/>
      <c r="F24" s="8"/>
      <c r="G24" s="58"/>
      <c r="H24" s="58"/>
      <c r="I24" s="58"/>
      <c r="J24" s="58"/>
      <c r="K24" s="58"/>
      <c r="L24" s="58"/>
      <c r="M24" s="58"/>
      <c r="N24" s="58"/>
    </row>
    <row r="25" spans="1:14" s="60" customFormat="1" ht="14.25" x14ac:dyDescent="0.15">
      <c r="A25" s="61" t="s">
        <v>8</v>
      </c>
      <c r="B25" s="18">
        <v>315</v>
      </c>
      <c r="C25" s="18">
        <v>2</v>
      </c>
      <c r="E25" s="7"/>
      <c r="F25" s="8"/>
      <c r="G25" s="58"/>
      <c r="H25" s="58"/>
      <c r="I25" s="58"/>
      <c r="J25" s="58"/>
      <c r="K25" s="58"/>
      <c r="L25" s="58"/>
      <c r="M25" s="58"/>
      <c r="N25" s="58"/>
    </row>
    <row r="26" spans="1:14" s="60" customFormat="1" ht="14.25" x14ac:dyDescent="0.15">
      <c r="A26" s="61" t="s">
        <v>8</v>
      </c>
      <c r="B26" s="18">
        <v>316</v>
      </c>
      <c r="C26" s="18">
        <v>2</v>
      </c>
      <c r="E26" s="7"/>
      <c r="F26" s="8"/>
      <c r="G26" s="58"/>
      <c r="H26" s="58"/>
      <c r="I26" s="58"/>
      <c r="J26" s="58"/>
      <c r="K26" s="58"/>
      <c r="L26" s="58"/>
      <c r="M26" s="58"/>
      <c r="N26" s="58"/>
    </row>
    <row r="27" spans="1:14" s="60" customFormat="1" ht="14.25" x14ac:dyDescent="0.15">
      <c r="A27" s="61" t="s">
        <v>8</v>
      </c>
      <c r="B27" s="18">
        <v>317</v>
      </c>
      <c r="C27" s="18">
        <v>2</v>
      </c>
      <c r="E27" s="7"/>
      <c r="F27" s="8"/>
      <c r="G27" s="58"/>
      <c r="H27" s="58"/>
      <c r="I27" s="58"/>
      <c r="J27" s="58"/>
      <c r="K27" s="58"/>
      <c r="L27" s="58"/>
      <c r="M27" s="58"/>
      <c r="N27" s="58"/>
    </row>
    <row r="28" spans="1:14" s="60" customFormat="1" ht="14.25" x14ac:dyDescent="0.15">
      <c r="A28" s="61" t="s">
        <v>8</v>
      </c>
      <c r="B28" s="18">
        <v>318</v>
      </c>
      <c r="C28" s="18">
        <v>2</v>
      </c>
      <c r="E28" s="7"/>
      <c r="F28" s="8"/>
      <c r="G28" s="58"/>
      <c r="H28" s="58"/>
      <c r="I28" s="58"/>
      <c r="J28" s="58"/>
      <c r="K28" s="58"/>
      <c r="L28" s="58"/>
      <c r="M28" s="58"/>
      <c r="N28" s="58"/>
    </row>
    <row r="29" spans="1:14" s="60" customFormat="1" ht="14.25" x14ac:dyDescent="0.15">
      <c r="A29" s="61" t="s">
        <v>8</v>
      </c>
      <c r="B29" s="18">
        <v>319</v>
      </c>
      <c r="C29" s="18">
        <v>2</v>
      </c>
      <c r="E29" s="7"/>
      <c r="F29" s="8"/>
      <c r="G29" s="58"/>
      <c r="H29" s="58"/>
      <c r="I29" s="58"/>
      <c r="J29" s="58"/>
      <c r="K29" s="58"/>
      <c r="L29" s="58"/>
      <c r="M29" s="58"/>
      <c r="N29" s="58"/>
    </row>
    <row r="30" spans="1:14" s="60" customFormat="1" ht="14.25" x14ac:dyDescent="0.15">
      <c r="A30" s="61" t="s">
        <v>8</v>
      </c>
      <c r="B30" s="18">
        <v>320</v>
      </c>
      <c r="C30" s="18">
        <v>3</v>
      </c>
      <c r="E30" s="7"/>
      <c r="F30" s="8"/>
      <c r="G30" s="58"/>
      <c r="H30" s="58"/>
      <c r="I30" s="58"/>
      <c r="J30" s="58"/>
      <c r="K30" s="58"/>
      <c r="L30" s="58"/>
      <c r="M30" s="58"/>
      <c r="N30" s="58"/>
    </row>
    <row r="31" spans="1:14" s="60" customFormat="1" ht="14.25" x14ac:dyDescent="0.15">
      <c r="A31" s="61" t="s">
        <v>8</v>
      </c>
      <c r="B31" s="18">
        <v>321</v>
      </c>
      <c r="C31" s="18">
        <v>3</v>
      </c>
      <c r="E31" s="7"/>
      <c r="F31" s="8"/>
      <c r="G31" s="58"/>
      <c r="H31" s="58"/>
      <c r="I31" s="58"/>
      <c r="J31" s="58"/>
      <c r="K31" s="58"/>
      <c r="L31" s="58"/>
      <c r="M31" s="58"/>
      <c r="N31" s="58"/>
    </row>
    <row r="32" spans="1:14" s="60" customFormat="1" ht="14.25" x14ac:dyDescent="0.15">
      <c r="A32" s="61" t="s">
        <v>8</v>
      </c>
      <c r="B32" s="18">
        <v>322</v>
      </c>
      <c r="C32" s="18">
        <v>3</v>
      </c>
      <c r="E32" s="7"/>
      <c r="F32" s="8"/>
      <c r="G32" s="58"/>
      <c r="H32" s="58"/>
      <c r="I32" s="58"/>
      <c r="J32" s="58"/>
      <c r="K32" s="58"/>
      <c r="L32" s="58"/>
      <c r="M32" s="58"/>
      <c r="N32" s="58"/>
    </row>
    <row r="33" spans="1:14" s="60" customFormat="1" ht="14.25" x14ac:dyDescent="0.15">
      <c r="A33" s="61" t="s">
        <v>8</v>
      </c>
      <c r="B33" s="18">
        <v>323</v>
      </c>
      <c r="C33" s="18">
        <v>3</v>
      </c>
      <c r="E33" s="7"/>
      <c r="F33" s="8"/>
      <c r="G33" s="58"/>
      <c r="H33" s="58"/>
      <c r="I33" s="58"/>
      <c r="J33" s="58"/>
      <c r="K33" s="58"/>
      <c r="L33" s="58"/>
      <c r="M33" s="58"/>
      <c r="N33" s="58"/>
    </row>
    <row r="34" spans="1:14" s="60" customFormat="1" ht="14.25" x14ac:dyDescent="0.15">
      <c r="A34" s="61" t="s">
        <v>8</v>
      </c>
      <c r="B34" s="18">
        <v>324</v>
      </c>
      <c r="C34" s="18">
        <v>3</v>
      </c>
      <c r="E34" s="58"/>
      <c r="F34" s="58"/>
      <c r="G34" s="58"/>
      <c r="H34" s="58"/>
      <c r="I34" s="58"/>
      <c r="J34" s="58"/>
      <c r="K34" s="58"/>
      <c r="L34" s="58"/>
      <c r="M34" s="58"/>
      <c r="N34" s="58"/>
    </row>
    <row r="35" spans="1:14" s="60" customFormat="1" ht="14.25" x14ac:dyDescent="0.15">
      <c r="A35" s="61" t="s">
        <v>8</v>
      </c>
      <c r="B35" s="18">
        <v>325</v>
      </c>
      <c r="C35" s="18">
        <v>3</v>
      </c>
      <c r="E35" s="58"/>
      <c r="F35" s="58"/>
      <c r="G35" s="58"/>
      <c r="H35" s="58"/>
      <c r="I35" s="58"/>
      <c r="J35" s="58"/>
      <c r="K35" s="58"/>
      <c r="L35" s="58"/>
      <c r="M35" s="58"/>
      <c r="N35" s="58"/>
    </row>
    <row r="36" spans="1:14" s="60" customFormat="1" ht="14.25" x14ac:dyDescent="0.15">
      <c r="A36" s="61" t="s">
        <v>8</v>
      </c>
      <c r="B36" s="18">
        <v>326</v>
      </c>
      <c r="C36" s="18">
        <v>3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</row>
    <row r="37" spans="1:14" s="60" customFormat="1" ht="14.25" x14ac:dyDescent="0.15">
      <c r="A37" s="61" t="s">
        <v>8</v>
      </c>
      <c r="B37" s="18">
        <v>327</v>
      </c>
      <c r="C37" s="18">
        <v>3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</row>
    <row r="38" spans="1:14" s="60" customFormat="1" ht="14.25" x14ac:dyDescent="0.15">
      <c r="A38" s="61" t="s">
        <v>8</v>
      </c>
      <c r="B38" s="18">
        <v>328</v>
      </c>
      <c r="C38" s="18">
        <v>3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</row>
    <row r="39" spans="1:14" s="60" customFormat="1" ht="14.25" x14ac:dyDescent="0.15">
      <c r="A39" s="61" t="s">
        <v>8</v>
      </c>
      <c r="B39" s="18">
        <v>329</v>
      </c>
      <c r="C39" s="18">
        <v>3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</row>
    <row r="40" spans="1:14" s="60" customFormat="1" ht="14.25" x14ac:dyDescent="0.15">
      <c r="A40" s="61" t="s">
        <v>8</v>
      </c>
      <c r="B40" s="18">
        <v>330</v>
      </c>
      <c r="C40" s="60">
        <v>4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</row>
    <row r="41" spans="1:14" s="60" customFormat="1" ht="14.25" x14ac:dyDescent="0.15">
      <c r="A41" s="61" t="s">
        <v>8</v>
      </c>
      <c r="B41" s="18">
        <v>331</v>
      </c>
      <c r="C41" s="60">
        <v>4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</row>
    <row r="42" spans="1:14" s="60" customFormat="1" ht="14.25" x14ac:dyDescent="0.15">
      <c r="A42" s="61" t="s">
        <v>8</v>
      </c>
      <c r="B42" s="18">
        <v>332</v>
      </c>
      <c r="C42" s="60">
        <v>4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</row>
    <row r="43" spans="1:14" s="60" customFormat="1" ht="14.25" x14ac:dyDescent="0.15">
      <c r="A43" s="61" t="s">
        <v>8</v>
      </c>
      <c r="B43" s="18">
        <v>333</v>
      </c>
      <c r="C43" s="60">
        <v>4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</row>
    <row r="44" spans="1:14" s="60" customFormat="1" ht="14.25" x14ac:dyDescent="0.15">
      <c r="A44" s="61" t="s">
        <v>8</v>
      </c>
      <c r="B44" s="18">
        <v>334</v>
      </c>
      <c r="C44" s="60">
        <v>4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</row>
    <row r="45" spans="1:14" s="60" customFormat="1" ht="14.25" x14ac:dyDescent="0.15">
      <c r="A45" s="61" t="s">
        <v>8</v>
      </c>
      <c r="B45" s="18">
        <v>335</v>
      </c>
      <c r="C45" s="60">
        <v>4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</row>
    <row r="46" spans="1:14" s="60" customFormat="1" ht="14.25" x14ac:dyDescent="0.15">
      <c r="A46" s="61" t="s">
        <v>8</v>
      </c>
      <c r="B46" s="18">
        <v>336</v>
      </c>
      <c r="C46" s="60">
        <v>4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</row>
    <row r="47" spans="1:14" s="60" customFormat="1" ht="14.25" x14ac:dyDescent="0.15">
      <c r="A47" s="61" t="s">
        <v>8</v>
      </c>
      <c r="B47" s="18">
        <v>337</v>
      </c>
      <c r="C47" s="60">
        <v>4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</row>
    <row r="48" spans="1:14" s="60" customFormat="1" ht="14.25" x14ac:dyDescent="0.15">
      <c r="A48" s="61" t="s">
        <v>8</v>
      </c>
      <c r="B48" s="18">
        <v>338</v>
      </c>
      <c r="C48" s="60">
        <v>4</v>
      </c>
      <c r="E48" s="58"/>
      <c r="F48" s="58"/>
      <c r="G48" s="58"/>
      <c r="H48" s="58"/>
      <c r="I48" s="58"/>
      <c r="J48" s="58"/>
      <c r="K48" s="58"/>
      <c r="L48" s="58"/>
      <c r="M48" s="58"/>
      <c r="N48" s="58"/>
    </row>
    <row r="49" spans="1:14" s="60" customFormat="1" ht="14.25" x14ac:dyDescent="0.15">
      <c r="A49" s="61" t="s">
        <v>8</v>
      </c>
      <c r="B49" s="18">
        <v>339</v>
      </c>
      <c r="C49" s="60">
        <v>4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</row>
    <row r="50" spans="1:14" s="60" customFormat="1" ht="14.25" x14ac:dyDescent="0.15">
      <c r="A50" s="61" t="s">
        <v>8</v>
      </c>
      <c r="B50" s="18">
        <v>340</v>
      </c>
      <c r="C50" s="60">
        <v>5</v>
      </c>
      <c r="E50" s="7"/>
      <c r="F50" s="8"/>
      <c r="G50" s="58"/>
      <c r="H50" s="58"/>
      <c r="I50" s="58"/>
      <c r="J50" s="58"/>
      <c r="K50" s="58"/>
      <c r="L50" s="58"/>
      <c r="M50" s="58"/>
      <c r="N50" s="58"/>
    </row>
    <row r="51" spans="1:14" s="60" customFormat="1" ht="14.25" x14ac:dyDescent="0.15">
      <c r="A51" s="61" t="s">
        <v>8</v>
      </c>
      <c r="B51" s="18">
        <v>341</v>
      </c>
      <c r="C51" s="60">
        <v>5</v>
      </c>
      <c r="E51" s="7"/>
      <c r="F51" s="8"/>
      <c r="G51" s="58"/>
      <c r="H51" s="58"/>
      <c r="I51" s="58"/>
      <c r="J51" s="58"/>
      <c r="K51" s="58"/>
      <c r="L51" s="58"/>
      <c r="M51" s="58"/>
      <c r="N51" s="58"/>
    </row>
    <row r="52" spans="1:14" s="60" customFormat="1" ht="14.25" x14ac:dyDescent="0.15">
      <c r="A52" s="61" t="s">
        <v>8</v>
      </c>
      <c r="B52" s="18">
        <v>342</v>
      </c>
      <c r="C52" s="60">
        <v>5</v>
      </c>
      <c r="E52" s="7"/>
      <c r="F52" s="8"/>
      <c r="G52" s="58"/>
      <c r="H52" s="58"/>
      <c r="I52" s="58"/>
      <c r="J52" s="58"/>
      <c r="K52" s="58"/>
      <c r="L52" s="58"/>
      <c r="M52" s="58"/>
      <c r="N52" s="58"/>
    </row>
    <row r="53" spans="1:14" s="60" customFormat="1" ht="14.25" x14ac:dyDescent="0.15">
      <c r="A53" s="61" t="s">
        <v>8</v>
      </c>
      <c r="B53" s="18">
        <v>343</v>
      </c>
      <c r="C53" s="60">
        <v>5</v>
      </c>
      <c r="E53" s="7"/>
      <c r="F53" s="8"/>
      <c r="G53" s="58"/>
      <c r="H53" s="58"/>
      <c r="I53" s="58"/>
      <c r="J53" s="58"/>
      <c r="K53" s="58"/>
      <c r="L53" s="58"/>
      <c r="M53" s="58"/>
      <c r="N53" s="58"/>
    </row>
    <row r="54" spans="1:14" s="60" customFormat="1" ht="14.25" x14ac:dyDescent="0.15">
      <c r="A54" s="61" t="s">
        <v>8</v>
      </c>
      <c r="B54" s="18">
        <v>344</v>
      </c>
      <c r="C54" s="60">
        <v>5</v>
      </c>
      <c r="E54" s="7"/>
      <c r="F54" s="8"/>
      <c r="G54" s="58"/>
      <c r="H54" s="58"/>
      <c r="I54" s="58"/>
      <c r="J54" s="58"/>
      <c r="K54" s="58"/>
      <c r="L54" s="58"/>
      <c r="M54" s="58"/>
      <c r="N54" s="58"/>
    </row>
    <row r="55" spans="1:14" s="60" customFormat="1" ht="14.25" x14ac:dyDescent="0.15">
      <c r="A55" s="61" t="s">
        <v>8</v>
      </c>
      <c r="B55" s="18">
        <v>345</v>
      </c>
      <c r="C55" s="60">
        <v>5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</row>
    <row r="56" spans="1:14" s="60" customFormat="1" ht="14.25" x14ac:dyDescent="0.15">
      <c r="A56" s="61" t="s">
        <v>8</v>
      </c>
      <c r="B56" s="18">
        <v>346</v>
      </c>
      <c r="C56" s="60">
        <v>5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</row>
    <row r="57" spans="1:14" s="60" customFormat="1" ht="14.25" x14ac:dyDescent="0.15">
      <c r="A57" s="61" t="s">
        <v>8</v>
      </c>
      <c r="B57" s="18">
        <v>347</v>
      </c>
      <c r="C57" s="60">
        <v>5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</row>
    <row r="58" spans="1:14" s="60" customFormat="1" ht="14.25" x14ac:dyDescent="0.15">
      <c r="A58" s="61" t="s">
        <v>8</v>
      </c>
      <c r="B58" s="18">
        <v>348</v>
      </c>
      <c r="C58" s="60">
        <v>5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</row>
    <row r="59" spans="1:14" s="60" customFormat="1" ht="14.25" x14ac:dyDescent="0.15">
      <c r="A59" s="61" t="s">
        <v>8</v>
      </c>
      <c r="B59" s="18">
        <v>349</v>
      </c>
      <c r="C59" s="60">
        <v>5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</row>
    <row r="60" spans="1:14" s="60" customFormat="1" ht="14.25" x14ac:dyDescent="0.15">
      <c r="A60" s="61" t="s">
        <v>8</v>
      </c>
      <c r="B60" s="18">
        <v>350</v>
      </c>
      <c r="C60" s="60">
        <v>6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</row>
    <row r="61" spans="1:14" s="60" customFormat="1" ht="14.25" x14ac:dyDescent="0.15">
      <c r="A61" s="61" t="s">
        <v>8</v>
      </c>
      <c r="B61" s="18">
        <v>351</v>
      </c>
      <c r="C61" s="60">
        <v>6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</row>
    <row r="62" spans="1:14" s="60" customFormat="1" ht="14.25" x14ac:dyDescent="0.15">
      <c r="A62" s="61" t="s">
        <v>8</v>
      </c>
      <c r="B62" s="18">
        <v>352</v>
      </c>
      <c r="C62" s="60">
        <v>6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</row>
    <row r="63" spans="1:14" s="60" customFormat="1" ht="14.25" x14ac:dyDescent="0.15">
      <c r="A63" s="61" t="s">
        <v>8</v>
      </c>
      <c r="B63" s="18">
        <v>353</v>
      </c>
      <c r="C63" s="60">
        <v>6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</row>
    <row r="64" spans="1:14" s="60" customFormat="1" ht="14.25" x14ac:dyDescent="0.15">
      <c r="A64" s="61" t="s">
        <v>8</v>
      </c>
      <c r="B64" s="18">
        <v>354</v>
      </c>
      <c r="C64" s="60">
        <v>6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</row>
    <row r="65" spans="1:14" s="60" customFormat="1" ht="14.25" x14ac:dyDescent="0.15">
      <c r="A65" s="61" t="s">
        <v>8</v>
      </c>
      <c r="B65" s="18">
        <v>355</v>
      </c>
      <c r="C65" s="60">
        <v>6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</row>
    <row r="66" spans="1:14" s="60" customFormat="1" ht="14.25" x14ac:dyDescent="0.15">
      <c r="A66" s="61" t="s">
        <v>8</v>
      </c>
      <c r="B66" s="18">
        <v>356</v>
      </c>
      <c r="C66" s="60">
        <v>6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</row>
    <row r="67" spans="1:14" s="60" customFormat="1" ht="14.25" x14ac:dyDescent="0.15">
      <c r="A67" s="61" t="s">
        <v>8</v>
      </c>
      <c r="B67" s="18">
        <v>357</v>
      </c>
      <c r="C67" s="60">
        <v>6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</row>
    <row r="68" spans="1:14" s="60" customFormat="1" ht="14.25" x14ac:dyDescent="0.15">
      <c r="A68" s="61" t="s">
        <v>8</v>
      </c>
      <c r="B68" s="18">
        <v>358</v>
      </c>
      <c r="C68" s="60">
        <v>6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</row>
    <row r="69" spans="1:14" s="60" customFormat="1" ht="14.25" x14ac:dyDescent="0.15">
      <c r="A69" s="61" t="s">
        <v>8</v>
      </c>
      <c r="B69" s="18">
        <v>359</v>
      </c>
      <c r="C69" s="60">
        <v>6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</row>
    <row r="70" spans="1:14" s="60" customFormat="1" ht="14.25" x14ac:dyDescent="0.15">
      <c r="A70" s="61" t="s">
        <v>8</v>
      </c>
      <c r="B70" s="18">
        <v>360</v>
      </c>
      <c r="C70" s="60">
        <v>7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</row>
    <row r="71" spans="1:14" s="60" customFormat="1" ht="14.25" x14ac:dyDescent="0.15">
      <c r="A71" s="61" t="s">
        <v>8</v>
      </c>
      <c r="B71" s="18">
        <v>361</v>
      </c>
      <c r="C71" s="60">
        <v>7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</row>
    <row r="72" spans="1:14" s="60" customFormat="1" ht="14.25" x14ac:dyDescent="0.15">
      <c r="A72" s="61" t="s">
        <v>8</v>
      </c>
      <c r="B72" s="18">
        <v>362</v>
      </c>
      <c r="C72" s="60">
        <v>7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</row>
    <row r="73" spans="1:14" s="60" customFormat="1" ht="14.25" x14ac:dyDescent="0.15">
      <c r="A73" s="61" t="s">
        <v>8</v>
      </c>
      <c r="B73" s="18">
        <v>363</v>
      </c>
      <c r="C73" s="60">
        <v>7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</row>
    <row r="74" spans="1:14" s="60" customFormat="1" ht="14.25" x14ac:dyDescent="0.15">
      <c r="A74" s="61" t="s">
        <v>8</v>
      </c>
      <c r="B74" s="18">
        <v>364</v>
      </c>
      <c r="C74" s="60">
        <v>7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</row>
    <row r="75" spans="1:14" s="60" customFormat="1" ht="14.25" x14ac:dyDescent="0.15">
      <c r="A75" s="61" t="s">
        <v>8</v>
      </c>
      <c r="B75" s="18">
        <v>365</v>
      </c>
      <c r="C75" s="60">
        <v>7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</row>
    <row r="76" spans="1:14" ht="14.25" x14ac:dyDescent="0.15">
      <c r="A76" s="61" t="s">
        <v>8</v>
      </c>
      <c r="B76" s="18">
        <v>366</v>
      </c>
      <c r="C76" s="60">
        <v>7</v>
      </c>
    </row>
    <row r="77" spans="1:14" ht="14.25" x14ac:dyDescent="0.15">
      <c r="A77" s="61" t="s">
        <v>8</v>
      </c>
      <c r="B77" s="18">
        <v>367</v>
      </c>
      <c r="C77" s="60">
        <v>7</v>
      </c>
    </row>
    <row r="78" spans="1:14" ht="14.25" x14ac:dyDescent="0.15">
      <c r="A78" s="61" t="s">
        <v>8</v>
      </c>
      <c r="B78" s="18">
        <v>368</v>
      </c>
      <c r="C78" s="60">
        <v>7</v>
      </c>
    </row>
    <row r="79" spans="1:14" ht="14.25" x14ac:dyDescent="0.15">
      <c r="A79" s="61" t="s">
        <v>8</v>
      </c>
      <c r="B79" s="18">
        <v>369</v>
      </c>
      <c r="C79" s="60">
        <v>7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75"/>
  <sheetViews>
    <sheetView workbookViewId="0">
      <pane ySplit="8" topLeftCell="A9" activePane="bottomLeft" state="frozen"/>
      <selection pane="bottomLeft" activeCell="H26" sqref="H26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31.5" style="6" customWidth="1"/>
    <col min="4" max="4" width="27.25" style="6" customWidth="1"/>
    <col min="5" max="5" width="12" style="4" customWidth="1"/>
    <col min="6" max="6" width="15.125" style="4" customWidth="1"/>
    <col min="7" max="16384" width="9" style="4"/>
  </cols>
  <sheetData>
    <row r="1" spans="1:14" s="1" customFormat="1" x14ac:dyDescent="0.15">
      <c r="A1" s="5" t="s">
        <v>15</v>
      </c>
      <c r="B1" s="1" t="s">
        <v>12</v>
      </c>
      <c r="C1" s="1" t="s">
        <v>8</v>
      </c>
      <c r="D1" s="1" t="s">
        <v>8</v>
      </c>
      <c r="E1" s="1" t="s">
        <v>28</v>
      </c>
      <c r="F1" s="1" t="s">
        <v>28</v>
      </c>
    </row>
    <row r="2" spans="1:14" s="1" customFormat="1" x14ac:dyDescent="0.15">
      <c r="A2" s="5" t="s">
        <v>14</v>
      </c>
      <c r="B2" s="1" t="s">
        <v>8</v>
      </c>
      <c r="C2" s="1" t="s">
        <v>8</v>
      </c>
      <c r="D2" s="1" t="s">
        <v>8</v>
      </c>
      <c r="E2" s="1" t="s">
        <v>28</v>
      </c>
      <c r="F2" s="1" t="s">
        <v>28</v>
      </c>
    </row>
    <row r="3" spans="1:14" s="2" customFormat="1" ht="14.25" x14ac:dyDescent="0.15">
      <c r="A3" s="16" t="s">
        <v>8</v>
      </c>
      <c r="B3" s="16" t="s">
        <v>9</v>
      </c>
      <c r="C3" s="16" t="s">
        <v>22</v>
      </c>
      <c r="D3" s="16" t="s">
        <v>16</v>
      </c>
      <c r="E3" s="16" t="s">
        <v>31</v>
      </c>
      <c r="F3" s="16" t="s">
        <v>31</v>
      </c>
    </row>
    <row r="4" spans="1:14" s="2" customFormat="1" ht="14.25" x14ac:dyDescent="0.15">
      <c r="A4" s="16"/>
      <c r="B4" s="16" t="s">
        <v>11</v>
      </c>
      <c r="C4" s="16" t="s">
        <v>26</v>
      </c>
      <c r="D4" s="16" t="s">
        <v>47</v>
      </c>
      <c r="E4" s="16" t="s">
        <v>32</v>
      </c>
      <c r="F4" s="16" t="s">
        <v>35</v>
      </c>
    </row>
    <row r="5" spans="1:14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s</v>
      </c>
      <c r="D5" s="16" t="s">
        <v>17</v>
      </c>
      <c r="E5" s="16" t="s">
        <v>33</v>
      </c>
      <c r="F5" s="16" t="s">
        <v>33</v>
      </c>
    </row>
    <row r="6" spans="1:14" s="2" customFormat="1" ht="14.25" x14ac:dyDescent="0.15">
      <c r="A6" s="16" t="s">
        <v>8</v>
      </c>
      <c r="B6" s="16" t="str">
        <f>B5&amp;B4</f>
        <v>iID</v>
      </c>
      <c r="C6" s="16" t="str">
        <f>C5&amp;C4</f>
        <v>sTaskDesc</v>
      </c>
      <c r="D6" s="16" t="str">
        <f>D5&amp;D4</f>
        <v>sFinishDesc</v>
      </c>
      <c r="E6" s="16" t="str">
        <f>E5&amp;E4</f>
        <v>sIcon</v>
      </c>
      <c r="F6" s="16" t="str">
        <f>F5&amp;F4</f>
        <v>sTaskAward</v>
      </c>
    </row>
    <row r="7" spans="1:14" s="3" customFormat="1" ht="14.25" x14ac:dyDescent="0.15">
      <c r="A7" s="16"/>
      <c r="B7" s="16" t="s">
        <v>46</v>
      </c>
      <c r="C7" s="16" t="s">
        <v>27</v>
      </c>
      <c r="D7" s="16" t="s">
        <v>48</v>
      </c>
      <c r="E7" s="16" t="s">
        <v>34</v>
      </c>
      <c r="F7" s="16" t="s">
        <v>36</v>
      </c>
    </row>
    <row r="8" spans="1:14" s="3" customFormat="1" ht="14.25" x14ac:dyDescent="0.15">
      <c r="A8" s="16" t="s">
        <v>10</v>
      </c>
      <c r="B8" s="16" t="e">
        <f>MODE(B9:B967)</f>
        <v>#N/A</v>
      </c>
      <c r="C8" s="16"/>
      <c r="D8" s="16"/>
    </row>
    <row r="9" spans="1:14" ht="14.25" x14ac:dyDescent="0.15">
      <c r="A9" s="17" t="s">
        <v>8</v>
      </c>
      <c r="B9" s="18">
        <v>1</v>
      </c>
      <c r="C9" s="19" t="s">
        <v>49</v>
      </c>
      <c r="D9" s="19" t="s">
        <v>50</v>
      </c>
      <c r="E9" s="7"/>
      <c r="F9" s="8" t="s">
        <v>199</v>
      </c>
    </row>
    <row r="10" spans="1:14" x14ac:dyDescent="0.15">
      <c r="C10" s="4"/>
      <c r="E10" s="7"/>
      <c r="F10" s="8"/>
    </row>
    <row r="11" spans="1:14" x14ac:dyDescent="0.15">
      <c r="C11" s="4"/>
      <c r="E11" s="7"/>
      <c r="F11" s="8"/>
    </row>
    <row r="12" spans="1:14" x14ac:dyDescent="0.15">
      <c r="C12" s="4"/>
      <c r="E12" s="7"/>
      <c r="F12" s="8"/>
    </row>
    <row r="13" spans="1:14" x14ac:dyDescent="0.15">
      <c r="C13" s="4"/>
      <c r="E13" s="7"/>
      <c r="F13" s="8"/>
    </row>
    <row r="14" spans="1:14" x14ac:dyDescent="0.15">
      <c r="C14" s="4"/>
      <c r="E14" s="7"/>
      <c r="F14" s="8"/>
    </row>
    <row r="15" spans="1:14" s="6" customFormat="1" x14ac:dyDescent="0.15">
      <c r="A15" s="4"/>
      <c r="C15" s="4"/>
      <c r="E15" s="7"/>
      <c r="F15" s="8"/>
      <c r="G15" s="4"/>
      <c r="H15" s="4"/>
      <c r="I15" s="4"/>
      <c r="J15" s="4"/>
      <c r="K15" s="4"/>
      <c r="L15" s="4"/>
      <c r="M15" s="4"/>
      <c r="N15" s="4"/>
    </row>
    <row r="16" spans="1:14" s="6" customFormat="1" x14ac:dyDescent="0.15">
      <c r="A16" s="4"/>
      <c r="C16" s="4"/>
      <c r="E16" s="7"/>
      <c r="F16" s="8"/>
      <c r="G16" s="4"/>
      <c r="H16" s="4"/>
      <c r="I16" s="4"/>
      <c r="J16" s="4"/>
      <c r="K16" s="4"/>
      <c r="L16" s="4"/>
      <c r="M16" s="4"/>
      <c r="N16" s="4"/>
    </row>
    <row r="17" spans="1:14" s="6" customFormat="1" x14ac:dyDescent="0.15">
      <c r="A17" s="4"/>
      <c r="C17" s="4"/>
      <c r="E17" s="7"/>
      <c r="F17" s="8"/>
      <c r="G17" s="4"/>
      <c r="H17" s="4"/>
      <c r="I17" s="4"/>
      <c r="J17" s="4"/>
      <c r="K17" s="4"/>
      <c r="L17" s="4"/>
      <c r="M17" s="4"/>
      <c r="N17" s="4"/>
    </row>
    <row r="18" spans="1:14" s="6" customFormat="1" x14ac:dyDescent="0.15">
      <c r="A18" s="4"/>
      <c r="C18" s="4"/>
      <c r="E18" s="7"/>
      <c r="F18" s="8"/>
      <c r="G18" s="4"/>
      <c r="H18" s="4"/>
      <c r="I18" s="4"/>
      <c r="J18" s="4"/>
      <c r="K18" s="4"/>
      <c r="L18" s="4"/>
      <c r="M18" s="4"/>
      <c r="N18" s="4"/>
    </row>
    <row r="19" spans="1:14" s="6" customFormat="1" x14ac:dyDescent="0.15">
      <c r="A19" s="4"/>
      <c r="C19" s="4"/>
      <c r="E19" s="7"/>
      <c r="F19" s="8"/>
      <c r="G19" s="4"/>
      <c r="H19" s="4"/>
      <c r="I19" s="4"/>
      <c r="J19" s="4"/>
      <c r="K19" s="4"/>
      <c r="L19" s="4"/>
      <c r="M19" s="4"/>
      <c r="N19" s="4"/>
    </row>
    <row r="20" spans="1:14" s="6" customFormat="1" x14ac:dyDescent="0.15">
      <c r="A20" s="4"/>
      <c r="C20" s="4"/>
      <c r="E20" s="7"/>
      <c r="F20" s="8"/>
      <c r="G20" s="4"/>
      <c r="H20" s="4"/>
      <c r="I20" s="4"/>
      <c r="J20" s="4"/>
      <c r="K20" s="4"/>
      <c r="L20" s="4"/>
      <c r="M20" s="4"/>
      <c r="N20" s="4"/>
    </row>
    <row r="21" spans="1:14" s="6" customFormat="1" x14ac:dyDescent="0.15">
      <c r="A21" s="4"/>
      <c r="C21" s="4"/>
      <c r="E21" s="7"/>
      <c r="F21" s="8"/>
      <c r="G21" s="4"/>
      <c r="H21" s="4"/>
      <c r="I21" s="4"/>
      <c r="J21" s="4"/>
      <c r="K21" s="4"/>
      <c r="L21" s="4"/>
      <c r="M21" s="4"/>
      <c r="N21" s="4"/>
    </row>
    <row r="22" spans="1:14" s="6" customFormat="1" x14ac:dyDescent="0.15">
      <c r="A22" s="4"/>
      <c r="C22" s="4"/>
      <c r="E22" s="7"/>
      <c r="F22" s="8"/>
      <c r="G22" s="4"/>
      <c r="H22" s="4"/>
      <c r="I22" s="4"/>
      <c r="J22" s="4"/>
      <c r="K22" s="4"/>
      <c r="L22" s="4"/>
      <c r="M22" s="4"/>
      <c r="N22" s="4"/>
    </row>
    <row r="23" spans="1:14" s="6" customFormat="1" x14ac:dyDescent="0.15">
      <c r="A23" s="4"/>
      <c r="C23" s="4"/>
      <c r="E23" s="7"/>
      <c r="F23" s="8"/>
      <c r="G23" s="4"/>
      <c r="H23" s="4"/>
      <c r="I23" s="4"/>
      <c r="J23" s="4"/>
      <c r="K23" s="4"/>
      <c r="L23" s="4"/>
      <c r="M23" s="4"/>
      <c r="N23" s="4"/>
    </row>
    <row r="24" spans="1:14" s="6" customFormat="1" x14ac:dyDescent="0.15">
      <c r="A24" s="4"/>
      <c r="C24" s="4"/>
      <c r="E24" s="7"/>
      <c r="F24" s="8"/>
      <c r="G24" s="4"/>
      <c r="H24" s="4"/>
      <c r="I24" s="4"/>
      <c r="J24" s="4"/>
      <c r="K24" s="4"/>
      <c r="L24" s="4"/>
      <c r="M24" s="4"/>
      <c r="N24" s="4"/>
    </row>
    <row r="25" spans="1:14" s="6" customFormat="1" x14ac:dyDescent="0.15">
      <c r="A25" s="4"/>
      <c r="C25" s="4"/>
      <c r="E25" s="7"/>
      <c r="F25" s="8"/>
      <c r="G25" s="4"/>
      <c r="H25" s="4"/>
      <c r="I25" s="4"/>
      <c r="J25" s="4"/>
      <c r="K25" s="4"/>
      <c r="L25" s="4"/>
      <c r="M25" s="4"/>
      <c r="N25" s="4"/>
    </row>
    <row r="26" spans="1:14" s="6" customFormat="1" x14ac:dyDescent="0.15">
      <c r="A26" s="4"/>
      <c r="C26" s="4"/>
      <c r="E26" s="7"/>
      <c r="F26" s="8"/>
      <c r="G26" s="4"/>
      <c r="H26" s="4"/>
      <c r="I26" s="4"/>
      <c r="J26" s="4"/>
      <c r="K26" s="4"/>
      <c r="L26" s="4"/>
      <c r="M26" s="4"/>
      <c r="N26" s="4"/>
    </row>
    <row r="27" spans="1:14" s="6" customFormat="1" x14ac:dyDescent="0.15">
      <c r="A27" s="4"/>
      <c r="C27" s="4"/>
      <c r="E27" s="7"/>
      <c r="F27" s="8"/>
      <c r="G27" s="4"/>
      <c r="H27" s="4"/>
      <c r="I27" s="4"/>
      <c r="J27" s="4"/>
      <c r="K27" s="4"/>
      <c r="L27" s="4"/>
      <c r="M27" s="4"/>
      <c r="N27" s="4"/>
    </row>
    <row r="28" spans="1:14" s="6" customFormat="1" x14ac:dyDescent="0.15">
      <c r="A28" s="4"/>
      <c r="C28" s="4"/>
      <c r="E28" s="7"/>
      <c r="F28" s="8"/>
      <c r="G28" s="4"/>
      <c r="H28" s="4"/>
      <c r="I28" s="4"/>
      <c r="J28" s="4"/>
      <c r="K28" s="4"/>
      <c r="L28" s="4"/>
      <c r="M28" s="4"/>
      <c r="N28" s="4"/>
    </row>
    <row r="29" spans="1:14" s="6" customFormat="1" x14ac:dyDescent="0.15">
      <c r="A29" s="4"/>
      <c r="C29" s="4"/>
      <c r="E29" s="7"/>
      <c r="F29" s="8"/>
      <c r="G29" s="4"/>
      <c r="H29" s="4"/>
      <c r="I29" s="4"/>
      <c r="J29" s="4"/>
      <c r="K29" s="4"/>
      <c r="L29" s="4"/>
      <c r="M29" s="4"/>
      <c r="N29" s="4"/>
    </row>
    <row r="30" spans="1:14" s="6" customFormat="1" x14ac:dyDescent="0.15">
      <c r="A30" s="4"/>
      <c r="C30" s="4"/>
      <c r="E30" s="7"/>
      <c r="F30" s="8"/>
      <c r="G30" s="4"/>
      <c r="H30" s="4"/>
      <c r="I30" s="4"/>
      <c r="J30" s="4"/>
      <c r="K30" s="4"/>
      <c r="L30" s="4"/>
      <c r="M30" s="4"/>
      <c r="N30" s="4"/>
    </row>
    <row r="31" spans="1:14" s="6" customFormat="1" x14ac:dyDescent="0.15">
      <c r="A31" s="4"/>
      <c r="C31" s="4"/>
      <c r="E31" s="7"/>
      <c r="F31" s="8"/>
      <c r="G31" s="4"/>
      <c r="H31" s="4"/>
      <c r="I31" s="4"/>
      <c r="J31" s="4"/>
      <c r="K31" s="4"/>
      <c r="L31" s="4"/>
      <c r="M31" s="4"/>
      <c r="N31" s="4"/>
    </row>
    <row r="32" spans="1:14" s="6" customFormat="1" x14ac:dyDescent="0.15">
      <c r="A32" s="4"/>
      <c r="C32" s="4"/>
      <c r="E32" s="7"/>
      <c r="F32" s="8"/>
      <c r="G32" s="4"/>
      <c r="H32" s="4"/>
      <c r="I32" s="4"/>
      <c r="J32" s="4"/>
      <c r="K32" s="4"/>
      <c r="L32" s="4"/>
      <c r="M32" s="4"/>
      <c r="N32" s="4"/>
    </row>
    <row r="33" spans="1:14" s="6" customFormat="1" x14ac:dyDescent="0.15">
      <c r="A33" s="4"/>
      <c r="C33" s="4"/>
      <c r="E33" s="7"/>
      <c r="F33" s="8"/>
      <c r="G33" s="4"/>
      <c r="H33" s="4"/>
      <c r="I33" s="4"/>
      <c r="J33" s="4"/>
      <c r="K33" s="4"/>
      <c r="L33" s="4"/>
      <c r="M33" s="4"/>
      <c r="N33" s="4"/>
    </row>
    <row r="34" spans="1:14" s="6" customFormat="1" x14ac:dyDescent="0.15">
      <c r="A34" s="4"/>
      <c r="C34" s="4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1:14" s="6" customFormat="1" x14ac:dyDescent="0.15">
      <c r="A35" s="4"/>
      <c r="C35" s="4"/>
      <c r="E35" s="4"/>
      <c r="F35" s="4"/>
      <c r="G35" s="4"/>
      <c r="H35" s="4"/>
      <c r="I35" s="4"/>
      <c r="J35" s="4"/>
      <c r="K35" s="4"/>
      <c r="L35" s="4"/>
      <c r="M35" s="4"/>
      <c r="N35" s="4"/>
    </row>
    <row r="36" spans="1:14" s="6" customFormat="1" x14ac:dyDescent="0.15">
      <c r="A36" s="4"/>
      <c r="C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1:14" s="6" customFormat="1" x14ac:dyDescent="0.15">
      <c r="A37" s="4"/>
      <c r="C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1:14" s="6" customFormat="1" x14ac:dyDescent="0.15">
      <c r="A38" s="4"/>
      <c r="C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1:14" s="6" customFormat="1" x14ac:dyDescent="0.15">
      <c r="A39" s="4"/>
      <c r="C39" s="4"/>
      <c r="E39" s="4"/>
      <c r="F39" s="4"/>
      <c r="G39" s="4"/>
      <c r="H39" s="4"/>
      <c r="I39" s="4"/>
      <c r="J39" s="4"/>
      <c r="K39" s="4"/>
      <c r="L39" s="4"/>
      <c r="M39" s="4"/>
      <c r="N39" s="4"/>
    </row>
    <row r="40" spans="1:14" s="6" customFormat="1" x14ac:dyDescent="0.15">
      <c r="A40" s="4"/>
      <c r="C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1:14" s="6" customFormat="1" x14ac:dyDescent="0.15">
      <c r="A41" s="4"/>
      <c r="C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1:14" s="6" customFormat="1" x14ac:dyDescent="0.15">
      <c r="A42" s="4"/>
      <c r="C42" s="4"/>
      <c r="E42" s="4"/>
      <c r="F42" s="4"/>
      <c r="G42" s="4"/>
      <c r="H42" s="4"/>
      <c r="I42" s="4"/>
      <c r="J42" s="4"/>
      <c r="K42" s="4"/>
      <c r="L42" s="4"/>
      <c r="M42" s="4"/>
      <c r="N42" s="4"/>
    </row>
    <row r="43" spans="1:14" s="6" customFormat="1" x14ac:dyDescent="0.15">
      <c r="A43" s="4"/>
      <c r="C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s="6" customFormat="1" x14ac:dyDescent="0.15">
      <c r="A44" s="4"/>
      <c r="C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1:14" s="6" customFormat="1" x14ac:dyDescent="0.15">
      <c r="A45" s="4"/>
      <c r="C45" s="4"/>
      <c r="E45" s="4"/>
      <c r="F45" s="4"/>
      <c r="G45" s="4"/>
      <c r="H45" s="4"/>
      <c r="I45" s="4"/>
      <c r="J45" s="4"/>
      <c r="K45" s="4"/>
      <c r="L45" s="4"/>
      <c r="M45" s="4"/>
      <c r="N45" s="4"/>
    </row>
    <row r="46" spans="1:14" s="6" customFormat="1" x14ac:dyDescent="0.15">
      <c r="A46" s="4"/>
      <c r="C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1:14" s="6" customFormat="1" x14ac:dyDescent="0.15">
      <c r="A47" s="4"/>
      <c r="C47" s="4"/>
      <c r="E47" s="4"/>
      <c r="F47" s="4"/>
      <c r="G47" s="4"/>
      <c r="H47" s="4"/>
      <c r="I47" s="4"/>
      <c r="J47" s="4"/>
      <c r="K47" s="4"/>
      <c r="L47" s="4"/>
      <c r="M47" s="4"/>
      <c r="N47" s="4"/>
    </row>
    <row r="48" spans="1:14" s="6" customFormat="1" x14ac:dyDescent="0.15">
      <c r="A48" s="4"/>
      <c r="C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s="6" customFormat="1" x14ac:dyDescent="0.15">
      <c r="A49" s="4"/>
      <c r="C49" s="4"/>
      <c r="E49" s="4"/>
      <c r="F49" s="4"/>
      <c r="G49" s="4"/>
      <c r="H49" s="4"/>
      <c r="I49" s="4"/>
      <c r="J49" s="4"/>
      <c r="K49" s="4"/>
      <c r="L49" s="4"/>
      <c r="M49" s="4"/>
      <c r="N49" s="4"/>
    </row>
    <row r="50" spans="1:14" s="6" customFormat="1" x14ac:dyDescent="0.15">
      <c r="A50" s="4"/>
      <c r="C50" s="4"/>
      <c r="E50" s="7"/>
      <c r="F50" s="8"/>
      <c r="G50" s="4"/>
      <c r="H50" s="4"/>
      <c r="I50" s="4"/>
      <c r="J50" s="4"/>
      <c r="K50" s="4"/>
      <c r="L50" s="4"/>
      <c r="M50" s="4"/>
      <c r="N50" s="4"/>
    </row>
    <row r="51" spans="1:14" s="6" customFormat="1" x14ac:dyDescent="0.15">
      <c r="A51" s="4"/>
      <c r="C51" s="4"/>
      <c r="E51" s="7"/>
      <c r="F51" s="8"/>
      <c r="G51" s="4"/>
      <c r="H51" s="4"/>
      <c r="I51" s="4"/>
      <c r="J51" s="4"/>
      <c r="K51" s="4"/>
      <c r="L51" s="4"/>
      <c r="M51" s="4"/>
      <c r="N51" s="4"/>
    </row>
    <row r="52" spans="1:14" s="6" customFormat="1" x14ac:dyDescent="0.15">
      <c r="A52" s="4"/>
      <c r="C52" s="4"/>
      <c r="E52" s="7"/>
      <c r="F52" s="8"/>
      <c r="G52" s="4"/>
      <c r="H52" s="4"/>
      <c r="I52" s="4"/>
      <c r="J52" s="4"/>
      <c r="K52" s="4"/>
      <c r="L52" s="4"/>
      <c r="M52" s="4"/>
      <c r="N52" s="4"/>
    </row>
    <row r="53" spans="1:14" s="6" customFormat="1" x14ac:dyDescent="0.15">
      <c r="A53" s="4"/>
      <c r="C53" s="4"/>
      <c r="E53" s="7"/>
      <c r="F53" s="8"/>
      <c r="G53" s="4"/>
      <c r="H53" s="4"/>
      <c r="I53" s="4"/>
      <c r="J53" s="4"/>
      <c r="K53" s="4"/>
      <c r="L53" s="4"/>
      <c r="M53" s="4"/>
      <c r="N53" s="4"/>
    </row>
    <row r="54" spans="1:14" s="6" customFormat="1" x14ac:dyDescent="0.15">
      <c r="A54" s="4"/>
      <c r="C54" s="4"/>
      <c r="E54" s="7"/>
      <c r="F54" s="8"/>
      <c r="G54" s="4"/>
      <c r="H54" s="4"/>
      <c r="I54" s="4"/>
      <c r="J54" s="4"/>
      <c r="K54" s="4"/>
      <c r="L54" s="4"/>
      <c r="M54" s="4"/>
      <c r="N54" s="4"/>
    </row>
    <row r="55" spans="1:14" s="6" customFormat="1" x14ac:dyDescent="0.15">
      <c r="A55" s="4"/>
      <c r="C55" s="4"/>
      <c r="E55" s="4"/>
      <c r="F55" s="4"/>
      <c r="G55" s="4"/>
      <c r="H55" s="4"/>
      <c r="I55" s="4"/>
      <c r="J55" s="4"/>
      <c r="K55" s="4"/>
      <c r="L55" s="4"/>
      <c r="M55" s="4"/>
      <c r="N55" s="4"/>
    </row>
    <row r="56" spans="1:14" s="6" customFormat="1" x14ac:dyDescent="0.15">
      <c r="A56" s="4"/>
      <c r="C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s="6" customFormat="1" x14ac:dyDescent="0.15">
      <c r="A57" s="4"/>
      <c r="C57" s="4"/>
      <c r="E57" s="4"/>
      <c r="F57" s="4"/>
      <c r="G57" s="4"/>
      <c r="H57" s="4"/>
      <c r="I57" s="4"/>
      <c r="J57" s="4"/>
      <c r="K57" s="4"/>
      <c r="L57" s="4"/>
      <c r="M57" s="4"/>
      <c r="N57" s="4"/>
    </row>
    <row r="58" spans="1:14" s="6" customFormat="1" x14ac:dyDescent="0.15">
      <c r="A58" s="4"/>
      <c r="C58" s="4"/>
      <c r="E58" s="4"/>
      <c r="F58" s="4"/>
      <c r="G58" s="4"/>
      <c r="H58" s="4"/>
      <c r="I58" s="4"/>
      <c r="J58" s="4"/>
      <c r="K58" s="4"/>
      <c r="L58" s="4"/>
      <c r="M58" s="4"/>
      <c r="N58" s="4"/>
    </row>
    <row r="59" spans="1:14" s="6" customFormat="1" x14ac:dyDescent="0.15">
      <c r="A59" s="4"/>
      <c r="C59" s="4"/>
      <c r="E59" s="4"/>
      <c r="F59" s="4"/>
      <c r="G59" s="4"/>
      <c r="H59" s="4"/>
      <c r="I59" s="4"/>
      <c r="J59" s="4"/>
      <c r="K59" s="4"/>
      <c r="L59" s="4"/>
      <c r="M59" s="4"/>
      <c r="N59" s="4"/>
    </row>
    <row r="60" spans="1:14" s="6" customFormat="1" x14ac:dyDescent="0.15">
      <c r="A60" s="4"/>
      <c r="C60" s="4"/>
      <c r="E60" s="4"/>
      <c r="F60" s="4"/>
      <c r="G60" s="4"/>
      <c r="H60" s="4"/>
      <c r="I60" s="4"/>
      <c r="J60" s="4"/>
      <c r="K60" s="4"/>
      <c r="L60" s="4"/>
      <c r="M60" s="4"/>
      <c r="N60" s="4"/>
    </row>
    <row r="61" spans="1:14" s="6" customFormat="1" x14ac:dyDescent="0.15">
      <c r="A61" s="4"/>
      <c r="C61" s="4"/>
      <c r="E61" s="4"/>
      <c r="F61" s="4"/>
      <c r="G61" s="4"/>
      <c r="H61" s="4"/>
      <c r="I61" s="4"/>
      <c r="J61" s="4"/>
      <c r="K61" s="4"/>
      <c r="L61" s="4"/>
      <c r="M61" s="4"/>
      <c r="N61" s="4"/>
    </row>
    <row r="62" spans="1:14" s="6" customFormat="1" x14ac:dyDescent="0.15">
      <c r="A62" s="4"/>
      <c r="C62" s="4"/>
      <c r="E62" s="4"/>
      <c r="F62" s="4"/>
      <c r="G62" s="4"/>
      <c r="H62" s="4"/>
      <c r="I62" s="4"/>
      <c r="J62" s="4"/>
      <c r="K62" s="4"/>
      <c r="L62" s="4"/>
      <c r="M62" s="4"/>
      <c r="N62" s="4"/>
    </row>
    <row r="63" spans="1:14" s="6" customFormat="1" x14ac:dyDescent="0.15">
      <c r="A63" s="4"/>
      <c r="C63" s="4"/>
      <c r="E63" s="4"/>
      <c r="F63" s="4"/>
      <c r="G63" s="4"/>
      <c r="H63" s="4"/>
      <c r="I63" s="4"/>
      <c r="J63" s="4"/>
      <c r="K63" s="4"/>
      <c r="L63" s="4"/>
      <c r="M63" s="4"/>
      <c r="N63" s="4"/>
    </row>
    <row r="64" spans="1:14" s="6" customFormat="1" x14ac:dyDescent="0.15">
      <c r="A64" s="4"/>
      <c r="C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s="6" customFormat="1" x14ac:dyDescent="0.15">
      <c r="A65" s="4"/>
      <c r="C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s="6" customFormat="1" x14ac:dyDescent="0.15">
      <c r="A66" s="4"/>
      <c r="C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s="6" customFormat="1" x14ac:dyDescent="0.15">
      <c r="A67" s="4"/>
      <c r="C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s="6" customFormat="1" x14ac:dyDescent="0.15">
      <c r="A68" s="4"/>
      <c r="C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s="6" customFormat="1" x14ac:dyDescent="0.15">
      <c r="A69" s="4"/>
      <c r="C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s="6" customFormat="1" x14ac:dyDescent="0.15">
      <c r="A70" s="4"/>
      <c r="C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s="6" customFormat="1" x14ac:dyDescent="0.15">
      <c r="A71" s="4"/>
      <c r="C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s="6" customFormat="1" x14ac:dyDescent="0.15">
      <c r="A72" s="4"/>
      <c r="C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s="6" customFormat="1" x14ac:dyDescent="0.15">
      <c r="A73" s="4"/>
      <c r="C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s="6" customFormat="1" x14ac:dyDescent="0.15">
      <c r="A74" s="4"/>
      <c r="C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s="6" customFormat="1" x14ac:dyDescent="0.15">
      <c r="A75" s="4"/>
      <c r="C75" s="4"/>
      <c r="E75" s="4"/>
      <c r="F75" s="4"/>
      <c r="G75" s="4"/>
      <c r="H75" s="4"/>
      <c r="I75" s="4"/>
      <c r="J75" s="4"/>
      <c r="K75" s="4"/>
      <c r="L75" s="4"/>
      <c r="M75" s="4"/>
      <c r="N75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76"/>
  <sheetViews>
    <sheetView workbookViewId="0">
      <pane ySplit="8" topLeftCell="A9" activePane="bottomLeft" state="frozen"/>
      <selection pane="bottomLeft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20.625" style="6" customWidth="1"/>
    <col min="4" max="4" width="10.875" style="6" customWidth="1"/>
    <col min="5" max="5" width="28.25" style="6" customWidth="1"/>
    <col min="6" max="6" width="31.5" style="6" customWidth="1"/>
    <col min="7" max="7" width="12" style="4" customWidth="1"/>
    <col min="8" max="8" width="10.875" style="4" customWidth="1"/>
    <col min="9" max="16384" width="9" style="4"/>
  </cols>
  <sheetData>
    <row r="1" spans="1:9" s="1" customFormat="1" x14ac:dyDescent="0.15">
      <c r="A1" s="5" t="s">
        <v>218</v>
      </c>
      <c r="B1" s="1" t="s">
        <v>12</v>
      </c>
      <c r="C1" s="1" t="s">
        <v>8</v>
      </c>
      <c r="D1" s="1" t="s">
        <v>8</v>
      </c>
      <c r="E1" s="1" t="s">
        <v>8</v>
      </c>
      <c r="F1" s="1" t="s">
        <v>8</v>
      </c>
      <c r="G1" s="1" t="s">
        <v>28</v>
      </c>
      <c r="H1" s="1" t="s">
        <v>28</v>
      </c>
    </row>
    <row r="2" spans="1:9" s="1" customFormat="1" x14ac:dyDescent="0.15">
      <c r="A2" s="5" t="s">
        <v>14</v>
      </c>
      <c r="B2" s="1" t="s">
        <v>8</v>
      </c>
      <c r="C2" s="1" t="s">
        <v>8</v>
      </c>
      <c r="D2" s="1" t="s">
        <v>8</v>
      </c>
      <c r="E2" s="1" t="s">
        <v>8</v>
      </c>
      <c r="F2" s="1" t="s">
        <v>8</v>
      </c>
      <c r="G2" s="1" t="s">
        <v>28</v>
      </c>
      <c r="H2" s="1" t="s">
        <v>28</v>
      </c>
    </row>
    <row r="3" spans="1:9" s="2" customFormat="1" ht="14.25" x14ac:dyDescent="0.15">
      <c r="A3" s="16" t="s">
        <v>8</v>
      </c>
      <c r="B3" s="16" t="s">
        <v>9</v>
      </c>
      <c r="C3" s="16" t="s">
        <v>91</v>
      </c>
      <c r="D3" s="16" t="s">
        <v>92</v>
      </c>
      <c r="E3" s="16" t="s">
        <v>93</v>
      </c>
      <c r="F3" s="16" t="s">
        <v>93</v>
      </c>
      <c r="G3" s="16" t="s">
        <v>94</v>
      </c>
      <c r="H3" s="16" t="s">
        <v>94</v>
      </c>
    </row>
    <row r="4" spans="1:9" s="2" customFormat="1" ht="14.25" x14ac:dyDescent="0.15">
      <c r="A4" s="16"/>
      <c r="B4" s="16" t="s">
        <v>11</v>
      </c>
      <c r="C4" s="16" t="s">
        <v>95</v>
      </c>
      <c r="D4" s="16" t="s">
        <v>90</v>
      </c>
      <c r="E4" s="16" t="s">
        <v>25</v>
      </c>
      <c r="F4" s="16" t="s">
        <v>96</v>
      </c>
      <c r="G4" s="16" t="s">
        <v>97</v>
      </c>
      <c r="H4" s="16" t="s">
        <v>98</v>
      </c>
    </row>
    <row r="5" spans="1:9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i</v>
      </c>
      <c r="D5" s="16" t="str">
        <f>IF(D3="","",IF(D3="INT","i",IF(D3="FLOAT","f",IF(D3="STRING","s"))))</f>
        <v>i</v>
      </c>
      <c r="E5" s="16" t="str">
        <f>IF(E3="","",IF(E3="INT","i",IF(E3="FLOAT","f",IF(E3="STRING","s"))))</f>
        <v>s</v>
      </c>
      <c r="F5" s="16" t="str">
        <f>IF(F3="","",IF(F3="INT","i",IF(F3="FLOAT","f",IF(F3="STRING","s"))))</f>
        <v>s</v>
      </c>
      <c r="G5" s="16" t="s">
        <v>53</v>
      </c>
      <c r="H5" s="16" t="s">
        <v>87</v>
      </c>
    </row>
    <row r="6" spans="1:9" s="2" customFormat="1" ht="14.25" x14ac:dyDescent="0.15">
      <c r="A6" s="16" t="s">
        <v>8</v>
      </c>
      <c r="B6" s="16" t="str">
        <f t="shared" ref="B6:H6" si="0">B5&amp;B4</f>
        <v>iID</v>
      </c>
      <c r="C6" s="16" t="str">
        <f t="shared" si="0"/>
        <v>iTaskChainId</v>
      </c>
      <c r="D6" s="16" t="str">
        <f t="shared" si="0"/>
        <v>iTaskRank</v>
      </c>
      <c r="E6" s="16" t="str">
        <f t="shared" si="0"/>
        <v>sTaskName</v>
      </c>
      <c r="F6" s="16" t="str">
        <f t="shared" si="0"/>
        <v>sTaskDesc</v>
      </c>
      <c r="G6" s="16" t="str">
        <f t="shared" si="0"/>
        <v>sIcon</v>
      </c>
      <c r="H6" s="16" t="str">
        <f t="shared" si="0"/>
        <v>sTaskAward</v>
      </c>
    </row>
    <row r="7" spans="1:9" s="3" customFormat="1" ht="14.25" x14ac:dyDescent="0.15">
      <c r="A7" s="16"/>
      <c r="B7" s="16" t="s">
        <v>99</v>
      </c>
      <c r="C7" s="16" t="s">
        <v>100</v>
      </c>
      <c r="D7" s="16" t="s">
        <v>101</v>
      </c>
      <c r="E7" s="16" t="s">
        <v>89</v>
      </c>
      <c r="F7" s="16" t="s">
        <v>102</v>
      </c>
      <c r="G7" s="16" t="s">
        <v>103</v>
      </c>
      <c r="H7" s="16" t="s">
        <v>104</v>
      </c>
    </row>
    <row r="8" spans="1:9" s="3" customFormat="1" ht="14.25" x14ac:dyDescent="0.15">
      <c r="A8" s="16" t="s">
        <v>10</v>
      </c>
      <c r="B8" s="16" t="e">
        <f>MODE(B9:B968)</f>
        <v>#N/A</v>
      </c>
      <c r="C8" s="16">
        <v>0</v>
      </c>
      <c r="D8" s="16">
        <v>0</v>
      </c>
      <c r="E8" s="16">
        <v>0</v>
      </c>
      <c r="F8" s="16"/>
    </row>
    <row r="9" spans="1:9" ht="14.25" x14ac:dyDescent="0.15">
      <c r="A9" s="17" t="s">
        <v>8</v>
      </c>
      <c r="B9" s="18">
        <v>1</v>
      </c>
      <c r="C9" s="19">
        <v>1</v>
      </c>
      <c r="D9" s="19">
        <v>1</v>
      </c>
      <c r="E9" s="19" t="s">
        <v>105</v>
      </c>
      <c r="F9" s="50" t="s">
        <v>217</v>
      </c>
      <c r="G9" s="7"/>
      <c r="H9" s="23" t="s">
        <v>544</v>
      </c>
    </row>
    <row r="10" spans="1:9" ht="14.25" x14ac:dyDescent="0.15">
      <c r="A10" s="49"/>
      <c r="B10" s="18">
        <v>2</v>
      </c>
      <c r="C10" s="19">
        <v>2</v>
      </c>
      <c r="D10" s="19">
        <v>2</v>
      </c>
      <c r="E10" s="19" t="s">
        <v>212</v>
      </c>
      <c r="F10" s="19" t="s">
        <v>213</v>
      </c>
      <c r="G10" s="7"/>
      <c r="H10" s="23" t="s">
        <v>216</v>
      </c>
    </row>
    <row r="11" spans="1:9" ht="14.25" x14ac:dyDescent="0.15">
      <c r="A11" s="49"/>
      <c r="B11" s="18">
        <v>3</v>
      </c>
      <c r="C11" s="19">
        <v>3</v>
      </c>
      <c r="D11" s="19">
        <v>3</v>
      </c>
      <c r="E11" s="4" t="s">
        <v>210</v>
      </c>
      <c r="F11" s="4" t="s">
        <v>214</v>
      </c>
      <c r="G11" s="7"/>
      <c r="H11" s="23" t="s">
        <v>216</v>
      </c>
    </row>
    <row r="12" spans="1:9" ht="14.25" x14ac:dyDescent="0.15">
      <c r="A12" s="49"/>
      <c r="B12" s="18">
        <v>4</v>
      </c>
      <c r="C12" s="19">
        <v>4</v>
      </c>
      <c r="D12" s="19">
        <v>4</v>
      </c>
      <c r="E12" s="4" t="s">
        <v>211</v>
      </c>
      <c r="F12" s="4" t="s">
        <v>215</v>
      </c>
      <c r="G12" s="7"/>
      <c r="H12" s="23" t="s">
        <v>216</v>
      </c>
    </row>
    <row r="13" spans="1:9" ht="14.25" x14ac:dyDescent="0.15">
      <c r="A13" s="17"/>
      <c r="B13" s="18"/>
      <c r="C13" s="19"/>
      <c r="D13" s="19"/>
      <c r="E13" s="4"/>
      <c r="F13" s="4"/>
      <c r="G13" s="7"/>
      <c r="H13" s="23"/>
    </row>
    <row r="14" spans="1:9" x14ac:dyDescent="0.15">
      <c r="C14" s="4"/>
      <c r="D14" s="4"/>
      <c r="E14" s="4"/>
      <c r="F14" s="4"/>
      <c r="G14" s="7"/>
      <c r="H14" s="8"/>
    </row>
    <row r="15" spans="1:9" x14ac:dyDescent="0.15">
      <c r="C15" s="4"/>
      <c r="D15" s="4"/>
      <c r="E15" s="4"/>
      <c r="F15" s="4"/>
      <c r="G15" s="7"/>
      <c r="H15" s="8"/>
    </row>
    <row r="16" spans="1:9" s="6" customFormat="1" x14ac:dyDescent="0.15">
      <c r="A16" s="4"/>
      <c r="C16" s="4"/>
      <c r="D16" s="4"/>
      <c r="E16" s="4"/>
      <c r="F16" s="4"/>
      <c r="G16" s="7"/>
      <c r="H16" s="8"/>
      <c r="I16" s="4"/>
    </row>
    <row r="17" spans="1:9" s="6" customFormat="1" x14ac:dyDescent="0.15">
      <c r="A17" s="4"/>
      <c r="C17" s="4"/>
      <c r="D17" s="4"/>
      <c r="E17" s="4"/>
      <c r="F17" s="4"/>
      <c r="G17" s="7"/>
      <c r="H17" s="8"/>
      <c r="I17" s="4"/>
    </row>
    <row r="18" spans="1:9" s="6" customFormat="1" x14ac:dyDescent="0.15">
      <c r="A18" s="4"/>
      <c r="C18" s="4"/>
      <c r="D18" s="4"/>
      <c r="E18" s="4"/>
      <c r="F18" s="4"/>
      <c r="G18" s="7"/>
      <c r="H18" s="8"/>
      <c r="I18" s="4"/>
    </row>
    <row r="19" spans="1:9" s="6" customFormat="1" x14ac:dyDescent="0.15">
      <c r="A19" s="4"/>
      <c r="C19" s="4"/>
      <c r="D19" s="4"/>
      <c r="E19" s="4"/>
      <c r="F19" s="4"/>
      <c r="G19" s="7"/>
      <c r="H19" s="8"/>
      <c r="I19" s="4"/>
    </row>
    <row r="20" spans="1:9" s="6" customFormat="1" x14ac:dyDescent="0.15">
      <c r="A20" s="4"/>
      <c r="C20" s="4"/>
      <c r="D20" s="4"/>
      <c r="E20" s="4"/>
      <c r="F20" s="4"/>
      <c r="G20" s="7"/>
      <c r="H20" s="8"/>
      <c r="I20" s="4"/>
    </row>
    <row r="21" spans="1:9" s="6" customFormat="1" x14ac:dyDescent="0.15">
      <c r="A21" s="4"/>
      <c r="C21" s="4"/>
      <c r="D21" s="4"/>
      <c r="E21" s="4"/>
      <c r="F21" s="4"/>
      <c r="G21" s="7"/>
      <c r="H21" s="8"/>
      <c r="I21" s="4"/>
    </row>
    <row r="22" spans="1:9" s="6" customFormat="1" x14ac:dyDescent="0.15">
      <c r="A22" s="4"/>
      <c r="C22" s="4"/>
      <c r="D22" s="4"/>
      <c r="E22" s="4"/>
      <c r="F22" s="4"/>
      <c r="G22" s="7"/>
      <c r="H22" s="8"/>
      <c r="I22" s="4"/>
    </row>
    <row r="23" spans="1:9" s="6" customFormat="1" x14ac:dyDescent="0.15">
      <c r="A23" s="4"/>
      <c r="C23" s="4"/>
      <c r="D23" s="4"/>
      <c r="E23" s="4"/>
      <c r="F23" s="4"/>
      <c r="G23" s="7"/>
      <c r="H23" s="8"/>
      <c r="I23" s="4"/>
    </row>
    <row r="24" spans="1:9" s="6" customFormat="1" x14ac:dyDescent="0.15">
      <c r="A24" s="4"/>
      <c r="C24" s="4"/>
      <c r="D24" s="4"/>
      <c r="E24" s="4"/>
      <c r="F24" s="4"/>
      <c r="G24" s="7"/>
      <c r="H24" s="8"/>
      <c r="I24" s="4"/>
    </row>
    <row r="25" spans="1:9" s="6" customFormat="1" x14ac:dyDescent="0.15">
      <c r="A25" s="4"/>
      <c r="C25" s="4"/>
      <c r="D25" s="4"/>
      <c r="E25" s="4"/>
      <c r="F25" s="4"/>
      <c r="G25" s="7"/>
      <c r="H25" s="8"/>
      <c r="I25" s="4"/>
    </row>
    <row r="26" spans="1:9" s="6" customFormat="1" x14ac:dyDescent="0.15">
      <c r="A26" s="4"/>
      <c r="C26" s="4"/>
      <c r="D26" s="4"/>
      <c r="E26" s="4"/>
      <c r="F26" s="4"/>
      <c r="G26" s="7"/>
      <c r="H26" s="8"/>
      <c r="I26" s="4"/>
    </row>
    <row r="27" spans="1:9" s="6" customFormat="1" x14ac:dyDescent="0.15">
      <c r="A27" s="4"/>
      <c r="C27" s="4"/>
      <c r="D27" s="4"/>
      <c r="E27" s="4"/>
      <c r="F27" s="4"/>
      <c r="G27" s="7"/>
      <c r="H27" s="8"/>
      <c r="I27" s="4"/>
    </row>
    <row r="28" spans="1:9" s="6" customFormat="1" x14ac:dyDescent="0.15">
      <c r="A28" s="4"/>
      <c r="C28" s="4"/>
      <c r="D28" s="4"/>
      <c r="E28" s="4"/>
      <c r="F28" s="4"/>
      <c r="G28" s="7"/>
      <c r="H28" s="8"/>
      <c r="I28" s="4"/>
    </row>
    <row r="29" spans="1:9" s="6" customFormat="1" x14ac:dyDescent="0.15">
      <c r="A29" s="4"/>
      <c r="C29" s="4"/>
      <c r="D29" s="4"/>
      <c r="E29" s="4"/>
      <c r="F29" s="4"/>
      <c r="G29" s="7"/>
      <c r="H29" s="8"/>
      <c r="I29" s="4"/>
    </row>
    <row r="30" spans="1:9" s="6" customFormat="1" x14ac:dyDescent="0.15">
      <c r="A30" s="4"/>
      <c r="C30" s="4"/>
      <c r="D30" s="4"/>
      <c r="E30" s="4"/>
      <c r="F30" s="4"/>
      <c r="G30" s="7"/>
      <c r="H30" s="8"/>
      <c r="I30" s="4"/>
    </row>
    <row r="31" spans="1:9" s="6" customFormat="1" x14ac:dyDescent="0.15">
      <c r="A31" s="4"/>
      <c r="C31" s="4"/>
      <c r="D31" s="4"/>
      <c r="E31" s="4"/>
      <c r="F31" s="4"/>
      <c r="G31" s="7"/>
      <c r="H31" s="8"/>
      <c r="I31" s="4"/>
    </row>
    <row r="32" spans="1:9" s="6" customFormat="1" x14ac:dyDescent="0.15">
      <c r="A32" s="4"/>
      <c r="C32" s="4"/>
      <c r="D32" s="4"/>
      <c r="E32" s="4"/>
      <c r="F32" s="4"/>
      <c r="G32" s="7"/>
      <c r="H32" s="8"/>
      <c r="I32" s="4"/>
    </row>
    <row r="33" spans="1:9" s="6" customFormat="1" x14ac:dyDescent="0.15">
      <c r="A33" s="4"/>
      <c r="C33" s="4"/>
      <c r="D33" s="4"/>
      <c r="E33" s="4"/>
      <c r="F33" s="4"/>
      <c r="G33" s="7"/>
      <c r="H33" s="8"/>
      <c r="I33" s="4"/>
    </row>
    <row r="34" spans="1:9" s="6" customFormat="1" x14ac:dyDescent="0.15">
      <c r="A34" s="4"/>
      <c r="C34" s="4"/>
      <c r="D34" s="4"/>
      <c r="E34" s="4"/>
      <c r="F34" s="4"/>
      <c r="G34" s="7"/>
      <c r="H34" s="8"/>
      <c r="I34" s="4"/>
    </row>
    <row r="35" spans="1:9" s="6" customFormat="1" x14ac:dyDescent="0.15">
      <c r="A35" s="4"/>
      <c r="C35" s="4"/>
      <c r="D35" s="4"/>
      <c r="E35" s="4"/>
      <c r="F35" s="4"/>
      <c r="G35" s="4"/>
      <c r="H35" s="4"/>
      <c r="I35" s="4"/>
    </row>
    <row r="36" spans="1:9" s="6" customFormat="1" x14ac:dyDescent="0.15">
      <c r="A36" s="4"/>
      <c r="C36" s="4"/>
      <c r="D36" s="4"/>
      <c r="E36" s="4"/>
      <c r="F36" s="4"/>
      <c r="G36" s="4"/>
      <c r="H36" s="4"/>
      <c r="I36" s="4"/>
    </row>
    <row r="37" spans="1:9" s="6" customFormat="1" x14ac:dyDescent="0.15">
      <c r="A37" s="4"/>
      <c r="C37" s="4"/>
      <c r="D37" s="4"/>
      <c r="E37" s="4"/>
      <c r="F37" s="4"/>
      <c r="G37" s="4"/>
      <c r="H37" s="4"/>
      <c r="I37" s="4"/>
    </row>
    <row r="38" spans="1:9" s="6" customFormat="1" x14ac:dyDescent="0.15">
      <c r="A38" s="4"/>
      <c r="C38" s="4"/>
      <c r="D38" s="4"/>
      <c r="E38" s="4"/>
      <c r="F38" s="4"/>
      <c r="G38" s="4"/>
      <c r="H38" s="4"/>
      <c r="I38" s="4"/>
    </row>
    <row r="39" spans="1:9" s="6" customFormat="1" x14ac:dyDescent="0.15">
      <c r="A39" s="4"/>
      <c r="C39" s="4"/>
      <c r="D39" s="4"/>
      <c r="E39" s="4"/>
      <c r="F39" s="4"/>
      <c r="G39" s="4"/>
      <c r="H39" s="4"/>
      <c r="I39" s="4"/>
    </row>
    <row r="40" spans="1:9" s="6" customFormat="1" x14ac:dyDescent="0.15">
      <c r="A40" s="4"/>
      <c r="C40" s="4"/>
      <c r="D40" s="4"/>
      <c r="E40" s="4"/>
      <c r="F40" s="4"/>
      <c r="G40" s="4"/>
      <c r="H40" s="4"/>
      <c r="I40" s="4"/>
    </row>
    <row r="41" spans="1:9" s="6" customFormat="1" x14ac:dyDescent="0.15">
      <c r="A41" s="4"/>
      <c r="C41" s="4"/>
      <c r="D41" s="4"/>
      <c r="E41" s="4"/>
      <c r="F41" s="4"/>
      <c r="G41" s="4"/>
      <c r="H41" s="4"/>
      <c r="I41" s="4"/>
    </row>
    <row r="42" spans="1:9" s="6" customFormat="1" x14ac:dyDescent="0.15">
      <c r="A42" s="4"/>
      <c r="C42" s="4"/>
      <c r="D42" s="4"/>
      <c r="E42" s="4"/>
      <c r="F42" s="4"/>
      <c r="G42" s="4"/>
      <c r="H42" s="4"/>
      <c r="I42" s="4"/>
    </row>
    <row r="43" spans="1:9" s="6" customFormat="1" x14ac:dyDescent="0.15">
      <c r="A43" s="4"/>
      <c r="C43" s="4"/>
      <c r="D43" s="4"/>
      <c r="E43" s="4"/>
      <c r="F43" s="4"/>
      <c r="G43" s="4"/>
      <c r="H43" s="4"/>
      <c r="I43" s="4"/>
    </row>
    <row r="44" spans="1:9" s="6" customFormat="1" x14ac:dyDescent="0.15">
      <c r="A44" s="4"/>
      <c r="C44" s="4"/>
      <c r="D44" s="4"/>
      <c r="E44" s="4"/>
      <c r="F44" s="4"/>
      <c r="G44" s="4"/>
      <c r="H44" s="4"/>
      <c r="I44" s="4"/>
    </row>
    <row r="45" spans="1:9" s="6" customFormat="1" x14ac:dyDescent="0.15">
      <c r="A45" s="4"/>
      <c r="C45" s="4"/>
      <c r="D45" s="4"/>
      <c r="E45" s="4"/>
      <c r="F45" s="4"/>
      <c r="G45" s="4"/>
      <c r="H45" s="4"/>
      <c r="I45" s="4"/>
    </row>
    <row r="46" spans="1:9" s="6" customFormat="1" x14ac:dyDescent="0.15">
      <c r="A46" s="4"/>
      <c r="C46" s="4"/>
      <c r="D46" s="4"/>
      <c r="E46" s="4"/>
      <c r="F46" s="4"/>
      <c r="G46" s="4"/>
      <c r="H46" s="4"/>
      <c r="I46" s="4"/>
    </row>
    <row r="47" spans="1:9" s="6" customFormat="1" x14ac:dyDescent="0.15">
      <c r="A47" s="4"/>
      <c r="C47" s="4"/>
      <c r="D47" s="4"/>
      <c r="E47" s="4"/>
      <c r="F47" s="4"/>
      <c r="G47" s="4"/>
      <c r="H47" s="4"/>
      <c r="I47" s="4"/>
    </row>
    <row r="48" spans="1:9" s="6" customFormat="1" x14ac:dyDescent="0.15">
      <c r="A48" s="4"/>
      <c r="C48" s="4"/>
      <c r="D48" s="4"/>
      <c r="E48" s="4"/>
      <c r="F48" s="4"/>
      <c r="G48" s="4"/>
      <c r="H48" s="4"/>
      <c r="I48" s="4"/>
    </row>
    <row r="49" spans="1:9" s="6" customFormat="1" x14ac:dyDescent="0.15">
      <c r="A49" s="4"/>
      <c r="C49" s="4"/>
      <c r="D49" s="4"/>
      <c r="E49" s="4"/>
      <c r="F49" s="4"/>
      <c r="G49" s="4"/>
      <c r="H49" s="4"/>
      <c r="I49" s="4"/>
    </row>
    <row r="50" spans="1:9" s="6" customFormat="1" x14ac:dyDescent="0.15">
      <c r="A50" s="4"/>
      <c r="C50" s="4"/>
      <c r="D50" s="4"/>
      <c r="E50" s="4"/>
      <c r="F50" s="4"/>
      <c r="G50" s="4"/>
      <c r="H50" s="4"/>
      <c r="I50" s="4"/>
    </row>
    <row r="51" spans="1:9" s="6" customFormat="1" x14ac:dyDescent="0.15">
      <c r="A51" s="4"/>
      <c r="C51" s="4"/>
      <c r="D51" s="4"/>
      <c r="E51" s="4"/>
      <c r="F51" s="4"/>
      <c r="G51" s="7"/>
      <c r="H51" s="8"/>
      <c r="I51" s="4"/>
    </row>
    <row r="52" spans="1:9" s="6" customFormat="1" x14ac:dyDescent="0.15">
      <c r="A52" s="4"/>
      <c r="C52" s="4"/>
      <c r="D52" s="4"/>
      <c r="E52" s="4"/>
      <c r="F52" s="4"/>
      <c r="G52" s="7"/>
      <c r="H52" s="8"/>
      <c r="I52" s="4"/>
    </row>
    <row r="53" spans="1:9" s="6" customFormat="1" x14ac:dyDescent="0.15">
      <c r="A53" s="4"/>
      <c r="C53" s="4"/>
      <c r="D53" s="4"/>
      <c r="E53" s="4"/>
      <c r="F53" s="4"/>
      <c r="G53" s="7"/>
      <c r="H53" s="8"/>
      <c r="I53" s="4"/>
    </row>
    <row r="54" spans="1:9" s="6" customFormat="1" x14ac:dyDescent="0.15">
      <c r="A54" s="4"/>
      <c r="C54" s="4"/>
      <c r="D54" s="4"/>
      <c r="E54" s="4"/>
      <c r="F54" s="4"/>
      <c r="G54" s="7"/>
      <c r="H54" s="8"/>
      <c r="I54" s="4"/>
    </row>
    <row r="55" spans="1:9" s="6" customFormat="1" x14ac:dyDescent="0.15">
      <c r="A55" s="4"/>
      <c r="C55" s="4"/>
      <c r="D55" s="4"/>
      <c r="E55" s="4"/>
      <c r="F55" s="4"/>
      <c r="G55" s="7"/>
      <c r="H55" s="8"/>
      <c r="I55" s="4"/>
    </row>
    <row r="56" spans="1:9" s="6" customFormat="1" x14ac:dyDescent="0.15">
      <c r="A56" s="4"/>
      <c r="C56" s="4"/>
      <c r="D56" s="4"/>
      <c r="E56" s="4"/>
      <c r="F56" s="4"/>
      <c r="G56" s="4"/>
      <c r="H56" s="4"/>
      <c r="I56" s="4"/>
    </row>
    <row r="57" spans="1:9" s="6" customFormat="1" x14ac:dyDescent="0.15">
      <c r="A57" s="4"/>
      <c r="C57" s="4"/>
      <c r="D57" s="4"/>
      <c r="E57" s="4"/>
      <c r="F57" s="4"/>
      <c r="G57" s="4"/>
      <c r="H57" s="4"/>
      <c r="I57" s="4"/>
    </row>
    <row r="58" spans="1:9" s="6" customFormat="1" x14ac:dyDescent="0.15">
      <c r="A58" s="4"/>
      <c r="C58" s="4"/>
      <c r="D58" s="4"/>
      <c r="E58" s="4"/>
      <c r="F58" s="4"/>
      <c r="G58" s="4"/>
      <c r="H58" s="4"/>
      <c r="I58" s="4"/>
    </row>
    <row r="59" spans="1:9" s="6" customFormat="1" x14ac:dyDescent="0.15">
      <c r="A59" s="4"/>
      <c r="C59" s="4"/>
      <c r="D59" s="4"/>
      <c r="E59" s="4"/>
      <c r="F59" s="4"/>
      <c r="G59" s="4"/>
      <c r="H59" s="4"/>
      <c r="I59" s="4"/>
    </row>
    <row r="60" spans="1:9" s="6" customFormat="1" x14ac:dyDescent="0.15">
      <c r="A60" s="4"/>
      <c r="C60" s="4"/>
      <c r="D60" s="4"/>
      <c r="E60" s="4"/>
      <c r="F60" s="4"/>
      <c r="G60" s="4"/>
      <c r="H60" s="4"/>
      <c r="I60" s="4"/>
    </row>
    <row r="61" spans="1:9" s="6" customFormat="1" x14ac:dyDescent="0.15">
      <c r="A61" s="4"/>
      <c r="C61" s="4"/>
      <c r="D61" s="4"/>
      <c r="E61" s="4"/>
      <c r="F61" s="4"/>
      <c r="G61" s="4"/>
      <c r="H61" s="4"/>
      <c r="I61" s="4"/>
    </row>
    <row r="62" spans="1:9" s="6" customFormat="1" x14ac:dyDescent="0.15">
      <c r="A62" s="4"/>
      <c r="C62" s="4"/>
      <c r="D62" s="4"/>
      <c r="E62" s="4"/>
      <c r="F62" s="4"/>
      <c r="G62" s="4"/>
      <c r="H62" s="4"/>
      <c r="I62" s="4"/>
    </row>
    <row r="63" spans="1:9" s="6" customFormat="1" x14ac:dyDescent="0.15">
      <c r="A63" s="4"/>
      <c r="C63" s="4"/>
      <c r="D63" s="4"/>
      <c r="E63" s="4"/>
      <c r="F63" s="4"/>
      <c r="G63" s="4"/>
      <c r="H63" s="4"/>
      <c r="I63" s="4"/>
    </row>
    <row r="64" spans="1:9" s="6" customFormat="1" x14ac:dyDescent="0.15">
      <c r="A64" s="4"/>
      <c r="C64" s="4"/>
      <c r="D64" s="4"/>
      <c r="E64" s="4"/>
      <c r="F64" s="4"/>
      <c r="G64" s="4"/>
      <c r="H64" s="4"/>
      <c r="I64" s="4"/>
    </row>
    <row r="65" spans="1:9" s="6" customFormat="1" x14ac:dyDescent="0.15">
      <c r="A65" s="4"/>
      <c r="C65" s="4"/>
      <c r="D65" s="4"/>
      <c r="E65" s="4"/>
      <c r="F65" s="4"/>
      <c r="G65" s="4"/>
      <c r="H65" s="4"/>
      <c r="I65" s="4"/>
    </row>
    <row r="66" spans="1:9" s="6" customFormat="1" x14ac:dyDescent="0.15">
      <c r="A66" s="4"/>
      <c r="C66" s="4"/>
      <c r="D66" s="4"/>
      <c r="E66" s="4"/>
      <c r="F66" s="4"/>
      <c r="G66" s="4"/>
      <c r="H66" s="4"/>
      <c r="I66" s="4"/>
    </row>
    <row r="67" spans="1:9" s="6" customFormat="1" x14ac:dyDescent="0.15">
      <c r="A67" s="4"/>
      <c r="C67" s="4"/>
      <c r="D67" s="4"/>
      <c r="E67" s="4"/>
      <c r="F67" s="4"/>
      <c r="G67" s="4"/>
      <c r="H67" s="4"/>
      <c r="I67" s="4"/>
    </row>
    <row r="68" spans="1:9" s="6" customFormat="1" x14ac:dyDescent="0.15">
      <c r="A68" s="4"/>
      <c r="C68" s="4"/>
      <c r="D68" s="4"/>
      <c r="E68" s="4"/>
      <c r="F68" s="4"/>
      <c r="G68" s="4"/>
      <c r="H68" s="4"/>
      <c r="I68" s="4"/>
    </row>
    <row r="69" spans="1:9" s="6" customFormat="1" x14ac:dyDescent="0.15">
      <c r="A69" s="4"/>
      <c r="C69" s="4"/>
      <c r="D69" s="4"/>
      <c r="E69" s="4"/>
      <c r="F69" s="4"/>
      <c r="G69" s="4"/>
      <c r="H69" s="4"/>
      <c r="I69" s="4"/>
    </row>
    <row r="70" spans="1:9" s="6" customFormat="1" x14ac:dyDescent="0.15">
      <c r="A70" s="4"/>
      <c r="C70" s="4"/>
      <c r="D70" s="4"/>
      <c r="E70" s="4"/>
      <c r="F70" s="4"/>
      <c r="G70" s="4"/>
      <c r="H70" s="4"/>
      <c r="I70" s="4"/>
    </row>
    <row r="71" spans="1:9" s="6" customFormat="1" x14ac:dyDescent="0.15">
      <c r="A71" s="4"/>
      <c r="C71" s="4"/>
      <c r="D71" s="4"/>
      <c r="E71" s="4"/>
      <c r="F71" s="4"/>
      <c r="G71" s="4"/>
      <c r="H71" s="4"/>
      <c r="I71" s="4"/>
    </row>
    <row r="72" spans="1:9" s="6" customFormat="1" x14ac:dyDescent="0.15">
      <c r="A72" s="4"/>
      <c r="C72" s="4"/>
      <c r="D72" s="4"/>
      <c r="E72" s="4"/>
      <c r="F72" s="4"/>
      <c r="G72" s="4"/>
      <c r="H72" s="4"/>
      <c r="I72" s="4"/>
    </row>
    <row r="73" spans="1:9" s="6" customFormat="1" x14ac:dyDescent="0.15">
      <c r="A73" s="4"/>
      <c r="C73" s="4"/>
      <c r="D73" s="4"/>
      <c r="E73" s="4"/>
      <c r="F73" s="4"/>
      <c r="G73" s="4"/>
      <c r="H73" s="4"/>
      <c r="I73" s="4"/>
    </row>
    <row r="74" spans="1:9" s="6" customFormat="1" x14ac:dyDescent="0.15">
      <c r="A74" s="4"/>
      <c r="C74" s="4"/>
      <c r="D74" s="4"/>
      <c r="E74" s="4"/>
      <c r="F74" s="4"/>
      <c r="G74" s="4"/>
      <c r="H74" s="4"/>
      <c r="I74" s="4"/>
    </row>
    <row r="75" spans="1:9" s="6" customFormat="1" x14ac:dyDescent="0.15">
      <c r="A75" s="4"/>
      <c r="C75" s="4"/>
      <c r="D75" s="4"/>
      <c r="E75" s="4"/>
      <c r="F75" s="4"/>
      <c r="G75" s="4"/>
      <c r="H75" s="4"/>
      <c r="I75" s="4"/>
    </row>
    <row r="76" spans="1:9" s="6" customFormat="1" x14ac:dyDescent="0.15">
      <c r="A76" s="4"/>
      <c r="C76" s="4"/>
      <c r="D76" s="4"/>
      <c r="E76" s="4"/>
      <c r="F76" s="4"/>
      <c r="G76" s="4"/>
      <c r="H76" s="4"/>
      <c r="I76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81"/>
  <sheetViews>
    <sheetView workbookViewId="0">
      <pane ySplit="8" topLeftCell="A9" activePane="bottomLeft" state="frozen"/>
      <selection pane="bottomLeft" activeCell="J25" sqref="J25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4" width="11.875" style="6" customWidth="1"/>
    <col min="5" max="5" width="14.25" style="6" customWidth="1"/>
    <col min="6" max="6" width="11.875" style="6" customWidth="1"/>
    <col min="7" max="9" width="13.5" style="6" customWidth="1"/>
    <col min="10" max="11" width="12.5" style="4" customWidth="1"/>
    <col min="12" max="13" width="9" style="4"/>
    <col min="14" max="14" width="13.125" style="6" bestFit="1" customWidth="1"/>
    <col min="15" max="19" width="9" style="4"/>
    <col min="20" max="20" width="44.125" style="4" customWidth="1"/>
    <col min="21" max="16384" width="9" style="4"/>
  </cols>
  <sheetData>
    <row r="1" spans="1:14" s="1" customFormat="1" x14ac:dyDescent="0.15">
      <c r="A1" s="5" t="s">
        <v>15</v>
      </c>
      <c r="B1" s="1" t="s">
        <v>12</v>
      </c>
      <c r="C1" s="1" t="s">
        <v>8</v>
      </c>
      <c r="D1" s="1" t="s">
        <v>8</v>
      </c>
      <c r="E1" s="1" t="s">
        <v>12</v>
      </c>
      <c r="F1" s="1" t="s">
        <v>12</v>
      </c>
      <c r="G1" s="1" t="s">
        <v>8</v>
      </c>
      <c r="H1" s="1" t="s">
        <v>12</v>
      </c>
      <c r="I1" s="1" t="s">
        <v>12</v>
      </c>
      <c r="J1" s="1" t="s">
        <v>12</v>
      </c>
    </row>
    <row r="2" spans="1:14" s="1" customFormat="1" x14ac:dyDescent="0.15">
      <c r="A2" s="5" t="s">
        <v>14</v>
      </c>
      <c r="B2" s="1" t="s">
        <v>8</v>
      </c>
      <c r="C2" s="1" t="s">
        <v>8</v>
      </c>
      <c r="D2" s="1" t="s">
        <v>8</v>
      </c>
      <c r="E2" s="1" t="s">
        <v>12</v>
      </c>
      <c r="F2" s="1" t="s">
        <v>12</v>
      </c>
      <c r="G2" s="1" t="s">
        <v>8</v>
      </c>
      <c r="H2" s="1" t="s">
        <v>12</v>
      </c>
      <c r="I2" s="1" t="s">
        <v>12</v>
      </c>
      <c r="J2" s="1" t="s">
        <v>12</v>
      </c>
    </row>
    <row r="3" spans="1:14" s="2" customFormat="1" ht="14.25" x14ac:dyDescent="0.15">
      <c r="A3" s="16" t="s">
        <v>8</v>
      </c>
      <c r="B3" s="16" t="s">
        <v>9</v>
      </c>
      <c r="C3" s="16" t="s">
        <v>20</v>
      </c>
      <c r="D3" s="16" t="s">
        <v>20</v>
      </c>
      <c r="E3" s="16" t="s">
        <v>20</v>
      </c>
      <c r="F3" s="16" t="s">
        <v>20</v>
      </c>
      <c r="G3" s="16" t="s">
        <v>20</v>
      </c>
      <c r="H3" s="16" t="s">
        <v>22</v>
      </c>
      <c r="I3" s="16" t="s">
        <v>22</v>
      </c>
      <c r="J3" s="16" t="s">
        <v>20</v>
      </c>
      <c r="K3" s="25"/>
    </row>
    <row r="4" spans="1:14" s="2" customFormat="1" ht="14.25" x14ac:dyDescent="0.15">
      <c r="A4" s="16"/>
      <c r="B4" s="16" t="s">
        <v>11</v>
      </c>
      <c r="C4" s="16" t="s">
        <v>24</v>
      </c>
      <c r="D4" s="16" t="s">
        <v>42</v>
      </c>
      <c r="E4" s="16" t="s">
        <v>45</v>
      </c>
      <c r="F4" s="16" t="s">
        <v>40</v>
      </c>
      <c r="G4" s="16" t="s">
        <v>56</v>
      </c>
      <c r="H4" s="16" t="s">
        <v>51</v>
      </c>
      <c r="I4" s="16" t="s">
        <v>52</v>
      </c>
      <c r="J4" s="16" t="s">
        <v>80</v>
      </c>
      <c r="K4" s="25"/>
    </row>
    <row r="5" spans="1:14" s="2" customFormat="1" ht="14.25" x14ac:dyDescent="0.15">
      <c r="A5" s="16"/>
      <c r="B5" s="16" t="str">
        <f t="shared" ref="B5:G5" si="0">IF(B3="","",IF(B3="INT","i",IF(B3="FLOAT","f",IF(B3="STRING","s"))))</f>
        <v>i</v>
      </c>
      <c r="C5" s="16" t="str">
        <f t="shared" si="0"/>
        <v>i</v>
      </c>
      <c r="D5" s="16" t="str">
        <f t="shared" si="0"/>
        <v>i</v>
      </c>
      <c r="E5" s="16" t="s">
        <v>39</v>
      </c>
      <c r="F5" s="16" t="s">
        <v>39</v>
      </c>
      <c r="G5" s="16" t="str">
        <f t="shared" si="0"/>
        <v>i</v>
      </c>
      <c r="H5" s="16" t="s">
        <v>53</v>
      </c>
      <c r="I5" s="16" t="s">
        <v>53</v>
      </c>
      <c r="J5" s="16" t="s">
        <v>30</v>
      </c>
      <c r="K5" s="25"/>
    </row>
    <row r="6" spans="1:14" s="2" customFormat="1" ht="14.25" x14ac:dyDescent="0.15">
      <c r="A6" s="16" t="s">
        <v>8</v>
      </c>
      <c r="B6" s="16" t="str">
        <f>B5&amp;B4</f>
        <v>iID</v>
      </c>
      <c r="C6" s="16" t="str">
        <f t="shared" ref="C6:I6" si="1">C5&amp;C4</f>
        <v>iTaskId</v>
      </c>
      <c r="D6" s="16" t="str">
        <f t="shared" si="1"/>
        <v>iLimitType</v>
      </c>
      <c r="E6" s="16" t="str">
        <f t="shared" si="1"/>
        <v>iLimitSubType</v>
      </c>
      <c r="F6" s="16" t="str">
        <f t="shared" si="1"/>
        <v>iJudgeType</v>
      </c>
      <c r="G6" s="16" t="str">
        <f t="shared" si="1"/>
        <v>iLimitValue</v>
      </c>
      <c r="H6" s="16" t="str">
        <f t="shared" si="1"/>
        <v>sParam1</v>
      </c>
      <c r="I6" s="16" t="str">
        <f t="shared" si="1"/>
        <v>sParam2</v>
      </c>
      <c r="J6" s="16" t="str">
        <f>J5&amp;J4</f>
        <v>iNecessary</v>
      </c>
      <c r="K6" s="25"/>
    </row>
    <row r="7" spans="1:14" s="3" customFormat="1" ht="14.25" x14ac:dyDescent="0.15">
      <c r="A7" s="16"/>
      <c r="B7" s="16" t="s">
        <v>37</v>
      </c>
      <c r="C7" s="16" t="s">
        <v>19</v>
      </c>
      <c r="D7" s="16" t="s">
        <v>43</v>
      </c>
      <c r="E7" s="16" t="s">
        <v>44</v>
      </c>
      <c r="F7" s="16" t="s">
        <v>41</v>
      </c>
      <c r="G7" s="16" t="s">
        <v>38</v>
      </c>
      <c r="H7" s="16" t="s">
        <v>54</v>
      </c>
      <c r="I7" s="16" t="s">
        <v>55</v>
      </c>
      <c r="J7" s="16" t="s">
        <v>81</v>
      </c>
      <c r="K7" s="26" t="s">
        <v>82</v>
      </c>
      <c r="N7" s="2"/>
    </row>
    <row r="8" spans="1:14" s="3" customFormat="1" ht="14.25" x14ac:dyDescent="0.15">
      <c r="A8" s="16" t="s">
        <v>10</v>
      </c>
      <c r="B8" s="16" t="e">
        <f>MODE(B9:B973)</f>
        <v>#N/A</v>
      </c>
      <c r="C8" s="16">
        <v>0</v>
      </c>
      <c r="D8" s="16">
        <v>0</v>
      </c>
      <c r="E8" s="16">
        <v>0</v>
      </c>
      <c r="F8" s="16"/>
      <c r="G8" s="16">
        <v>0</v>
      </c>
      <c r="H8" s="16"/>
      <c r="I8" s="16"/>
      <c r="J8" s="16">
        <v>1</v>
      </c>
      <c r="K8" s="27"/>
      <c r="N8" s="2"/>
    </row>
    <row r="9" spans="1:14" x14ac:dyDescent="0.15">
      <c r="A9" s="1"/>
      <c r="B9" s="6">
        <v>2</v>
      </c>
      <c r="C9" s="4">
        <v>2</v>
      </c>
      <c r="D9" s="4">
        <v>103</v>
      </c>
      <c r="E9" s="4">
        <v>0</v>
      </c>
      <c r="F9" s="4">
        <v>4</v>
      </c>
      <c r="G9" s="4">
        <v>2</v>
      </c>
      <c r="H9" s="4">
        <v>1</v>
      </c>
      <c r="I9" s="4"/>
      <c r="J9" s="8"/>
      <c r="K9" s="28" t="s">
        <v>83</v>
      </c>
      <c r="L9" s="8"/>
    </row>
    <row r="10" spans="1:14" x14ac:dyDescent="0.15">
      <c r="A10" s="1"/>
      <c r="B10" s="6">
        <v>3</v>
      </c>
      <c r="C10" s="4">
        <v>3</v>
      </c>
      <c r="D10" s="4">
        <v>103</v>
      </c>
      <c r="E10" s="4">
        <v>0</v>
      </c>
      <c r="F10" s="4">
        <v>4</v>
      </c>
      <c r="G10" s="4">
        <v>2</v>
      </c>
      <c r="H10" s="4">
        <v>2</v>
      </c>
      <c r="I10" s="4"/>
      <c r="J10" s="8"/>
      <c r="K10" s="28" t="s">
        <v>84</v>
      </c>
      <c r="L10" s="8"/>
    </row>
    <row r="11" spans="1:14" x14ac:dyDescent="0.15">
      <c r="A11" s="1"/>
      <c r="B11" s="6">
        <v>4</v>
      </c>
      <c r="C11" s="4">
        <v>4</v>
      </c>
      <c r="D11" s="4">
        <v>103</v>
      </c>
      <c r="E11" s="4">
        <v>0</v>
      </c>
      <c r="F11" s="4">
        <v>4</v>
      </c>
      <c r="G11" s="4">
        <v>2</v>
      </c>
      <c r="H11" s="4">
        <v>3</v>
      </c>
      <c r="I11" s="4"/>
      <c r="J11" s="8"/>
      <c r="K11" s="28"/>
      <c r="L11" s="8"/>
    </row>
    <row r="12" spans="1:14" x14ac:dyDescent="0.15">
      <c r="A12" s="1"/>
      <c r="B12" s="6">
        <v>5</v>
      </c>
      <c r="C12" s="4">
        <v>5</v>
      </c>
      <c r="D12" s="4">
        <v>103</v>
      </c>
      <c r="E12" s="4">
        <v>0</v>
      </c>
      <c r="F12" s="4">
        <v>4</v>
      </c>
      <c r="G12" s="4">
        <v>2</v>
      </c>
      <c r="H12" s="4">
        <v>4</v>
      </c>
      <c r="I12" s="4"/>
      <c r="J12" s="8"/>
      <c r="K12" s="28"/>
      <c r="L12" s="8"/>
    </row>
    <row r="13" spans="1:14" x14ac:dyDescent="0.15">
      <c r="A13" s="1"/>
      <c r="B13" s="6">
        <v>6</v>
      </c>
      <c r="C13" s="4">
        <v>6</v>
      </c>
      <c r="D13" s="4">
        <v>103</v>
      </c>
      <c r="E13" s="4">
        <v>0</v>
      </c>
      <c r="F13" s="4">
        <v>4</v>
      </c>
      <c r="G13" s="4">
        <v>2</v>
      </c>
      <c r="H13" s="4">
        <v>5</v>
      </c>
      <c r="I13" s="4"/>
      <c r="J13" s="8"/>
      <c r="K13" s="28"/>
      <c r="L13" s="8"/>
    </row>
    <row r="14" spans="1:14" x14ac:dyDescent="0.15">
      <c r="A14" s="1"/>
      <c r="B14" s="6">
        <v>7</v>
      </c>
      <c r="C14" s="4">
        <v>7</v>
      </c>
      <c r="D14" s="4">
        <v>103</v>
      </c>
      <c r="E14" s="4">
        <v>0</v>
      </c>
      <c r="F14" s="4">
        <v>4</v>
      </c>
      <c r="G14" s="4">
        <v>2</v>
      </c>
      <c r="H14" s="4">
        <v>6</v>
      </c>
      <c r="I14" s="4"/>
      <c r="J14" s="8"/>
      <c r="K14" s="28"/>
      <c r="L14" s="8"/>
    </row>
    <row r="15" spans="1:14" x14ac:dyDescent="0.15">
      <c r="A15" s="1"/>
      <c r="B15" s="6">
        <v>8</v>
      </c>
      <c r="C15" s="4">
        <v>8</v>
      </c>
      <c r="D15" s="4">
        <v>103</v>
      </c>
      <c r="E15" s="4">
        <v>0</v>
      </c>
      <c r="F15" s="4">
        <v>4</v>
      </c>
      <c r="G15" s="4">
        <v>2</v>
      </c>
      <c r="H15" s="4">
        <v>7</v>
      </c>
      <c r="I15" s="4"/>
      <c r="J15" s="8"/>
      <c r="K15" s="28"/>
      <c r="L15" s="8"/>
    </row>
    <row r="16" spans="1:14" x14ac:dyDescent="0.15">
      <c r="A16" s="1"/>
      <c r="B16" s="6">
        <v>9</v>
      </c>
      <c r="C16" s="4">
        <v>9</v>
      </c>
      <c r="D16" s="4">
        <v>103</v>
      </c>
      <c r="E16" s="4">
        <v>0</v>
      </c>
      <c r="F16" s="4">
        <v>4</v>
      </c>
      <c r="G16" s="4">
        <v>2</v>
      </c>
      <c r="H16" s="4">
        <v>8</v>
      </c>
      <c r="I16" s="4"/>
      <c r="J16" s="8"/>
      <c r="K16" s="28"/>
      <c r="L16" s="8"/>
    </row>
    <row r="17" spans="1:14" x14ac:dyDescent="0.15">
      <c r="A17" s="1"/>
      <c r="B17" s="6">
        <v>10</v>
      </c>
      <c r="C17" s="4">
        <v>10</v>
      </c>
      <c r="D17" s="4">
        <v>103</v>
      </c>
      <c r="E17" s="4">
        <v>0</v>
      </c>
      <c r="F17" s="4">
        <v>4</v>
      </c>
      <c r="G17" s="4">
        <v>2</v>
      </c>
      <c r="H17" s="4">
        <v>9</v>
      </c>
      <c r="I17" s="4"/>
      <c r="J17" s="8"/>
      <c r="K17" s="28"/>
      <c r="L17" s="8"/>
    </row>
    <row r="18" spans="1:14" x14ac:dyDescent="0.15">
      <c r="A18" s="1"/>
      <c r="B18" s="6">
        <v>11</v>
      </c>
      <c r="C18" s="4">
        <v>11</v>
      </c>
      <c r="D18" s="4">
        <v>103</v>
      </c>
      <c r="E18" s="4">
        <v>0</v>
      </c>
      <c r="F18" s="4">
        <v>4</v>
      </c>
      <c r="G18" s="4">
        <v>2</v>
      </c>
      <c r="H18" s="4">
        <v>10</v>
      </c>
      <c r="I18" s="4"/>
      <c r="J18" s="8"/>
      <c r="K18" s="28"/>
      <c r="L18" s="8"/>
    </row>
    <row r="19" spans="1:14" x14ac:dyDescent="0.15">
      <c r="A19" s="1"/>
      <c r="B19" s="6">
        <v>12</v>
      </c>
      <c r="C19" s="4">
        <v>12</v>
      </c>
      <c r="D19" s="4">
        <v>103</v>
      </c>
      <c r="E19" s="4">
        <v>0</v>
      </c>
      <c r="F19" s="4">
        <v>4</v>
      </c>
      <c r="G19" s="4">
        <v>2</v>
      </c>
      <c r="H19" s="4">
        <v>11</v>
      </c>
      <c r="I19" s="4"/>
      <c r="J19" s="8"/>
      <c r="K19" s="28"/>
      <c r="L19" s="8"/>
    </row>
    <row r="20" spans="1:14" x14ac:dyDescent="0.15">
      <c r="A20" s="1"/>
      <c r="B20" s="6">
        <v>13</v>
      </c>
      <c r="C20" s="4">
        <v>13</v>
      </c>
      <c r="D20" s="4">
        <v>103</v>
      </c>
      <c r="E20" s="4">
        <v>0</v>
      </c>
      <c r="F20" s="4">
        <v>4</v>
      </c>
      <c r="G20" s="4">
        <v>2</v>
      </c>
      <c r="H20" s="4">
        <v>12</v>
      </c>
      <c r="I20" s="4"/>
      <c r="J20" s="8"/>
      <c r="K20" s="28"/>
      <c r="L20" s="8"/>
    </row>
    <row r="21" spans="1:14" x14ac:dyDescent="0.15">
      <c r="A21" s="1"/>
      <c r="B21" s="6">
        <v>14</v>
      </c>
      <c r="C21" s="4">
        <v>14</v>
      </c>
      <c r="D21" s="4">
        <v>103</v>
      </c>
      <c r="E21" s="4">
        <v>0</v>
      </c>
      <c r="F21" s="4">
        <v>4</v>
      </c>
      <c r="G21" s="4">
        <v>2</v>
      </c>
      <c r="H21" s="4">
        <v>13</v>
      </c>
      <c r="I21" s="4"/>
      <c r="J21" s="8"/>
      <c r="K21" s="8"/>
      <c r="L21" s="8"/>
    </row>
    <row r="22" spans="1:14" x14ac:dyDescent="0.15">
      <c r="A22" s="1"/>
      <c r="B22" s="6">
        <v>15</v>
      </c>
      <c r="C22" s="4">
        <v>15</v>
      </c>
      <c r="D22" s="4">
        <v>103</v>
      </c>
      <c r="E22" s="4">
        <v>0</v>
      </c>
      <c r="F22" s="4">
        <v>4</v>
      </c>
      <c r="G22" s="4">
        <v>2</v>
      </c>
      <c r="H22" s="4">
        <v>14</v>
      </c>
      <c r="I22" s="4"/>
      <c r="J22" s="8"/>
      <c r="K22" s="8"/>
      <c r="L22" s="8"/>
    </row>
    <row r="23" spans="1:14" x14ac:dyDescent="0.15">
      <c r="A23" s="1"/>
      <c r="B23" s="6">
        <v>16</v>
      </c>
      <c r="C23" s="4">
        <v>16</v>
      </c>
      <c r="D23" s="4">
        <v>103</v>
      </c>
      <c r="E23" s="4">
        <v>0</v>
      </c>
      <c r="F23" s="4">
        <v>4</v>
      </c>
      <c r="G23" s="4">
        <v>2</v>
      </c>
      <c r="H23" s="4">
        <v>15</v>
      </c>
      <c r="I23" s="4"/>
      <c r="J23" s="8"/>
      <c r="K23" s="8"/>
      <c r="L23" s="8"/>
    </row>
    <row r="24" spans="1:14" x14ac:dyDescent="0.15">
      <c r="A24" s="1"/>
      <c r="B24" s="6">
        <v>17</v>
      </c>
      <c r="C24" s="4">
        <v>17</v>
      </c>
      <c r="D24" s="4">
        <v>103</v>
      </c>
      <c r="E24" s="4">
        <v>0</v>
      </c>
      <c r="F24" s="4">
        <v>4</v>
      </c>
      <c r="G24" s="4">
        <v>2</v>
      </c>
      <c r="H24" s="4">
        <v>16</v>
      </c>
      <c r="I24" s="4"/>
      <c r="J24" s="8"/>
      <c r="K24" s="8"/>
      <c r="L24" s="8"/>
      <c r="N24" s="4"/>
    </row>
    <row r="25" spans="1:14" x14ac:dyDescent="0.15">
      <c r="A25" s="1"/>
      <c r="B25" s="6">
        <v>18</v>
      </c>
      <c r="C25" s="4">
        <v>18</v>
      </c>
      <c r="D25" s="4">
        <v>103</v>
      </c>
      <c r="E25" s="4">
        <v>0</v>
      </c>
      <c r="F25" s="4">
        <v>4</v>
      </c>
      <c r="G25" s="4">
        <v>2</v>
      </c>
      <c r="H25" s="4">
        <v>17</v>
      </c>
      <c r="I25" s="4"/>
      <c r="J25" s="8"/>
      <c r="K25" s="8"/>
      <c r="L25" s="8"/>
      <c r="N25" s="4"/>
    </row>
    <row r="26" spans="1:14" x14ac:dyDescent="0.15">
      <c r="A26" s="1"/>
      <c r="B26" s="6">
        <v>19</v>
      </c>
      <c r="C26" s="4">
        <v>19</v>
      </c>
      <c r="D26" s="4">
        <v>103</v>
      </c>
      <c r="E26" s="4">
        <v>0</v>
      </c>
      <c r="F26" s="4">
        <v>4</v>
      </c>
      <c r="G26" s="4">
        <v>2</v>
      </c>
      <c r="H26" s="4">
        <v>18</v>
      </c>
      <c r="I26" s="4"/>
      <c r="J26" s="8"/>
      <c r="K26" s="8"/>
      <c r="L26" s="8"/>
      <c r="N26" s="4"/>
    </row>
    <row r="27" spans="1:14" x14ac:dyDescent="0.15">
      <c r="A27" s="1"/>
      <c r="B27" s="6">
        <v>20</v>
      </c>
      <c r="C27" s="4">
        <v>20</v>
      </c>
      <c r="D27" s="4">
        <v>103</v>
      </c>
      <c r="E27" s="4">
        <v>0</v>
      </c>
      <c r="F27" s="4">
        <v>4</v>
      </c>
      <c r="G27" s="4">
        <v>2</v>
      </c>
      <c r="H27" s="4">
        <v>19</v>
      </c>
      <c r="I27" s="4"/>
      <c r="J27" s="8"/>
      <c r="K27" s="8"/>
      <c r="L27" s="8"/>
      <c r="N27" s="4"/>
    </row>
    <row r="28" spans="1:14" x14ac:dyDescent="0.15">
      <c r="A28" s="1"/>
      <c r="B28" s="6">
        <v>21</v>
      </c>
      <c r="C28" s="4">
        <v>21</v>
      </c>
      <c r="D28" s="4">
        <v>103</v>
      </c>
      <c r="E28" s="4">
        <v>0</v>
      </c>
      <c r="F28" s="4">
        <v>4</v>
      </c>
      <c r="G28" s="4">
        <v>2</v>
      </c>
      <c r="H28" s="4">
        <v>20</v>
      </c>
      <c r="I28" s="4"/>
      <c r="L28" s="8"/>
      <c r="N28" s="4"/>
    </row>
    <row r="29" spans="1:14" x14ac:dyDescent="0.15">
      <c r="A29" s="1"/>
      <c r="B29" s="6">
        <v>22</v>
      </c>
      <c r="C29" s="4">
        <v>22</v>
      </c>
      <c r="D29" s="4">
        <v>103</v>
      </c>
      <c r="E29" s="4">
        <v>0</v>
      </c>
      <c r="F29" s="4">
        <v>4</v>
      </c>
      <c r="G29" s="4">
        <v>2</v>
      </c>
      <c r="H29" s="4">
        <v>21</v>
      </c>
      <c r="I29" s="4"/>
      <c r="L29" s="8"/>
      <c r="N29" s="4"/>
    </row>
    <row r="30" spans="1:14" x14ac:dyDescent="0.15">
      <c r="B30" s="4"/>
      <c r="C30" s="4"/>
      <c r="D30" s="4"/>
      <c r="E30" s="4"/>
      <c r="F30" s="4"/>
      <c r="G30" s="4"/>
      <c r="H30" s="7"/>
      <c r="I30" s="7"/>
      <c r="L30" s="8"/>
      <c r="N30" s="4"/>
    </row>
    <row r="31" spans="1:14" x14ac:dyDescent="0.15">
      <c r="B31" s="4"/>
      <c r="C31" s="4"/>
      <c r="D31" s="4"/>
      <c r="E31" s="4"/>
      <c r="F31" s="4"/>
      <c r="G31" s="4"/>
      <c r="H31" s="7"/>
      <c r="I31" s="7"/>
      <c r="L31" s="8"/>
      <c r="N31" s="4"/>
    </row>
    <row r="32" spans="1:14" x14ac:dyDescent="0.15">
      <c r="B32" s="4"/>
      <c r="C32" s="4"/>
      <c r="D32" s="4"/>
      <c r="E32" s="4"/>
      <c r="F32" s="4"/>
      <c r="G32" s="4"/>
      <c r="H32" s="7"/>
      <c r="I32" s="7"/>
      <c r="L32" s="8"/>
      <c r="N32" s="4"/>
    </row>
    <row r="33" spans="2:14" x14ac:dyDescent="0.15">
      <c r="B33" s="4"/>
      <c r="C33" s="4"/>
      <c r="D33" s="4"/>
      <c r="E33" s="4"/>
      <c r="F33" s="4"/>
      <c r="G33" s="4"/>
      <c r="H33" s="7"/>
      <c r="I33" s="7"/>
      <c r="L33" s="8"/>
      <c r="N33" s="4"/>
    </row>
    <row r="34" spans="2:14" x14ac:dyDescent="0.15">
      <c r="B34" s="4"/>
      <c r="C34" s="4"/>
      <c r="D34" s="4"/>
      <c r="E34" s="4"/>
      <c r="F34" s="4"/>
      <c r="G34" s="4"/>
      <c r="H34" s="7"/>
      <c r="I34" s="7"/>
      <c r="L34" s="8"/>
      <c r="N34" s="4"/>
    </row>
    <row r="35" spans="2:14" x14ac:dyDescent="0.15">
      <c r="B35" s="4"/>
      <c r="C35" s="4"/>
      <c r="D35" s="4"/>
      <c r="E35" s="4"/>
      <c r="F35" s="4"/>
      <c r="G35" s="4"/>
      <c r="H35" s="7"/>
      <c r="I35" s="7"/>
      <c r="L35" s="8"/>
      <c r="N35" s="4"/>
    </row>
    <row r="36" spans="2:14" x14ac:dyDescent="0.15">
      <c r="B36" s="4"/>
      <c r="C36" s="4"/>
      <c r="D36" s="4"/>
      <c r="E36" s="4"/>
      <c r="F36" s="4"/>
      <c r="G36" s="4"/>
      <c r="H36" s="7"/>
      <c r="I36" s="7"/>
      <c r="L36" s="8"/>
      <c r="N36" s="4"/>
    </row>
    <row r="37" spans="2:14" x14ac:dyDescent="0.15">
      <c r="B37" s="4"/>
      <c r="C37" s="4"/>
      <c r="D37" s="4"/>
      <c r="E37" s="4"/>
      <c r="F37" s="4"/>
      <c r="G37" s="4"/>
      <c r="H37" s="7"/>
      <c r="I37" s="7"/>
      <c r="L37" s="8"/>
      <c r="N37" s="4"/>
    </row>
    <row r="38" spans="2:14" x14ac:dyDescent="0.15">
      <c r="B38" s="4"/>
      <c r="C38" s="4"/>
      <c r="D38" s="4"/>
      <c r="E38" s="4"/>
      <c r="F38" s="4"/>
      <c r="G38" s="4"/>
      <c r="H38" s="7"/>
      <c r="I38" s="7"/>
      <c r="L38" s="8"/>
      <c r="N38" s="4"/>
    </row>
    <row r="39" spans="2:14" x14ac:dyDescent="0.15">
      <c r="B39" s="4"/>
      <c r="C39" s="4"/>
      <c r="D39" s="4"/>
      <c r="E39" s="4"/>
      <c r="F39" s="4"/>
      <c r="G39" s="4"/>
      <c r="H39" s="7"/>
      <c r="I39" s="7"/>
      <c r="L39" s="8"/>
      <c r="N39" s="4"/>
    </row>
    <row r="40" spans="2:14" x14ac:dyDescent="0.15">
      <c r="B40" s="4"/>
      <c r="C40" s="4"/>
      <c r="D40" s="4"/>
      <c r="E40" s="4"/>
      <c r="F40" s="4"/>
      <c r="G40" s="4"/>
      <c r="H40" s="4"/>
      <c r="I40" s="4"/>
      <c r="N40" s="4"/>
    </row>
    <row r="41" spans="2:14" x14ac:dyDescent="0.15">
      <c r="B41" s="4"/>
      <c r="C41" s="4"/>
      <c r="D41" s="4"/>
      <c r="E41" s="4"/>
      <c r="F41" s="4"/>
      <c r="G41" s="4"/>
      <c r="H41" s="4"/>
      <c r="I41" s="4"/>
      <c r="N41" s="4"/>
    </row>
    <row r="42" spans="2:14" x14ac:dyDescent="0.15">
      <c r="B42" s="4"/>
      <c r="C42" s="4"/>
      <c r="D42" s="4"/>
      <c r="E42" s="4"/>
      <c r="F42" s="4"/>
      <c r="G42" s="4"/>
      <c r="H42" s="4"/>
      <c r="I42" s="4"/>
      <c r="N42" s="4"/>
    </row>
    <row r="43" spans="2:14" x14ac:dyDescent="0.15">
      <c r="B43" s="4"/>
      <c r="C43" s="4"/>
      <c r="D43" s="4"/>
      <c r="E43" s="4"/>
      <c r="F43" s="4"/>
      <c r="G43" s="4"/>
      <c r="H43" s="4"/>
      <c r="I43" s="4"/>
      <c r="N43" s="4"/>
    </row>
    <row r="44" spans="2:14" x14ac:dyDescent="0.15">
      <c r="B44" s="4"/>
      <c r="C44" s="4"/>
      <c r="D44" s="4"/>
      <c r="E44" s="4"/>
      <c r="F44" s="4"/>
      <c r="G44" s="4"/>
      <c r="H44" s="4"/>
      <c r="I44" s="4"/>
      <c r="J44" s="8"/>
      <c r="K44" s="8"/>
      <c r="N44" s="4"/>
    </row>
    <row r="45" spans="2:14" x14ac:dyDescent="0.15">
      <c r="B45" s="4"/>
      <c r="C45" s="4"/>
      <c r="D45" s="4"/>
      <c r="E45" s="4"/>
      <c r="F45" s="4"/>
      <c r="G45" s="4"/>
      <c r="H45" s="4"/>
      <c r="I45" s="4"/>
      <c r="J45" s="8"/>
      <c r="K45" s="8"/>
      <c r="N45" s="4"/>
    </row>
    <row r="46" spans="2:14" x14ac:dyDescent="0.15">
      <c r="B46" s="4"/>
      <c r="C46" s="4"/>
      <c r="D46" s="4"/>
      <c r="E46" s="4"/>
      <c r="F46" s="4"/>
      <c r="G46" s="4"/>
      <c r="H46" s="4"/>
      <c r="I46" s="4"/>
      <c r="J46" s="8"/>
      <c r="K46" s="8"/>
      <c r="N46" s="4"/>
    </row>
    <row r="47" spans="2:14" x14ac:dyDescent="0.15">
      <c r="B47" s="4"/>
      <c r="C47" s="4"/>
      <c r="D47" s="4"/>
      <c r="E47" s="4"/>
      <c r="F47" s="4"/>
      <c r="G47" s="4"/>
      <c r="H47" s="4"/>
      <c r="I47" s="4"/>
      <c r="J47" s="8"/>
      <c r="K47" s="8"/>
      <c r="N47" s="4"/>
    </row>
    <row r="48" spans="2:14" x14ac:dyDescent="0.15">
      <c r="B48" s="4"/>
      <c r="C48" s="4"/>
      <c r="D48" s="4"/>
      <c r="E48" s="4"/>
      <c r="F48" s="4"/>
      <c r="G48" s="4"/>
      <c r="H48" s="4"/>
      <c r="I48" s="4"/>
      <c r="J48" s="8"/>
      <c r="K48" s="8"/>
      <c r="N48" s="4"/>
    </row>
    <row r="49" spans="2:14" x14ac:dyDescent="0.15">
      <c r="B49" s="4"/>
      <c r="C49" s="4"/>
      <c r="D49" s="4"/>
      <c r="E49" s="4"/>
      <c r="F49" s="4"/>
      <c r="G49" s="4"/>
      <c r="H49" s="4"/>
      <c r="I49" s="4"/>
      <c r="N49" s="4"/>
    </row>
    <row r="50" spans="2:14" x14ac:dyDescent="0.15">
      <c r="B50" s="4"/>
      <c r="C50" s="4"/>
      <c r="D50" s="4"/>
      <c r="E50" s="4"/>
      <c r="F50" s="4"/>
      <c r="G50" s="4"/>
      <c r="H50" s="4"/>
      <c r="I50" s="4"/>
      <c r="N50" s="4"/>
    </row>
    <row r="51" spans="2:14" x14ac:dyDescent="0.15">
      <c r="B51" s="4"/>
      <c r="C51" s="4"/>
      <c r="D51" s="4"/>
      <c r="E51" s="4"/>
      <c r="F51" s="4"/>
      <c r="G51" s="4"/>
      <c r="H51" s="4"/>
      <c r="I51" s="4"/>
      <c r="N51" s="4"/>
    </row>
    <row r="52" spans="2:14" x14ac:dyDescent="0.15">
      <c r="B52" s="4"/>
      <c r="C52" s="4"/>
      <c r="D52" s="4"/>
      <c r="E52" s="4"/>
      <c r="F52" s="4"/>
      <c r="G52" s="4"/>
      <c r="H52" s="4"/>
      <c r="I52" s="4"/>
      <c r="N52" s="4"/>
    </row>
    <row r="53" spans="2:14" x14ac:dyDescent="0.15">
      <c r="B53" s="4"/>
      <c r="C53" s="4"/>
      <c r="D53" s="4"/>
      <c r="E53" s="4"/>
      <c r="F53" s="4"/>
      <c r="G53" s="4"/>
      <c r="H53" s="4"/>
      <c r="I53" s="4"/>
      <c r="N53" s="4"/>
    </row>
    <row r="54" spans="2:14" x14ac:dyDescent="0.15">
      <c r="B54" s="4"/>
      <c r="C54" s="4"/>
      <c r="D54" s="4"/>
      <c r="E54" s="4"/>
      <c r="F54" s="4"/>
      <c r="G54" s="4"/>
      <c r="H54" s="4"/>
      <c r="I54" s="4"/>
      <c r="N54" s="4"/>
    </row>
    <row r="55" spans="2:14" x14ac:dyDescent="0.15">
      <c r="B55" s="4"/>
      <c r="C55" s="4"/>
      <c r="D55" s="4"/>
      <c r="E55" s="4"/>
      <c r="F55" s="4"/>
      <c r="G55" s="4"/>
      <c r="H55" s="4"/>
      <c r="I55" s="4"/>
      <c r="N55" s="4"/>
    </row>
    <row r="56" spans="2:14" x14ac:dyDescent="0.15">
      <c r="B56" s="4"/>
      <c r="C56" s="4"/>
      <c r="D56" s="4"/>
      <c r="E56" s="4"/>
      <c r="F56" s="4"/>
      <c r="G56" s="4"/>
      <c r="H56" s="7"/>
      <c r="I56" s="7"/>
      <c r="L56" s="8"/>
      <c r="N56" s="4"/>
    </row>
    <row r="57" spans="2:14" x14ac:dyDescent="0.15">
      <c r="B57" s="4"/>
      <c r="C57" s="4"/>
      <c r="D57" s="4"/>
      <c r="E57" s="4"/>
      <c r="F57" s="4"/>
      <c r="G57" s="4"/>
      <c r="H57" s="7"/>
      <c r="I57" s="7"/>
      <c r="L57" s="8"/>
      <c r="N57" s="4"/>
    </row>
    <row r="58" spans="2:14" x14ac:dyDescent="0.15">
      <c r="B58" s="4"/>
      <c r="C58" s="4"/>
      <c r="D58" s="4"/>
      <c r="E58" s="4"/>
      <c r="F58" s="4"/>
      <c r="G58" s="4"/>
      <c r="H58" s="7"/>
      <c r="I58" s="7"/>
      <c r="L58" s="8"/>
      <c r="N58" s="4"/>
    </row>
    <row r="59" spans="2:14" x14ac:dyDescent="0.15">
      <c r="B59" s="4"/>
      <c r="C59" s="4"/>
      <c r="D59" s="4"/>
      <c r="E59" s="4"/>
      <c r="F59" s="4"/>
      <c r="G59" s="4"/>
      <c r="H59" s="7"/>
      <c r="I59" s="7"/>
      <c r="L59" s="8"/>
      <c r="N59" s="4"/>
    </row>
    <row r="60" spans="2:14" x14ac:dyDescent="0.15">
      <c r="B60" s="4"/>
      <c r="C60" s="4"/>
      <c r="D60" s="4"/>
      <c r="E60" s="4"/>
      <c r="F60" s="4"/>
      <c r="G60" s="4"/>
      <c r="H60" s="7"/>
      <c r="I60" s="7"/>
      <c r="L60" s="8"/>
      <c r="N60" s="4"/>
    </row>
    <row r="61" spans="2:14" x14ac:dyDescent="0.15">
      <c r="B61" s="4"/>
      <c r="C61" s="4"/>
      <c r="D61" s="4"/>
      <c r="E61" s="4"/>
      <c r="F61" s="4"/>
      <c r="G61" s="4"/>
      <c r="H61" s="4"/>
      <c r="I61" s="4"/>
      <c r="N61" s="4"/>
    </row>
    <row r="62" spans="2:14" x14ac:dyDescent="0.15">
      <c r="B62" s="4"/>
      <c r="C62" s="4"/>
      <c r="D62" s="4"/>
      <c r="E62" s="4"/>
      <c r="F62" s="4"/>
      <c r="G62" s="4"/>
      <c r="H62" s="4"/>
      <c r="I62" s="4"/>
      <c r="N62" s="4"/>
    </row>
    <row r="63" spans="2:14" x14ac:dyDescent="0.15">
      <c r="B63" s="4"/>
      <c r="C63" s="4"/>
      <c r="D63" s="4"/>
      <c r="E63" s="4"/>
      <c r="F63" s="4"/>
      <c r="G63" s="4"/>
      <c r="H63" s="4"/>
      <c r="I63" s="4"/>
      <c r="N63" s="4"/>
    </row>
    <row r="64" spans="2:14" x14ac:dyDescent="0.15">
      <c r="B64" s="4"/>
      <c r="C64" s="4"/>
      <c r="D64" s="4"/>
      <c r="E64" s="4"/>
      <c r="F64" s="4"/>
      <c r="G64" s="4"/>
      <c r="H64" s="4"/>
      <c r="I64" s="4"/>
      <c r="N64" s="4"/>
    </row>
    <row r="65" spans="2:14" x14ac:dyDescent="0.15">
      <c r="B65" s="4"/>
      <c r="C65" s="4"/>
      <c r="D65" s="4"/>
      <c r="E65" s="4"/>
      <c r="F65" s="4"/>
      <c r="G65" s="4"/>
      <c r="H65" s="4"/>
      <c r="I65" s="4"/>
      <c r="N65" s="4"/>
    </row>
    <row r="66" spans="2:14" x14ac:dyDescent="0.15">
      <c r="B66" s="4"/>
      <c r="C66" s="4"/>
      <c r="D66" s="4"/>
      <c r="E66" s="4"/>
      <c r="F66" s="4"/>
      <c r="G66" s="4"/>
      <c r="H66" s="4"/>
      <c r="I66" s="4"/>
      <c r="N66" s="4"/>
    </row>
    <row r="67" spans="2:14" x14ac:dyDescent="0.15">
      <c r="B67" s="4"/>
      <c r="C67" s="4"/>
      <c r="D67" s="4"/>
      <c r="E67" s="4"/>
      <c r="F67" s="4"/>
      <c r="G67" s="4"/>
      <c r="H67" s="4"/>
      <c r="I67" s="4"/>
      <c r="N67" s="4"/>
    </row>
    <row r="68" spans="2:14" x14ac:dyDescent="0.15">
      <c r="B68" s="4"/>
      <c r="C68" s="4"/>
      <c r="D68" s="4"/>
      <c r="E68" s="4"/>
      <c r="F68" s="4"/>
      <c r="G68" s="4"/>
      <c r="H68" s="4"/>
      <c r="I68" s="4"/>
      <c r="N68" s="4"/>
    </row>
    <row r="69" spans="2:14" x14ac:dyDescent="0.15">
      <c r="B69" s="4"/>
      <c r="C69" s="4"/>
      <c r="D69" s="4"/>
      <c r="E69" s="4"/>
      <c r="F69" s="4"/>
      <c r="G69" s="4"/>
      <c r="H69" s="4"/>
      <c r="I69" s="4"/>
      <c r="N69" s="4"/>
    </row>
    <row r="70" spans="2:14" x14ac:dyDescent="0.15">
      <c r="B70" s="4"/>
      <c r="C70" s="4"/>
      <c r="D70" s="4"/>
      <c r="E70" s="4"/>
      <c r="F70" s="4"/>
      <c r="G70" s="4"/>
      <c r="H70" s="4"/>
      <c r="I70" s="4"/>
      <c r="N70" s="4"/>
    </row>
    <row r="71" spans="2:14" x14ac:dyDescent="0.15">
      <c r="B71" s="4"/>
      <c r="C71" s="4"/>
      <c r="D71" s="4"/>
      <c r="E71" s="4"/>
      <c r="F71" s="4"/>
      <c r="G71" s="4"/>
      <c r="H71" s="4"/>
      <c r="I71" s="4"/>
      <c r="N71" s="4"/>
    </row>
    <row r="72" spans="2:14" x14ac:dyDescent="0.15">
      <c r="B72" s="4"/>
      <c r="C72" s="4"/>
      <c r="D72" s="4"/>
      <c r="E72" s="4"/>
      <c r="F72" s="4"/>
      <c r="G72" s="4"/>
      <c r="H72" s="4"/>
      <c r="I72" s="4"/>
      <c r="N72" s="4"/>
    </row>
    <row r="73" spans="2:14" x14ac:dyDescent="0.15">
      <c r="B73" s="4"/>
      <c r="C73" s="4"/>
      <c r="D73" s="4"/>
      <c r="E73" s="4"/>
      <c r="F73" s="4"/>
      <c r="G73" s="4"/>
      <c r="H73" s="4"/>
      <c r="I73" s="4"/>
      <c r="N73" s="4"/>
    </row>
    <row r="74" spans="2:14" x14ac:dyDescent="0.15">
      <c r="B74" s="4"/>
      <c r="C74" s="4"/>
      <c r="D74" s="4"/>
      <c r="E74" s="4"/>
      <c r="F74" s="4"/>
      <c r="G74" s="4"/>
      <c r="H74" s="4"/>
      <c r="I74" s="4"/>
      <c r="N74" s="4"/>
    </row>
    <row r="75" spans="2:14" x14ac:dyDescent="0.15">
      <c r="B75" s="4"/>
      <c r="C75" s="4"/>
      <c r="D75" s="4"/>
      <c r="E75" s="4"/>
      <c r="F75" s="4"/>
      <c r="G75" s="4"/>
      <c r="H75" s="4"/>
      <c r="I75" s="4"/>
      <c r="N75" s="4"/>
    </row>
    <row r="76" spans="2:14" x14ac:dyDescent="0.15">
      <c r="B76" s="4"/>
      <c r="C76" s="4"/>
      <c r="D76" s="4"/>
      <c r="E76" s="4"/>
      <c r="F76" s="4"/>
      <c r="G76" s="4"/>
      <c r="H76" s="4"/>
      <c r="I76" s="4"/>
      <c r="N76" s="4"/>
    </row>
    <row r="77" spans="2:14" x14ac:dyDescent="0.15">
      <c r="B77" s="4"/>
      <c r="C77" s="4"/>
      <c r="D77" s="4"/>
      <c r="E77" s="4"/>
      <c r="F77" s="4"/>
      <c r="G77" s="4"/>
      <c r="H77" s="4"/>
      <c r="I77" s="4"/>
      <c r="N77" s="4"/>
    </row>
    <row r="78" spans="2:14" x14ac:dyDescent="0.15">
      <c r="B78" s="4"/>
      <c r="C78" s="4"/>
      <c r="D78" s="4"/>
      <c r="E78" s="4"/>
      <c r="F78" s="4"/>
      <c r="G78" s="4"/>
      <c r="H78" s="4"/>
      <c r="I78" s="4"/>
      <c r="N78" s="4"/>
    </row>
    <row r="79" spans="2:14" x14ac:dyDescent="0.15">
      <c r="B79" s="4"/>
      <c r="C79" s="4"/>
      <c r="D79" s="4"/>
      <c r="E79" s="4"/>
      <c r="F79" s="4"/>
      <c r="G79" s="4"/>
      <c r="H79" s="4"/>
      <c r="I79" s="4"/>
      <c r="N79" s="4"/>
    </row>
    <row r="80" spans="2:14" x14ac:dyDescent="0.15">
      <c r="B80" s="4"/>
      <c r="C80" s="4"/>
      <c r="D80" s="4"/>
      <c r="E80" s="4"/>
      <c r="F80" s="4"/>
      <c r="G80" s="4"/>
      <c r="H80" s="4"/>
      <c r="I80" s="4"/>
      <c r="N80" s="4"/>
    </row>
    <row r="81" spans="2:9" x14ac:dyDescent="0.15">
      <c r="B81" s="4"/>
      <c r="C81" s="4"/>
      <c r="D81" s="4"/>
      <c r="E81" s="4"/>
      <c r="F81" s="4"/>
      <c r="G81" s="4"/>
      <c r="H81" s="4"/>
      <c r="I81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79"/>
  <sheetViews>
    <sheetView workbookViewId="0">
      <pane ySplit="8" topLeftCell="A9" activePane="bottomLeft" state="frozen"/>
      <selection pane="bottomLeft" activeCell="G16" sqref="G16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3.75" style="6" bestFit="1" customWidth="1"/>
    <col min="4" max="4" width="12.625" style="4" bestFit="1" customWidth="1"/>
    <col min="5" max="6" width="9" style="4"/>
    <col min="7" max="7" width="13.125" style="6" bestFit="1" customWidth="1"/>
    <col min="8" max="16384" width="9" style="4"/>
  </cols>
  <sheetData>
    <row r="1" spans="1:7" s="1" customFormat="1" x14ac:dyDescent="0.15">
      <c r="A1" s="5" t="s">
        <v>15</v>
      </c>
      <c r="B1" s="1" t="s">
        <v>12</v>
      </c>
      <c r="C1" s="1" t="s">
        <v>8</v>
      </c>
      <c r="D1" s="1" t="s">
        <v>12</v>
      </c>
    </row>
    <row r="2" spans="1:7" s="1" customFormat="1" x14ac:dyDescent="0.15">
      <c r="A2" s="59" t="s">
        <v>286</v>
      </c>
      <c r="B2" s="1" t="s">
        <v>8</v>
      </c>
      <c r="C2" s="1" t="s">
        <v>8</v>
      </c>
      <c r="D2" s="1" t="s">
        <v>12</v>
      </c>
    </row>
    <row r="3" spans="1:7" s="2" customFormat="1" ht="14.25" x14ac:dyDescent="0.15">
      <c r="A3" s="16" t="s">
        <v>8</v>
      </c>
      <c r="B3" s="16" t="s">
        <v>9</v>
      </c>
      <c r="C3" s="16" t="s">
        <v>20</v>
      </c>
      <c r="D3" s="16" t="s">
        <v>22</v>
      </c>
    </row>
    <row r="4" spans="1:7" s="2" customFormat="1" ht="14.25" x14ac:dyDescent="0.15">
      <c r="A4" s="16"/>
      <c r="B4" s="16" t="s">
        <v>11</v>
      </c>
      <c r="C4" s="16" t="s">
        <v>64</v>
      </c>
      <c r="D4" s="16" t="s">
        <v>67</v>
      </c>
    </row>
    <row r="5" spans="1:7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i</v>
      </c>
      <c r="D5" s="16" t="s">
        <v>33</v>
      </c>
    </row>
    <row r="6" spans="1:7" s="2" customFormat="1" ht="14.25" x14ac:dyDescent="0.15">
      <c r="A6" s="16" t="s">
        <v>8</v>
      </c>
      <c r="B6" s="16" t="str">
        <f>B5&amp;B4</f>
        <v>iID</v>
      </c>
      <c r="C6" s="16" t="str">
        <f>C5&amp;C4</f>
        <v>iActiveProgress</v>
      </c>
      <c r="D6" s="16" t="str">
        <f>D5&amp;D4</f>
        <v>sAward</v>
      </c>
    </row>
    <row r="7" spans="1:7" s="3" customFormat="1" ht="14.25" x14ac:dyDescent="0.15">
      <c r="A7" s="16"/>
      <c r="B7" s="16" t="s">
        <v>63</v>
      </c>
      <c r="C7" s="16" t="s">
        <v>65</v>
      </c>
      <c r="D7" s="16" t="s">
        <v>66</v>
      </c>
      <c r="G7" s="2"/>
    </row>
    <row r="8" spans="1:7" s="3" customFormat="1" ht="14.25" x14ac:dyDescent="0.15">
      <c r="A8" s="16" t="s">
        <v>10</v>
      </c>
      <c r="B8" s="16" t="e">
        <f>MODE(B9:B971)</f>
        <v>#N/A</v>
      </c>
      <c r="C8" s="16">
        <v>0</v>
      </c>
      <c r="G8" s="2"/>
    </row>
    <row r="9" spans="1:7" ht="14.25" x14ac:dyDescent="0.15">
      <c r="A9" s="17" t="s">
        <v>8</v>
      </c>
      <c r="B9" s="18">
        <v>1</v>
      </c>
      <c r="C9" s="19">
        <v>20</v>
      </c>
      <c r="D9" s="8" t="s">
        <v>936</v>
      </c>
      <c r="E9" s="8"/>
    </row>
    <row r="10" spans="1:7" ht="14.25" x14ac:dyDescent="0.15">
      <c r="A10" s="17" t="s">
        <v>8</v>
      </c>
      <c r="B10" s="18">
        <v>2</v>
      </c>
      <c r="C10" s="19">
        <v>40</v>
      </c>
      <c r="D10" s="8" t="s">
        <v>546</v>
      </c>
      <c r="E10" s="8"/>
    </row>
    <row r="11" spans="1:7" ht="14.25" x14ac:dyDescent="0.15">
      <c r="A11" s="4" t="s">
        <v>12</v>
      </c>
      <c r="B11" s="6">
        <v>3</v>
      </c>
      <c r="C11" s="19">
        <v>60</v>
      </c>
      <c r="D11" s="8" t="s">
        <v>937</v>
      </c>
      <c r="E11" s="8"/>
    </row>
    <row r="12" spans="1:7" ht="14.25" x14ac:dyDescent="0.15">
      <c r="A12" s="4" t="s">
        <v>12</v>
      </c>
      <c r="B12" s="6">
        <v>4</v>
      </c>
      <c r="C12" s="19">
        <v>80</v>
      </c>
      <c r="D12" s="8" t="s">
        <v>937</v>
      </c>
      <c r="E12" s="8"/>
    </row>
    <row r="13" spans="1:7" ht="14.25" x14ac:dyDescent="0.15">
      <c r="A13" s="4" t="s">
        <v>12</v>
      </c>
      <c r="B13" s="6">
        <v>5</v>
      </c>
      <c r="C13" s="19">
        <v>100</v>
      </c>
      <c r="D13" s="8" t="s">
        <v>545</v>
      </c>
      <c r="E13" s="8"/>
    </row>
    <row r="14" spans="1:7" x14ac:dyDescent="0.15">
      <c r="C14" s="4"/>
      <c r="D14" s="8"/>
      <c r="E14" s="8"/>
    </row>
    <row r="15" spans="1:7" x14ac:dyDescent="0.15">
      <c r="C15" s="4"/>
      <c r="D15" s="8"/>
      <c r="E15" s="8"/>
    </row>
    <row r="16" spans="1:7" x14ac:dyDescent="0.15">
      <c r="C16" s="4"/>
      <c r="D16" s="8"/>
      <c r="E16" s="8"/>
    </row>
    <row r="17" spans="3:5" x14ac:dyDescent="0.15">
      <c r="C17" s="4"/>
      <c r="D17" s="8"/>
      <c r="E17" s="8"/>
    </row>
    <row r="18" spans="3:5" x14ac:dyDescent="0.15">
      <c r="C18" s="4"/>
      <c r="D18" s="8"/>
      <c r="E18" s="8"/>
    </row>
    <row r="19" spans="3:5" x14ac:dyDescent="0.15">
      <c r="C19" s="4"/>
      <c r="D19" s="8"/>
      <c r="E19" s="8"/>
    </row>
    <row r="20" spans="3:5" x14ac:dyDescent="0.15">
      <c r="C20" s="4"/>
      <c r="D20" s="8"/>
      <c r="E20" s="8"/>
    </row>
    <row r="21" spans="3:5" x14ac:dyDescent="0.15">
      <c r="C21" s="4"/>
      <c r="D21" s="8"/>
      <c r="E21" s="8"/>
    </row>
    <row r="22" spans="3:5" x14ac:dyDescent="0.15">
      <c r="C22" s="4"/>
      <c r="D22" s="8"/>
      <c r="E22" s="8"/>
    </row>
    <row r="23" spans="3:5" x14ac:dyDescent="0.15">
      <c r="C23" s="4"/>
      <c r="D23" s="8"/>
      <c r="E23" s="8"/>
    </row>
    <row r="24" spans="3:5" x14ac:dyDescent="0.15">
      <c r="C24" s="4"/>
      <c r="D24" s="8"/>
      <c r="E24" s="8"/>
    </row>
    <row r="25" spans="3:5" x14ac:dyDescent="0.15">
      <c r="C25" s="4"/>
      <c r="D25" s="8"/>
      <c r="E25" s="8"/>
    </row>
    <row r="26" spans="3:5" x14ac:dyDescent="0.15">
      <c r="C26" s="4"/>
      <c r="D26" s="8"/>
      <c r="E26" s="8"/>
    </row>
    <row r="27" spans="3:5" x14ac:dyDescent="0.15">
      <c r="C27" s="4"/>
      <c r="D27" s="8"/>
      <c r="E27" s="8"/>
    </row>
    <row r="28" spans="3:5" x14ac:dyDescent="0.15">
      <c r="C28" s="4"/>
      <c r="D28" s="8"/>
      <c r="E28" s="8"/>
    </row>
    <row r="29" spans="3:5" x14ac:dyDescent="0.15">
      <c r="C29" s="4"/>
      <c r="D29" s="8"/>
      <c r="E29" s="8"/>
    </row>
    <row r="30" spans="3:5" x14ac:dyDescent="0.15">
      <c r="C30" s="4"/>
      <c r="D30" s="8"/>
      <c r="E30" s="8"/>
    </row>
    <row r="31" spans="3:5" x14ac:dyDescent="0.15">
      <c r="C31" s="4"/>
      <c r="D31" s="8"/>
      <c r="E31" s="8"/>
    </row>
    <row r="32" spans="3:5" x14ac:dyDescent="0.15">
      <c r="C32" s="4"/>
      <c r="D32" s="8"/>
      <c r="E32" s="8"/>
    </row>
    <row r="33" spans="3:5" x14ac:dyDescent="0.15">
      <c r="C33" s="4"/>
      <c r="D33" s="8"/>
      <c r="E33" s="8"/>
    </row>
    <row r="34" spans="3:5" x14ac:dyDescent="0.15">
      <c r="C34" s="4"/>
      <c r="E34" s="8"/>
    </row>
    <row r="35" spans="3:5" x14ac:dyDescent="0.15">
      <c r="C35" s="4"/>
      <c r="E35" s="8"/>
    </row>
    <row r="36" spans="3:5" x14ac:dyDescent="0.15">
      <c r="C36" s="4"/>
      <c r="E36" s="8"/>
    </row>
    <row r="37" spans="3:5" x14ac:dyDescent="0.15">
      <c r="C37" s="4"/>
      <c r="E37" s="8"/>
    </row>
    <row r="38" spans="3:5" x14ac:dyDescent="0.15">
      <c r="C38" s="4"/>
    </row>
    <row r="39" spans="3:5" x14ac:dyDescent="0.15">
      <c r="C39" s="4"/>
    </row>
    <row r="40" spans="3:5" x14ac:dyDescent="0.15">
      <c r="C40" s="4"/>
    </row>
    <row r="41" spans="3:5" x14ac:dyDescent="0.15">
      <c r="C41" s="4"/>
    </row>
    <row r="42" spans="3:5" x14ac:dyDescent="0.15">
      <c r="C42" s="4"/>
    </row>
    <row r="43" spans="3:5" x14ac:dyDescent="0.15">
      <c r="C43" s="4"/>
    </row>
    <row r="44" spans="3:5" x14ac:dyDescent="0.15">
      <c r="C44" s="4"/>
    </row>
    <row r="45" spans="3:5" x14ac:dyDescent="0.15">
      <c r="C45" s="4"/>
    </row>
    <row r="46" spans="3:5" x14ac:dyDescent="0.15">
      <c r="C46" s="4"/>
    </row>
    <row r="47" spans="3:5" x14ac:dyDescent="0.15">
      <c r="C47" s="4"/>
    </row>
    <row r="48" spans="3:5" x14ac:dyDescent="0.15">
      <c r="C48" s="4"/>
    </row>
    <row r="49" spans="3:5" x14ac:dyDescent="0.15">
      <c r="C49" s="4"/>
    </row>
    <row r="50" spans="3:5" x14ac:dyDescent="0.15">
      <c r="C50" s="4"/>
      <c r="D50" s="8"/>
    </row>
    <row r="51" spans="3:5" x14ac:dyDescent="0.15">
      <c r="C51" s="4"/>
      <c r="D51" s="8"/>
    </row>
    <row r="52" spans="3:5" x14ac:dyDescent="0.15">
      <c r="C52" s="4"/>
      <c r="D52" s="8"/>
    </row>
    <row r="53" spans="3:5" x14ac:dyDescent="0.15">
      <c r="C53" s="4"/>
      <c r="D53" s="8"/>
    </row>
    <row r="54" spans="3:5" x14ac:dyDescent="0.15">
      <c r="C54" s="4"/>
      <c r="D54" s="8"/>
      <c r="E54" s="8"/>
    </row>
    <row r="55" spans="3:5" x14ac:dyDescent="0.15">
      <c r="C55" s="4"/>
      <c r="E55" s="8"/>
    </row>
    <row r="56" spans="3:5" x14ac:dyDescent="0.15">
      <c r="C56" s="4"/>
      <c r="E56" s="8"/>
    </row>
    <row r="57" spans="3:5" x14ac:dyDescent="0.15">
      <c r="C57" s="4"/>
      <c r="E57" s="8"/>
    </row>
    <row r="58" spans="3:5" x14ac:dyDescent="0.15">
      <c r="C58" s="4"/>
      <c r="E58" s="8"/>
    </row>
    <row r="59" spans="3:5" x14ac:dyDescent="0.15">
      <c r="C59" s="4"/>
    </row>
    <row r="60" spans="3:5" x14ac:dyDescent="0.15">
      <c r="C60" s="4"/>
    </row>
    <row r="61" spans="3:5" x14ac:dyDescent="0.15">
      <c r="C61" s="4"/>
    </row>
    <row r="62" spans="3:5" x14ac:dyDescent="0.15">
      <c r="C62" s="4"/>
    </row>
    <row r="63" spans="3:5" x14ac:dyDescent="0.15">
      <c r="C63" s="4"/>
    </row>
    <row r="64" spans="3:5" x14ac:dyDescent="0.15">
      <c r="C64" s="4"/>
    </row>
    <row r="65" spans="3:3" x14ac:dyDescent="0.15">
      <c r="C65" s="4"/>
    </row>
    <row r="66" spans="3:3" x14ac:dyDescent="0.15">
      <c r="C66" s="4"/>
    </row>
    <row r="67" spans="3:3" x14ac:dyDescent="0.15">
      <c r="C67" s="4"/>
    </row>
    <row r="68" spans="3:3" x14ac:dyDescent="0.15">
      <c r="C68" s="4"/>
    </row>
    <row r="69" spans="3:3" x14ac:dyDescent="0.15">
      <c r="C69" s="4"/>
    </row>
    <row r="70" spans="3:3" x14ac:dyDescent="0.15">
      <c r="C70" s="4"/>
    </row>
    <row r="71" spans="3:3" x14ac:dyDescent="0.15">
      <c r="C71" s="4"/>
    </row>
    <row r="72" spans="3:3" x14ac:dyDescent="0.15">
      <c r="C72" s="4"/>
    </row>
    <row r="73" spans="3:3" x14ac:dyDescent="0.15">
      <c r="C73" s="4"/>
    </row>
    <row r="74" spans="3:3" x14ac:dyDescent="0.15">
      <c r="C74" s="4"/>
    </row>
    <row r="75" spans="3:3" x14ac:dyDescent="0.15">
      <c r="C75" s="4"/>
    </row>
    <row r="76" spans="3:3" x14ac:dyDescent="0.15">
      <c r="C76" s="4"/>
    </row>
    <row r="77" spans="3:3" x14ac:dyDescent="0.15">
      <c r="C77" s="4"/>
    </row>
    <row r="78" spans="3:3" x14ac:dyDescent="0.15">
      <c r="C78" s="4"/>
    </row>
    <row r="79" spans="3:3" x14ac:dyDescent="0.15">
      <c r="C79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22"/>
  <sheetViews>
    <sheetView topLeftCell="A58" zoomScale="75" zoomScaleNormal="75" workbookViewId="0">
      <selection activeCell="I70" sqref="I70"/>
    </sheetView>
  </sheetViews>
  <sheetFormatPr defaultRowHeight="26.25" customHeight="1" x14ac:dyDescent="0.15"/>
  <cols>
    <col min="1" max="1" width="21" style="58" customWidth="1"/>
    <col min="2" max="4" width="9" style="60"/>
    <col min="5" max="5" width="10.375" style="60" customWidth="1"/>
    <col min="6" max="6" width="78.375" style="63" customWidth="1"/>
    <col min="7" max="7" width="21.5" style="60" customWidth="1"/>
    <col min="8" max="8" width="13.375" style="60" customWidth="1"/>
    <col min="9" max="9" width="32.125" style="60" customWidth="1"/>
    <col min="10" max="12" width="9" style="60"/>
    <col min="13" max="13" width="15.75" style="64" customWidth="1"/>
    <col min="14" max="14" width="9" style="60" customWidth="1"/>
    <col min="15" max="15" width="9" style="60"/>
    <col min="16" max="16" width="9.75" style="60" customWidth="1"/>
    <col min="17" max="17" width="12.25" style="56" customWidth="1"/>
    <col min="18" max="18" width="48.875" style="56" customWidth="1"/>
    <col min="19" max="16384" width="9" style="58"/>
  </cols>
  <sheetData>
    <row r="1" spans="1:18" s="57" customFormat="1" ht="26.25" customHeight="1" x14ac:dyDescent="0.15">
      <c r="A1" s="59" t="s">
        <v>15</v>
      </c>
      <c r="F1" s="40"/>
      <c r="M1" s="42"/>
    </row>
    <row r="2" spans="1:18" s="57" customFormat="1" ht="26.25" customHeight="1" x14ac:dyDescent="0.15">
      <c r="A2" s="59" t="s">
        <v>629</v>
      </c>
      <c r="B2" s="57" t="s">
        <v>8</v>
      </c>
      <c r="C2" s="57" t="s">
        <v>8</v>
      </c>
      <c r="D2" s="57" t="s">
        <v>8</v>
      </c>
      <c r="E2" s="57" t="s">
        <v>8</v>
      </c>
      <c r="F2" s="40" t="s">
        <v>8</v>
      </c>
      <c r="G2" s="57" t="s">
        <v>8</v>
      </c>
      <c r="H2" s="57" t="s">
        <v>8</v>
      </c>
      <c r="I2" s="57" t="s">
        <v>8</v>
      </c>
      <c r="J2" s="57" t="s">
        <v>8</v>
      </c>
      <c r="K2" s="57" t="s">
        <v>8</v>
      </c>
      <c r="L2" s="57" t="s">
        <v>8</v>
      </c>
      <c r="M2" s="42" t="s">
        <v>8</v>
      </c>
      <c r="N2" s="57" t="s">
        <v>8</v>
      </c>
      <c r="O2" s="57" t="s">
        <v>8</v>
      </c>
      <c r="P2" s="57" t="s">
        <v>8</v>
      </c>
    </row>
    <row r="3" spans="1:18" s="2" customFormat="1" ht="26.25" customHeight="1" x14ac:dyDescent="0.15">
      <c r="A3" s="16" t="s">
        <v>8</v>
      </c>
      <c r="B3" s="16" t="s">
        <v>91</v>
      </c>
      <c r="C3" s="16" t="s">
        <v>91</v>
      </c>
      <c r="D3" s="16" t="s">
        <v>91</v>
      </c>
      <c r="E3" s="16" t="s">
        <v>91</v>
      </c>
      <c r="F3" s="41" t="s">
        <v>630</v>
      </c>
      <c r="G3" s="16" t="s">
        <v>31</v>
      </c>
      <c r="H3" s="16" t="s">
        <v>31</v>
      </c>
      <c r="I3" s="16" t="s">
        <v>31</v>
      </c>
      <c r="J3" s="16" t="s">
        <v>91</v>
      </c>
      <c r="K3" s="16" t="s">
        <v>91</v>
      </c>
      <c r="L3" s="16" t="s">
        <v>91</v>
      </c>
      <c r="M3" s="43" t="s">
        <v>31</v>
      </c>
      <c r="N3" s="16" t="s">
        <v>91</v>
      </c>
      <c r="O3" s="16" t="s">
        <v>91</v>
      </c>
      <c r="P3" s="16" t="s">
        <v>91</v>
      </c>
      <c r="R3" s="16" t="s">
        <v>31</v>
      </c>
    </row>
    <row r="4" spans="1:18" s="2" customFormat="1" ht="26.25" customHeight="1" x14ac:dyDescent="0.15">
      <c r="A4" s="16"/>
      <c r="B4" s="16" t="s">
        <v>631</v>
      </c>
      <c r="C4" s="16" t="s">
        <v>615</v>
      </c>
      <c r="D4" s="16" t="s">
        <v>632</v>
      </c>
      <c r="E4" s="16" t="s">
        <v>624</v>
      </c>
      <c r="F4" s="41" t="s">
        <v>625</v>
      </c>
      <c r="G4" s="16" t="s">
        <v>633</v>
      </c>
      <c r="H4" s="16" t="s">
        <v>626</v>
      </c>
      <c r="I4" s="16" t="s">
        <v>571</v>
      </c>
      <c r="J4" s="16" t="s">
        <v>616</v>
      </c>
      <c r="K4" s="16" t="s">
        <v>634</v>
      </c>
      <c r="L4" s="16" t="s">
        <v>635</v>
      </c>
      <c r="M4" s="43" t="s">
        <v>627</v>
      </c>
      <c r="N4" s="16" t="s">
        <v>617</v>
      </c>
      <c r="O4" s="16" t="s">
        <v>628</v>
      </c>
      <c r="P4" s="16" t="s">
        <v>636</v>
      </c>
      <c r="R4" s="16" t="s">
        <v>637</v>
      </c>
    </row>
    <row r="5" spans="1:18" s="2" customFormat="1" ht="26.25" customHeight="1" x14ac:dyDescent="0.15">
      <c r="A5" s="16"/>
      <c r="B5" s="16" t="str">
        <f t="shared" ref="B5:P5" si="0">IF(B3="","",IF(B3="INT","i",IF(B3="FLOAT","f",IF(B3="STRING","s"))))</f>
        <v>i</v>
      </c>
      <c r="C5" s="16" t="str">
        <f t="shared" si="0"/>
        <v>i</v>
      </c>
      <c r="D5" s="16" t="str">
        <f t="shared" si="0"/>
        <v>i</v>
      </c>
      <c r="E5" s="16" t="str">
        <f t="shared" si="0"/>
        <v>i</v>
      </c>
      <c r="F5" s="41" t="str">
        <f t="shared" si="0"/>
        <v>s</v>
      </c>
      <c r="G5" s="16" t="str">
        <f t="shared" si="0"/>
        <v>s</v>
      </c>
      <c r="H5" s="16" t="str">
        <f t="shared" si="0"/>
        <v>s</v>
      </c>
      <c r="I5" s="16" t="str">
        <f t="shared" si="0"/>
        <v>s</v>
      </c>
      <c r="J5" s="16" t="str">
        <f t="shared" si="0"/>
        <v>i</v>
      </c>
      <c r="K5" s="16" t="str">
        <f t="shared" si="0"/>
        <v>i</v>
      </c>
      <c r="L5" s="16" t="str">
        <f t="shared" si="0"/>
        <v>i</v>
      </c>
      <c r="M5" s="43" t="str">
        <f t="shared" si="0"/>
        <v>s</v>
      </c>
      <c r="N5" s="16" t="str">
        <f t="shared" si="0"/>
        <v>i</v>
      </c>
      <c r="O5" s="16" t="str">
        <f t="shared" si="0"/>
        <v>i</v>
      </c>
      <c r="P5" s="16" t="str">
        <f t="shared" si="0"/>
        <v>i</v>
      </c>
      <c r="R5" s="16" t="str">
        <f t="shared" ref="R5" si="1">IF(R3="","",IF(R3="INT","i",IF(R3="FLOAT","f",IF(R3="STRING","s"))))</f>
        <v>s</v>
      </c>
    </row>
    <row r="6" spans="1:18" s="2" customFormat="1" ht="26.25" customHeight="1" x14ac:dyDescent="0.15">
      <c r="A6" s="16" t="s">
        <v>8</v>
      </c>
      <c r="B6" s="16" t="str">
        <f>B5&amp;B4</f>
        <v>iID</v>
      </c>
      <c r="C6" s="16" t="str">
        <f>C5&amp;C4</f>
        <v>iGroupID</v>
      </c>
      <c r="D6" s="16" t="str">
        <f t="shared" ref="D6:P6" si="2">D5&amp;D4</f>
        <v>iType</v>
      </c>
      <c r="E6" s="16" t="str">
        <f t="shared" si="2"/>
        <v>iSave</v>
      </c>
      <c r="F6" s="41" t="str">
        <f t="shared" si="2"/>
        <v>sParams</v>
      </c>
      <c r="G6" s="16" t="str">
        <f t="shared" si="2"/>
        <v>sCondition</v>
      </c>
      <c r="H6" s="16" t="str">
        <f>H5&amp;H4</f>
        <v>sAddCondition</v>
      </c>
      <c r="I6" s="16" t="str">
        <f>I5&amp;I4</f>
        <v>sJump</v>
      </c>
      <c r="J6" s="16" t="str">
        <f t="shared" si="2"/>
        <v>iForce</v>
      </c>
      <c r="K6" s="16" t="str">
        <f t="shared" si="2"/>
        <v>iNextStep</v>
      </c>
      <c r="L6" s="16" t="str">
        <f>L5&amp;L4</f>
        <v>iPrevStep</v>
      </c>
      <c r="M6" s="43" t="str">
        <f>M5&amp;M4</f>
        <v>sPosOffset</v>
      </c>
      <c r="N6" s="16" t="str">
        <f>N5&amp;N4</f>
        <v>iDialogID</v>
      </c>
      <c r="O6" s="16" t="str">
        <f t="shared" si="2"/>
        <v>iEffectType</v>
      </c>
      <c r="P6" s="16" t="str">
        <f t="shared" si="2"/>
        <v>iJumpStageID</v>
      </c>
      <c r="R6" s="16" t="str">
        <f t="shared" ref="R6" si="3">R5&amp;R4</f>
        <v>sDesc</v>
      </c>
    </row>
    <row r="7" spans="1:18" s="35" customFormat="1" ht="26.25" customHeight="1" x14ac:dyDescent="0.15">
      <c r="A7" s="16"/>
      <c r="B7" s="16" t="s">
        <v>638</v>
      </c>
      <c r="C7" s="16" t="s">
        <v>639</v>
      </c>
      <c r="D7" s="16" t="s">
        <v>640</v>
      </c>
      <c r="E7" s="16" t="s">
        <v>641</v>
      </c>
      <c r="F7" s="41" t="s">
        <v>642</v>
      </c>
      <c r="G7" s="16" t="s">
        <v>643</v>
      </c>
      <c r="H7" s="16" t="s">
        <v>644</v>
      </c>
      <c r="I7" s="16" t="s">
        <v>645</v>
      </c>
      <c r="J7" s="16" t="s">
        <v>646</v>
      </c>
      <c r="K7" s="16" t="s">
        <v>647</v>
      </c>
      <c r="L7" s="16" t="s">
        <v>648</v>
      </c>
      <c r="M7" s="43" t="s">
        <v>649</v>
      </c>
      <c r="N7" s="16" t="s">
        <v>650</v>
      </c>
      <c r="O7" s="16" t="s">
        <v>651</v>
      </c>
      <c r="P7" s="16" t="s">
        <v>652</v>
      </c>
      <c r="R7" s="16" t="s">
        <v>653</v>
      </c>
    </row>
    <row r="8" spans="1:18" s="35" customFormat="1" ht="26.25" customHeight="1" x14ac:dyDescent="0.15">
      <c r="A8" s="16" t="s">
        <v>10</v>
      </c>
      <c r="B8" s="16">
        <v>0</v>
      </c>
      <c r="C8" s="16">
        <v>0</v>
      </c>
      <c r="D8" s="16">
        <v>0</v>
      </c>
      <c r="E8" s="16">
        <v>0</v>
      </c>
      <c r="F8" s="41"/>
      <c r="G8" s="16"/>
      <c r="H8" s="16"/>
      <c r="I8" s="16"/>
      <c r="J8" s="16">
        <v>0</v>
      </c>
      <c r="K8" s="16">
        <v>0</v>
      </c>
      <c r="L8" s="16">
        <v>0</v>
      </c>
      <c r="M8" s="43"/>
      <c r="N8" s="16">
        <v>0</v>
      </c>
      <c r="O8" s="16">
        <v>0</v>
      </c>
      <c r="P8" s="16">
        <v>0</v>
      </c>
      <c r="R8" s="16"/>
    </row>
    <row r="9" spans="1:18" s="35" customFormat="1" ht="26.25" customHeight="1" x14ac:dyDescent="0.15">
      <c r="A9" s="66"/>
      <c r="B9" s="66"/>
      <c r="C9" s="66"/>
      <c r="D9" s="66"/>
      <c r="E9" s="66"/>
      <c r="F9" s="69"/>
      <c r="G9" s="66"/>
      <c r="H9" s="66"/>
      <c r="I9" s="66"/>
      <c r="J9" s="67"/>
      <c r="K9" s="68"/>
      <c r="L9" s="68"/>
      <c r="M9" s="71"/>
      <c r="N9" s="68"/>
      <c r="O9" s="68"/>
      <c r="P9" s="66"/>
      <c r="Q9" s="56"/>
      <c r="R9" s="66"/>
    </row>
    <row r="10" spans="1:18" s="35" customFormat="1" ht="26.25" customHeight="1" x14ac:dyDescent="0.15">
      <c r="A10" s="61"/>
      <c r="B10" s="62"/>
      <c r="C10" s="62"/>
      <c r="D10" s="62"/>
      <c r="E10" s="62"/>
      <c r="F10" s="69"/>
      <c r="G10" s="62"/>
      <c r="H10" s="62"/>
      <c r="I10" s="62"/>
      <c r="J10" s="58"/>
      <c r="K10" s="65"/>
      <c r="L10" s="65"/>
      <c r="M10" s="70"/>
      <c r="N10" s="65"/>
      <c r="O10" s="65"/>
      <c r="P10" s="62"/>
      <c r="Q10" s="56"/>
      <c r="R10" s="62"/>
    </row>
    <row r="11" spans="1:18" ht="27" customHeight="1" x14ac:dyDescent="0.15"/>
    <row r="13" spans="1:18" s="35" customFormat="1" ht="26.25" customHeight="1" x14ac:dyDescent="0.15">
      <c r="A13" s="61" t="s">
        <v>8</v>
      </c>
      <c r="B13" s="75">
        <v>1</v>
      </c>
      <c r="C13" s="75">
        <v>1</v>
      </c>
      <c r="D13" s="75">
        <v>4</v>
      </c>
      <c r="E13" s="75">
        <v>1</v>
      </c>
      <c r="F13" s="75">
        <v>7</v>
      </c>
      <c r="G13" s="76" t="s">
        <v>654</v>
      </c>
      <c r="H13" s="62"/>
      <c r="I13" s="62"/>
      <c r="J13" s="75"/>
      <c r="K13" s="75">
        <v>3</v>
      </c>
      <c r="L13" s="65"/>
      <c r="M13" s="96"/>
      <c r="N13" s="77"/>
      <c r="O13" s="77"/>
      <c r="P13" s="62"/>
      <c r="Q13" s="56"/>
      <c r="R13" s="76" t="s">
        <v>655</v>
      </c>
    </row>
    <row r="14" spans="1:18" s="35" customFormat="1" ht="26.25" customHeight="1" x14ac:dyDescent="0.15">
      <c r="A14" s="61" t="s">
        <v>8</v>
      </c>
      <c r="B14" s="75">
        <v>3</v>
      </c>
      <c r="C14" s="75">
        <v>2</v>
      </c>
      <c r="D14" s="75">
        <v>20</v>
      </c>
      <c r="E14" s="75">
        <v>0</v>
      </c>
      <c r="F14" s="75" t="s">
        <v>553</v>
      </c>
      <c r="G14" s="75"/>
      <c r="H14" s="75"/>
      <c r="I14" s="75"/>
      <c r="J14" s="75"/>
      <c r="K14" s="75">
        <v>4</v>
      </c>
      <c r="L14" s="62"/>
      <c r="M14" s="70"/>
      <c r="N14" s="65"/>
      <c r="O14" s="65"/>
      <c r="P14" s="60"/>
      <c r="Q14" s="56"/>
      <c r="R14" s="75" t="s">
        <v>554</v>
      </c>
    </row>
    <row r="15" spans="1:18" s="35" customFormat="1" ht="26.25" customHeight="1" x14ac:dyDescent="0.15">
      <c r="A15" s="61" t="s">
        <v>8</v>
      </c>
      <c r="B15" s="75">
        <v>4</v>
      </c>
      <c r="C15" s="75">
        <v>2</v>
      </c>
      <c r="D15" s="75">
        <v>3</v>
      </c>
      <c r="E15" s="75">
        <v>0</v>
      </c>
      <c r="F15" s="76" t="s">
        <v>853</v>
      </c>
      <c r="G15" s="76"/>
      <c r="H15" s="58"/>
      <c r="I15" s="58"/>
      <c r="J15" s="75">
        <v>1</v>
      </c>
      <c r="K15" s="75">
        <v>101</v>
      </c>
      <c r="L15" s="62"/>
      <c r="M15" s="97" t="s">
        <v>897</v>
      </c>
      <c r="N15" s="75">
        <v>10040002</v>
      </c>
      <c r="O15" s="75">
        <v>1</v>
      </c>
      <c r="P15" s="75"/>
      <c r="Q15" s="56"/>
      <c r="R15" s="75" t="s">
        <v>208</v>
      </c>
    </row>
    <row r="17" spans="1:18" ht="26.25" customHeight="1" x14ac:dyDescent="0.15">
      <c r="A17" s="57" t="s">
        <v>8</v>
      </c>
      <c r="B17" s="75">
        <v>101</v>
      </c>
      <c r="C17" s="75">
        <v>3</v>
      </c>
      <c r="D17" s="75">
        <v>2</v>
      </c>
      <c r="E17" s="75">
        <v>0</v>
      </c>
      <c r="F17" s="76" t="s">
        <v>656</v>
      </c>
      <c r="G17" s="75" t="s">
        <v>657</v>
      </c>
      <c r="H17" s="75" t="s">
        <v>348</v>
      </c>
      <c r="I17" s="75" t="s">
        <v>348</v>
      </c>
      <c r="J17" s="78">
        <v>1</v>
      </c>
      <c r="K17" s="75">
        <v>102</v>
      </c>
      <c r="M17" s="97" t="s">
        <v>898</v>
      </c>
      <c r="N17" s="75">
        <v>10040003</v>
      </c>
      <c r="O17" s="75"/>
      <c r="R17" s="75" t="s">
        <v>555</v>
      </c>
    </row>
    <row r="18" spans="1:18" ht="26.25" customHeight="1" x14ac:dyDescent="0.15">
      <c r="A18" s="57" t="s">
        <v>8</v>
      </c>
      <c r="B18" s="75">
        <v>102</v>
      </c>
      <c r="C18" s="75">
        <v>3</v>
      </c>
      <c r="D18" s="75">
        <v>3</v>
      </c>
      <c r="E18" s="75">
        <v>0</v>
      </c>
      <c r="F18" s="76" t="s">
        <v>658</v>
      </c>
      <c r="G18" s="75" t="s">
        <v>556</v>
      </c>
      <c r="H18" s="75" t="s">
        <v>348</v>
      </c>
      <c r="I18" s="75" t="s">
        <v>348</v>
      </c>
      <c r="J18" s="78">
        <v>1</v>
      </c>
      <c r="K18" s="75">
        <v>103</v>
      </c>
      <c r="M18" s="97" t="s">
        <v>876</v>
      </c>
      <c r="N18" s="75">
        <v>10040005</v>
      </c>
      <c r="O18" s="75">
        <v>0</v>
      </c>
      <c r="R18" s="75" t="s">
        <v>557</v>
      </c>
    </row>
    <row r="19" spans="1:18" ht="26.25" customHeight="1" x14ac:dyDescent="0.15">
      <c r="A19" s="57" t="s">
        <v>8</v>
      </c>
      <c r="B19" s="75">
        <v>103</v>
      </c>
      <c r="C19" s="75">
        <v>3</v>
      </c>
      <c r="D19" s="75">
        <v>20</v>
      </c>
      <c r="E19" s="75">
        <v>2</v>
      </c>
      <c r="F19" s="76" t="s">
        <v>859</v>
      </c>
      <c r="G19" s="76" t="s">
        <v>659</v>
      </c>
      <c r="H19" s="75" t="s">
        <v>348</v>
      </c>
      <c r="I19" s="75" t="s">
        <v>348</v>
      </c>
      <c r="J19" s="78">
        <v>1</v>
      </c>
      <c r="K19" s="75">
        <v>104</v>
      </c>
      <c r="M19" s="98"/>
      <c r="N19" s="75"/>
      <c r="O19" s="75"/>
      <c r="R19" s="75" t="s">
        <v>554</v>
      </c>
    </row>
    <row r="20" spans="1:18" ht="26.25" customHeight="1" x14ac:dyDescent="0.15">
      <c r="A20" s="57" t="s">
        <v>8</v>
      </c>
      <c r="B20" s="75">
        <v>104</v>
      </c>
      <c r="C20" s="75">
        <v>3</v>
      </c>
      <c r="D20" s="75">
        <v>2</v>
      </c>
      <c r="E20" s="75">
        <v>0</v>
      </c>
      <c r="F20" s="76" t="s">
        <v>660</v>
      </c>
      <c r="G20" s="78" t="s">
        <v>661</v>
      </c>
      <c r="H20" s="75" t="s">
        <v>348</v>
      </c>
      <c r="I20" s="75" t="s">
        <v>348</v>
      </c>
      <c r="J20" s="78">
        <v>1</v>
      </c>
      <c r="K20" s="75">
        <v>105</v>
      </c>
      <c r="M20" s="98" t="s">
        <v>558</v>
      </c>
      <c r="N20" s="75">
        <v>10040006</v>
      </c>
      <c r="O20" s="75"/>
      <c r="R20" s="75" t="s">
        <v>559</v>
      </c>
    </row>
    <row r="21" spans="1:18" ht="26.25" customHeight="1" x14ac:dyDescent="0.15">
      <c r="A21" s="57" t="s">
        <v>8</v>
      </c>
      <c r="B21" s="75">
        <v>105</v>
      </c>
      <c r="C21" s="75">
        <v>3</v>
      </c>
      <c r="D21" s="75">
        <v>21</v>
      </c>
      <c r="E21" s="75">
        <v>0</v>
      </c>
      <c r="F21" s="75" t="s">
        <v>390</v>
      </c>
      <c r="G21" s="75" t="s">
        <v>560</v>
      </c>
      <c r="H21" s="75" t="s">
        <v>348</v>
      </c>
      <c r="I21" s="75" t="s">
        <v>348</v>
      </c>
      <c r="J21" s="78">
        <v>1</v>
      </c>
      <c r="K21" s="75">
        <v>106</v>
      </c>
      <c r="M21" s="98"/>
      <c r="N21" s="75"/>
      <c r="O21" s="75"/>
      <c r="R21" s="75" t="s">
        <v>554</v>
      </c>
    </row>
    <row r="22" spans="1:18" ht="26.25" customHeight="1" x14ac:dyDescent="0.15">
      <c r="A22" s="57" t="s">
        <v>8</v>
      </c>
      <c r="B22" s="75">
        <v>106</v>
      </c>
      <c r="C22" s="75">
        <v>3</v>
      </c>
      <c r="D22" s="75">
        <v>3</v>
      </c>
      <c r="E22" s="75">
        <v>0</v>
      </c>
      <c r="F22" s="76" t="s">
        <v>662</v>
      </c>
      <c r="G22" s="75" t="s">
        <v>561</v>
      </c>
      <c r="H22" s="75" t="s">
        <v>348</v>
      </c>
      <c r="I22" s="75" t="s">
        <v>348</v>
      </c>
      <c r="J22" s="75">
        <v>0</v>
      </c>
      <c r="K22" s="75">
        <v>1020</v>
      </c>
      <c r="L22" s="75"/>
      <c r="N22" s="75"/>
      <c r="O22" s="75">
        <v>1</v>
      </c>
      <c r="R22" s="76" t="s">
        <v>663</v>
      </c>
    </row>
    <row r="23" spans="1:18" ht="26.25" customHeight="1" x14ac:dyDescent="0.15">
      <c r="A23" s="57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N23" s="75"/>
      <c r="O23" s="75"/>
      <c r="R23" s="75"/>
    </row>
    <row r="26" spans="1:18" ht="26.25" customHeight="1" x14ac:dyDescent="0.15">
      <c r="A26" s="57" t="s">
        <v>8</v>
      </c>
      <c r="B26" s="75">
        <v>1020</v>
      </c>
      <c r="C26" s="75">
        <v>12</v>
      </c>
      <c r="D26" s="75">
        <v>3</v>
      </c>
      <c r="E26" s="75">
        <v>2</v>
      </c>
      <c r="F26" s="76" t="s">
        <v>664</v>
      </c>
      <c r="G26" s="76" t="s">
        <v>665</v>
      </c>
      <c r="H26" s="76" t="s">
        <v>666</v>
      </c>
      <c r="I26" s="75" t="s">
        <v>348</v>
      </c>
      <c r="J26" s="75">
        <v>0</v>
      </c>
      <c r="K26" s="75">
        <v>1021</v>
      </c>
      <c r="O26" s="75">
        <v>1</v>
      </c>
      <c r="P26" s="75"/>
      <c r="Q26" s="75"/>
      <c r="R26" s="56" t="s">
        <v>563</v>
      </c>
    </row>
    <row r="27" spans="1:18" ht="33.75" customHeight="1" x14ac:dyDescent="0.15">
      <c r="A27" s="57" t="s">
        <v>8</v>
      </c>
      <c r="B27" s="75">
        <v>1021</v>
      </c>
      <c r="C27" s="75">
        <v>12</v>
      </c>
      <c r="D27" s="75">
        <v>20</v>
      </c>
      <c r="E27" s="75">
        <v>0</v>
      </c>
      <c r="F27" s="76" t="s">
        <v>864</v>
      </c>
      <c r="G27" s="75" t="s">
        <v>364</v>
      </c>
      <c r="H27" s="75" t="s">
        <v>348</v>
      </c>
      <c r="I27" s="75" t="s">
        <v>348</v>
      </c>
      <c r="J27" s="75"/>
      <c r="K27" s="75">
        <v>1022</v>
      </c>
      <c r="L27" s="75"/>
      <c r="O27" s="75"/>
      <c r="P27" s="75"/>
      <c r="Q27" s="75" t="s">
        <v>348</v>
      </c>
    </row>
    <row r="28" spans="1:18" ht="26.25" customHeight="1" x14ac:dyDescent="0.15">
      <c r="A28" s="57" t="s">
        <v>8</v>
      </c>
      <c r="B28" s="75">
        <v>1022</v>
      </c>
      <c r="C28" s="75">
        <v>12</v>
      </c>
      <c r="D28" s="75">
        <v>3</v>
      </c>
      <c r="E28" s="75">
        <v>0</v>
      </c>
      <c r="F28" s="75" t="s">
        <v>336</v>
      </c>
      <c r="G28" s="75" t="s">
        <v>347</v>
      </c>
      <c r="H28" s="75" t="s">
        <v>348</v>
      </c>
      <c r="I28" s="75" t="s">
        <v>348</v>
      </c>
      <c r="J28" s="75">
        <v>0</v>
      </c>
      <c r="K28" s="75">
        <v>1023</v>
      </c>
      <c r="O28" s="75">
        <v>1</v>
      </c>
      <c r="P28" s="75"/>
      <c r="Q28" s="75" t="s">
        <v>348</v>
      </c>
    </row>
    <row r="29" spans="1:18" ht="25.5" customHeight="1" x14ac:dyDescent="0.15">
      <c r="A29" s="57" t="s">
        <v>8</v>
      </c>
      <c r="B29" s="75">
        <v>1023</v>
      </c>
      <c r="C29" s="75">
        <v>12</v>
      </c>
      <c r="D29" s="75">
        <v>20</v>
      </c>
      <c r="E29" s="75">
        <v>0</v>
      </c>
      <c r="F29" s="76" t="s">
        <v>667</v>
      </c>
      <c r="G29" s="76" t="s">
        <v>668</v>
      </c>
      <c r="H29" s="75" t="s">
        <v>348</v>
      </c>
      <c r="I29" s="75" t="s">
        <v>348</v>
      </c>
      <c r="J29" s="75"/>
      <c r="K29" s="75">
        <v>1024</v>
      </c>
      <c r="L29" s="75"/>
      <c r="O29" s="75"/>
      <c r="P29" s="75"/>
      <c r="Q29" s="75" t="s">
        <v>348</v>
      </c>
    </row>
    <row r="30" spans="1:18" ht="26.25" customHeight="1" x14ac:dyDescent="0.15">
      <c r="A30" s="57" t="s">
        <v>8</v>
      </c>
      <c r="B30" s="75">
        <v>1024</v>
      </c>
      <c r="C30" s="75">
        <v>12</v>
      </c>
      <c r="D30" s="75">
        <v>3</v>
      </c>
      <c r="E30" s="75">
        <v>0</v>
      </c>
      <c r="F30" s="76" t="s">
        <v>669</v>
      </c>
      <c r="G30" s="76" t="s">
        <v>670</v>
      </c>
      <c r="H30" s="75" t="s">
        <v>348</v>
      </c>
      <c r="I30" s="75" t="s">
        <v>348</v>
      </c>
      <c r="J30" s="75">
        <v>0</v>
      </c>
      <c r="K30" s="75">
        <v>1025</v>
      </c>
      <c r="O30" s="75">
        <v>1</v>
      </c>
      <c r="P30" s="75"/>
      <c r="Q30" s="75" t="s">
        <v>348</v>
      </c>
    </row>
    <row r="31" spans="1:18" ht="26.25" customHeight="1" x14ac:dyDescent="0.15">
      <c r="A31" s="57" t="s">
        <v>8</v>
      </c>
      <c r="B31" s="75">
        <v>1025</v>
      </c>
      <c r="C31" s="75">
        <v>12</v>
      </c>
      <c r="D31" s="75">
        <v>3</v>
      </c>
      <c r="E31" s="75">
        <v>0</v>
      </c>
      <c r="F31" s="76" t="s">
        <v>671</v>
      </c>
      <c r="G31" s="75" t="s">
        <v>458</v>
      </c>
      <c r="H31" s="75"/>
      <c r="I31" s="75"/>
      <c r="J31" s="75">
        <v>0</v>
      </c>
      <c r="K31" s="78">
        <v>1399</v>
      </c>
      <c r="O31" s="75">
        <v>1</v>
      </c>
      <c r="P31" s="75"/>
      <c r="Q31" s="75" t="s">
        <v>348</v>
      </c>
    </row>
    <row r="33" spans="1:18" ht="26.25" customHeight="1" x14ac:dyDescent="0.15">
      <c r="A33" s="57"/>
      <c r="B33" s="75"/>
      <c r="C33" s="75"/>
      <c r="D33" s="75"/>
      <c r="E33" s="75"/>
      <c r="F33" s="75"/>
      <c r="G33" s="76"/>
      <c r="H33" s="75"/>
      <c r="I33" s="75"/>
      <c r="J33" s="78"/>
      <c r="K33" s="75"/>
      <c r="M33" s="98"/>
      <c r="N33" s="75"/>
      <c r="O33" s="75"/>
      <c r="R33" s="76"/>
    </row>
    <row r="34" spans="1:18" ht="26.25" customHeight="1" x14ac:dyDescent="0.15">
      <c r="A34" s="57" t="s">
        <v>672</v>
      </c>
      <c r="B34" s="75">
        <v>1399</v>
      </c>
      <c r="C34" s="75">
        <v>17</v>
      </c>
      <c r="D34" s="75">
        <v>21</v>
      </c>
      <c r="E34" s="75">
        <v>0</v>
      </c>
      <c r="F34" s="78">
        <v>0.1</v>
      </c>
      <c r="G34" s="76" t="s">
        <v>673</v>
      </c>
      <c r="H34" s="76"/>
      <c r="I34" s="76" t="s">
        <v>674</v>
      </c>
      <c r="J34" s="78">
        <v>1</v>
      </c>
      <c r="K34" s="75">
        <v>1400</v>
      </c>
      <c r="L34" s="75"/>
      <c r="M34" s="97"/>
      <c r="N34" s="75"/>
      <c r="O34" s="75"/>
      <c r="P34" s="75"/>
      <c r="R34" s="75" t="s">
        <v>623</v>
      </c>
    </row>
    <row r="35" spans="1:18" ht="26.25" customHeight="1" x14ac:dyDescent="0.15">
      <c r="A35" s="57" t="s">
        <v>8</v>
      </c>
      <c r="B35" s="75">
        <v>1400</v>
      </c>
      <c r="C35" s="75">
        <v>17</v>
      </c>
      <c r="D35" s="75">
        <v>3</v>
      </c>
      <c r="E35" s="75">
        <v>2</v>
      </c>
      <c r="F35" s="75"/>
      <c r="G35" s="76" t="s">
        <v>675</v>
      </c>
      <c r="H35" s="76">
        <v>25</v>
      </c>
      <c r="I35" s="76"/>
      <c r="J35" s="75"/>
      <c r="K35" s="75">
        <v>1402</v>
      </c>
      <c r="L35" s="75"/>
      <c r="M35" s="97" t="s">
        <v>877</v>
      </c>
      <c r="N35" s="75">
        <v>10040026</v>
      </c>
      <c r="O35" s="75">
        <v>2</v>
      </c>
      <c r="P35" s="75">
        <v>1</v>
      </c>
      <c r="R35" s="75" t="s">
        <v>362</v>
      </c>
    </row>
    <row r="36" spans="1:18" ht="26.25" customHeight="1" x14ac:dyDescent="0.15">
      <c r="A36" s="57" t="s">
        <v>8</v>
      </c>
      <c r="B36" s="75">
        <v>1402</v>
      </c>
      <c r="C36" s="75">
        <v>17</v>
      </c>
      <c r="D36" s="75">
        <v>3</v>
      </c>
      <c r="E36" s="75">
        <v>0</v>
      </c>
      <c r="F36" s="75"/>
      <c r="G36" s="76" t="s">
        <v>676</v>
      </c>
      <c r="H36" s="75"/>
      <c r="I36" s="75"/>
      <c r="J36" s="75">
        <v>0</v>
      </c>
      <c r="K36" s="75">
        <v>1403</v>
      </c>
      <c r="L36" s="75">
        <v>1400</v>
      </c>
      <c r="M36" s="98"/>
      <c r="N36" s="75"/>
      <c r="O36" s="75">
        <v>1</v>
      </c>
      <c r="P36" s="75"/>
      <c r="R36" s="75" t="s">
        <v>387</v>
      </c>
    </row>
    <row r="37" spans="1:18" ht="26.25" customHeight="1" x14ac:dyDescent="0.15">
      <c r="A37" s="57" t="s">
        <v>8</v>
      </c>
      <c r="B37" s="75">
        <v>1403</v>
      </c>
      <c r="C37" s="75">
        <v>17</v>
      </c>
      <c r="D37" s="75">
        <v>20</v>
      </c>
      <c r="E37" s="75">
        <v>0</v>
      </c>
      <c r="F37" s="76" t="s">
        <v>860</v>
      </c>
      <c r="G37" s="75"/>
      <c r="H37" s="75"/>
      <c r="I37" s="75"/>
      <c r="J37" s="75"/>
      <c r="K37" s="75">
        <v>1404</v>
      </c>
      <c r="L37" s="75">
        <v>1402</v>
      </c>
      <c r="M37" s="98"/>
      <c r="N37" s="75"/>
      <c r="O37" s="75"/>
      <c r="P37" s="75"/>
      <c r="R37" s="75" t="s">
        <v>348</v>
      </c>
    </row>
    <row r="38" spans="1:18" ht="25.5" customHeight="1" x14ac:dyDescent="0.15">
      <c r="A38" s="57" t="s">
        <v>8</v>
      </c>
      <c r="B38" s="75">
        <v>1404</v>
      </c>
      <c r="C38" s="75">
        <v>17</v>
      </c>
      <c r="D38" s="75">
        <v>3</v>
      </c>
      <c r="E38" s="75">
        <v>0</v>
      </c>
      <c r="F38" s="75"/>
      <c r="G38" s="75" t="s">
        <v>389</v>
      </c>
      <c r="H38" s="75"/>
      <c r="I38" s="75"/>
      <c r="J38" s="75">
        <v>0</v>
      </c>
      <c r="K38" s="75">
        <v>1405</v>
      </c>
      <c r="L38" s="75">
        <v>1403</v>
      </c>
      <c r="M38" s="98"/>
      <c r="N38" s="75"/>
      <c r="O38" s="75">
        <v>1</v>
      </c>
      <c r="P38" s="75"/>
      <c r="R38" s="75" t="s">
        <v>388</v>
      </c>
    </row>
    <row r="39" spans="1:18" ht="26.25" customHeight="1" x14ac:dyDescent="0.15">
      <c r="A39" s="57" t="s">
        <v>8</v>
      </c>
      <c r="B39" s="75">
        <v>1405</v>
      </c>
      <c r="C39" s="75">
        <v>17</v>
      </c>
      <c r="D39" s="75">
        <v>20</v>
      </c>
      <c r="E39" s="75">
        <v>0</v>
      </c>
      <c r="F39" s="76" t="s">
        <v>861</v>
      </c>
      <c r="G39" s="75" t="s">
        <v>348</v>
      </c>
      <c r="H39" s="75" t="s">
        <v>348</v>
      </c>
      <c r="I39" s="75" t="s">
        <v>348</v>
      </c>
      <c r="J39" s="75">
        <v>0</v>
      </c>
      <c r="K39" s="75">
        <v>1406</v>
      </c>
      <c r="L39" s="75">
        <v>1404</v>
      </c>
      <c r="M39" s="98"/>
      <c r="N39" s="75"/>
      <c r="O39" s="75"/>
      <c r="P39" s="58"/>
      <c r="Q39" s="75"/>
      <c r="R39" s="75" t="s">
        <v>449</v>
      </c>
    </row>
    <row r="40" spans="1:18" ht="26.25" customHeight="1" x14ac:dyDescent="0.15">
      <c r="A40" s="57" t="s">
        <v>8</v>
      </c>
      <c r="B40" s="75">
        <v>1406</v>
      </c>
      <c r="C40" s="75">
        <v>17</v>
      </c>
      <c r="D40" s="75">
        <v>3</v>
      </c>
      <c r="E40" s="75">
        <v>0</v>
      </c>
      <c r="F40" s="76" t="s">
        <v>875</v>
      </c>
      <c r="G40" s="75" t="s">
        <v>450</v>
      </c>
      <c r="H40" s="75" t="s">
        <v>348</v>
      </c>
      <c r="I40" s="75" t="s">
        <v>348</v>
      </c>
      <c r="J40" s="75">
        <v>0</v>
      </c>
      <c r="K40" s="75">
        <v>1407</v>
      </c>
      <c r="L40" s="75">
        <v>1405</v>
      </c>
      <c r="M40" s="98"/>
      <c r="N40" s="75"/>
      <c r="O40" s="75">
        <v>1</v>
      </c>
      <c r="P40" s="58"/>
      <c r="Q40" s="75"/>
      <c r="R40" s="75" t="s">
        <v>451</v>
      </c>
    </row>
    <row r="41" spans="1:18" ht="26.25" customHeight="1" x14ac:dyDescent="0.15">
      <c r="A41" s="57" t="s">
        <v>8</v>
      </c>
      <c r="B41" s="75">
        <v>1407</v>
      </c>
      <c r="C41" s="75">
        <v>17</v>
      </c>
      <c r="D41" s="75">
        <v>3</v>
      </c>
      <c r="E41" s="75">
        <v>0</v>
      </c>
      <c r="F41" s="76" t="s">
        <v>874</v>
      </c>
      <c r="G41" s="75" t="s">
        <v>452</v>
      </c>
      <c r="H41" s="75" t="s">
        <v>348</v>
      </c>
      <c r="I41" s="75" t="s">
        <v>348</v>
      </c>
      <c r="J41" s="75">
        <v>0</v>
      </c>
      <c r="K41" s="75">
        <v>1408</v>
      </c>
      <c r="L41" s="75">
        <v>1406</v>
      </c>
      <c r="M41" s="98"/>
      <c r="N41" s="75"/>
      <c r="O41" s="75">
        <v>1</v>
      </c>
      <c r="P41" s="58"/>
      <c r="Q41" s="75"/>
      <c r="R41" s="75" t="s">
        <v>453</v>
      </c>
    </row>
    <row r="42" spans="1:18" ht="26.25" customHeight="1" x14ac:dyDescent="0.15">
      <c r="A42" s="57" t="s">
        <v>8</v>
      </c>
      <c r="B42" s="75">
        <v>1408</v>
      </c>
      <c r="C42" s="75">
        <v>17</v>
      </c>
      <c r="D42" s="75">
        <v>3</v>
      </c>
      <c r="E42" s="75">
        <v>0</v>
      </c>
      <c r="F42" s="76" t="s">
        <v>677</v>
      </c>
      <c r="G42" s="75" t="s">
        <v>455</v>
      </c>
      <c r="H42" s="75" t="s">
        <v>348</v>
      </c>
      <c r="I42" s="75" t="s">
        <v>348</v>
      </c>
      <c r="J42" s="75">
        <v>0</v>
      </c>
      <c r="K42" s="75">
        <v>2001</v>
      </c>
      <c r="L42" s="75">
        <v>1407</v>
      </c>
      <c r="M42" s="98"/>
      <c r="O42" s="75">
        <v>1</v>
      </c>
      <c r="P42" s="75"/>
      <c r="R42" s="75" t="s">
        <v>456</v>
      </c>
    </row>
    <row r="46" spans="1:18" ht="26.25" customHeight="1" x14ac:dyDescent="0.15">
      <c r="A46" s="57" t="s">
        <v>8</v>
      </c>
      <c r="B46" s="75">
        <v>2001</v>
      </c>
      <c r="C46" s="75">
        <v>20</v>
      </c>
      <c r="D46" s="75">
        <v>2</v>
      </c>
      <c r="E46" s="75">
        <v>2</v>
      </c>
      <c r="F46" s="76" t="s">
        <v>678</v>
      </c>
      <c r="G46" s="76" t="s">
        <v>679</v>
      </c>
      <c r="H46" s="76" t="s">
        <v>854</v>
      </c>
      <c r="I46" s="75" t="s">
        <v>348</v>
      </c>
      <c r="J46" s="75">
        <v>1</v>
      </c>
      <c r="K46" s="75">
        <v>2002</v>
      </c>
      <c r="M46" s="97" t="s">
        <v>919</v>
      </c>
      <c r="N46" s="75">
        <v>10040027</v>
      </c>
      <c r="R46" s="75" t="s">
        <v>583</v>
      </c>
    </row>
    <row r="47" spans="1:18" ht="26.25" customHeight="1" x14ac:dyDescent="0.15">
      <c r="A47" s="57" t="s">
        <v>8</v>
      </c>
      <c r="B47" s="75">
        <v>2002</v>
      </c>
      <c r="C47" s="75">
        <v>20</v>
      </c>
      <c r="D47" s="75">
        <v>2</v>
      </c>
      <c r="E47" s="75">
        <v>0</v>
      </c>
      <c r="F47" s="76" t="s">
        <v>865</v>
      </c>
      <c r="G47" s="75" t="s">
        <v>579</v>
      </c>
      <c r="H47" s="75" t="s">
        <v>348</v>
      </c>
      <c r="I47" s="75" t="s">
        <v>348</v>
      </c>
      <c r="J47" s="75">
        <v>1</v>
      </c>
      <c r="K47" s="75">
        <v>2003</v>
      </c>
      <c r="M47" s="97" t="s">
        <v>899</v>
      </c>
      <c r="N47" s="75">
        <v>10040028</v>
      </c>
      <c r="R47" s="75" t="s">
        <v>584</v>
      </c>
    </row>
    <row r="48" spans="1:18" ht="26.25" customHeight="1" x14ac:dyDescent="0.15">
      <c r="A48" s="57" t="s">
        <v>8</v>
      </c>
      <c r="B48" s="75">
        <v>2003</v>
      </c>
      <c r="C48" s="75">
        <v>20</v>
      </c>
      <c r="D48" s="75">
        <v>2</v>
      </c>
      <c r="E48" s="75">
        <v>0</v>
      </c>
      <c r="F48" s="76" t="s">
        <v>680</v>
      </c>
      <c r="G48" s="76" t="s">
        <v>681</v>
      </c>
      <c r="H48" s="75" t="s">
        <v>348</v>
      </c>
      <c r="I48" s="75" t="s">
        <v>348</v>
      </c>
      <c r="J48" s="75">
        <v>1</v>
      </c>
      <c r="K48" s="75">
        <v>2004</v>
      </c>
      <c r="M48" s="97" t="s">
        <v>878</v>
      </c>
      <c r="N48" s="75">
        <v>10040029</v>
      </c>
      <c r="R48" s="75" t="s">
        <v>585</v>
      </c>
    </row>
    <row r="49" spans="1:19" ht="26.25" customHeight="1" x14ac:dyDescent="0.15">
      <c r="A49" s="57" t="s">
        <v>8</v>
      </c>
      <c r="B49" s="75">
        <v>2004</v>
      </c>
      <c r="C49" s="75">
        <v>20</v>
      </c>
      <c r="D49" s="75">
        <v>2</v>
      </c>
      <c r="E49" s="75">
        <v>0</v>
      </c>
      <c r="F49" s="76" t="s">
        <v>682</v>
      </c>
      <c r="G49" s="75" t="s">
        <v>580</v>
      </c>
      <c r="H49" s="75" t="s">
        <v>348</v>
      </c>
      <c r="I49" s="75" t="s">
        <v>348</v>
      </c>
      <c r="J49" s="75">
        <v>1</v>
      </c>
      <c r="K49" s="75">
        <v>2005</v>
      </c>
      <c r="M49" s="97" t="s">
        <v>879</v>
      </c>
      <c r="N49" s="75">
        <v>10040030</v>
      </c>
      <c r="R49" s="75" t="s">
        <v>586</v>
      </c>
    </row>
    <row r="50" spans="1:19" ht="26.25" customHeight="1" x14ac:dyDescent="0.15">
      <c r="A50" s="57" t="s">
        <v>8</v>
      </c>
      <c r="B50" s="75">
        <v>2005</v>
      </c>
      <c r="C50" s="75">
        <v>20</v>
      </c>
      <c r="D50" s="75">
        <v>3</v>
      </c>
      <c r="E50" s="75">
        <v>0</v>
      </c>
      <c r="F50" s="75" t="s">
        <v>348</v>
      </c>
      <c r="G50" s="75" t="s">
        <v>581</v>
      </c>
      <c r="H50" s="75" t="s">
        <v>348</v>
      </c>
      <c r="I50" s="75" t="s">
        <v>348</v>
      </c>
      <c r="J50" s="75">
        <v>1</v>
      </c>
      <c r="K50" s="75">
        <v>2006</v>
      </c>
      <c r="M50" s="97" t="s">
        <v>880</v>
      </c>
      <c r="N50" s="75"/>
      <c r="O50" s="60">
        <v>1</v>
      </c>
      <c r="R50" s="75" t="s">
        <v>587</v>
      </c>
    </row>
    <row r="51" spans="1:19" ht="26.25" customHeight="1" x14ac:dyDescent="0.15">
      <c r="A51" s="57" t="s">
        <v>8</v>
      </c>
      <c r="B51" s="75">
        <v>2006</v>
      </c>
      <c r="C51" s="75">
        <v>20</v>
      </c>
      <c r="D51" s="75">
        <v>3</v>
      </c>
      <c r="E51" s="75">
        <v>0</v>
      </c>
      <c r="F51" s="75" t="s">
        <v>348</v>
      </c>
      <c r="G51" s="75" t="s">
        <v>582</v>
      </c>
      <c r="H51" s="75" t="s">
        <v>348</v>
      </c>
      <c r="I51" s="75" t="s">
        <v>348</v>
      </c>
      <c r="J51" s="75">
        <v>1</v>
      </c>
      <c r="K51" s="75">
        <v>2007</v>
      </c>
      <c r="M51" s="97" t="s">
        <v>880</v>
      </c>
      <c r="N51" s="75"/>
      <c r="O51" s="60">
        <v>1</v>
      </c>
      <c r="R51" s="75" t="s">
        <v>588</v>
      </c>
    </row>
    <row r="52" spans="1:19" ht="26.25" customHeight="1" x14ac:dyDescent="0.15">
      <c r="A52" s="57" t="s">
        <v>8</v>
      </c>
      <c r="B52" s="75">
        <v>2007</v>
      </c>
      <c r="C52" s="75">
        <v>20</v>
      </c>
      <c r="D52" s="75">
        <v>3</v>
      </c>
      <c r="E52" s="75">
        <v>0</v>
      </c>
      <c r="F52" s="75"/>
      <c r="G52" s="76" t="s">
        <v>683</v>
      </c>
      <c r="H52" s="75"/>
      <c r="I52" s="75"/>
      <c r="J52" s="75">
        <v>1</v>
      </c>
      <c r="K52" s="75">
        <v>2008</v>
      </c>
      <c r="M52" s="97" t="s">
        <v>881</v>
      </c>
      <c r="N52" s="75">
        <v>10040031</v>
      </c>
      <c r="O52" s="60">
        <v>1</v>
      </c>
      <c r="R52" s="75" t="s">
        <v>589</v>
      </c>
    </row>
    <row r="53" spans="1:19" ht="26.25" customHeight="1" x14ac:dyDescent="0.15">
      <c r="A53" s="57" t="s">
        <v>8</v>
      </c>
      <c r="B53" s="75">
        <v>2008</v>
      </c>
      <c r="C53" s="75">
        <v>20</v>
      </c>
      <c r="D53" s="75">
        <v>2</v>
      </c>
      <c r="E53" s="75">
        <v>0</v>
      </c>
      <c r="F53" s="76" t="s">
        <v>684</v>
      </c>
      <c r="G53" s="76" t="s">
        <v>685</v>
      </c>
      <c r="H53" s="75" t="s">
        <v>348</v>
      </c>
      <c r="I53" s="75" t="s">
        <v>348</v>
      </c>
      <c r="J53" s="75">
        <v>1</v>
      </c>
      <c r="K53" s="75">
        <v>2009</v>
      </c>
      <c r="M53" s="97" t="s">
        <v>882</v>
      </c>
      <c r="N53" s="75">
        <v>10040032</v>
      </c>
      <c r="O53" s="60">
        <v>0</v>
      </c>
      <c r="R53" s="75" t="s">
        <v>590</v>
      </c>
    </row>
    <row r="54" spans="1:19" ht="26.25" customHeight="1" x14ac:dyDescent="0.15">
      <c r="A54" s="57" t="s">
        <v>8</v>
      </c>
      <c r="B54" s="75">
        <v>2009</v>
      </c>
      <c r="C54" s="75">
        <v>20</v>
      </c>
      <c r="D54" s="75">
        <v>3</v>
      </c>
      <c r="E54" s="75">
        <v>0</v>
      </c>
      <c r="F54" s="76" t="s">
        <v>686</v>
      </c>
      <c r="G54" s="76" t="s">
        <v>687</v>
      </c>
      <c r="H54" s="75" t="s">
        <v>348</v>
      </c>
      <c r="I54" s="75" t="s">
        <v>348</v>
      </c>
      <c r="J54" s="75">
        <v>1</v>
      </c>
      <c r="K54" s="75">
        <v>2010</v>
      </c>
      <c r="M54" s="97" t="s">
        <v>883</v>
      </c>
      <c r="N54" s="75">
        <v>10040033</v>
      </c>
      <c r="O54" s="60">
        <v>0</v>
      </c>
      <c r="R54" s="75" t="s">
        <v>591</v>
      </c>
    </row>
    <row r="55" spans="1:19" ht="26.25" customHeight="1" x14ac:dyDescent="0.15">
      <c r="A55" s="57" t="s">
        <v>8</v>
      </c>
      <c r="B55" s="75">
        <v>2010</v>
      </c>
      <c r="C55" s="75">
        <v>20</v>
      </c>
      <c r="D55" s="75">
        <v>20</v>
      </c>
      <c r="E55" s="75">
        <v>0</v>
      </c>
      <c r="F55" s="76" t="s">
        <v>688</v>
      </c>
      <c r="G55" s="76" t="s">
        <v>689</v>
      </c>
      <c r="H55" s="75" t="s">
        <v>348</v>
      </c>
      <c r="I55" s="75" t="s">
        <v>348</v>
      </c>
      <c r="J55" s="78">
        <v>1</v>
      </c>
      <c r="K55" s="75">
        <v>2011</v>
      </c>
      <c r="M55" s="98"/>
      <c r="N55" s="75"/>
      <c r="O55" s="75"/>
      <c r="R55" s="75" t="s">
        <v>554</v>
      </c>
    </row>
    <row r="56" spans="1:19" ht="26.25" customHeight="1" x14ac:dyDescent="0.15">
      <c r="A56" s="57" t="s">
        <v>8</v>
      </c>
      <c r="B56" s="75">
        <v>2011</v>
      </c>
      <c r="C56" s="75">
        <v>20</v>
      </c>
      <c r="D56" s="75">
        <v>2</v>
      </c>
      <c r="E56" s="75">
        <v>0</v>
      </c>
      <c r="F56" s="76" t="s">
        <v>690</v>
      </c>
      <c r="G56" s="82" t="s">
        <v>691</v>
      </c>
      <c r="H56" s="75" t="s">
        <v>348</v>
      </c>
      <c r="I56" s="75" t="s">
        <v>348</v>
      </c>
      <c r="J56" s="78">
        <v>1</v>
      </c>
      <c r="K56" s="75">
        <v>2012</v>
      </c>
      <c r="M56" s="98" t="s">
        <v>558</v>
      </c>
      <c r="N56" s="75">
        <v>10040034</v>
      </c>
      <c r="O56" s="75"/>
      <c r="R56" s="75" t="s">
        <v>559</v>
      </c>
    </row>
    <row r="57" spans="1:19" ht="26.25" customHeight="1" x14ac:dyDescent="0.15">
      <c r="A57" s="57" t="s">
        <v>8</v>
      </c>
      <c r="B57" s="75">
        <v>2012</v>
      </c>
      <c r="C57" s="75">
        <v>20</v>
      </c>
      <c r="D57" s="75">
        <v>21</v>
      </c>
      <c r="E57" s="75">
        <v>0</v>
      </c>
      <c r="F57" s="75" t="s">
        <v>390</v>
      </c>
      <c r="G57" s="76" t="s">
        <v>692</v>
      </c>
      <c r="H57" s="75" t="s">
        <v>348</v>
      </c>
      <c r="I57" s="75" t="s">
        <v>348</v>
      </c>
      <c r="J57" s="78">
        <v>1</v>
      </c>
      <c r="K57" s="75">
        <v>2013</v>
      </c>
      <c r="M57" s="98"/>
      <c r="N57" s="75"/>
      <c r="O57" s="75"/>
      <c r="R57" s="75" t="s">
        <v>554</v>
      </c>
    </row>
    <row r="58" spans="1:19" ht="26.25" customHeight="1" x14ac:dyDescent="0.15">
      <c r="A58" s="57" t="s">
        <v>8</v>
      </c>
      <c r="B58" s="75">
        <v>2013</v>
      </c>
      <c r="C58" s="75">
        <v>20</v>
      </c>
      <c r="D58" s="75">
        <v>3</v>
      </c>
      <c r="E58" s="75">
        <v>0</v>
      </c>
      <c r="F58" s="76" t="s">
        <v>693</v>
      </c>
      <c r="G58" s="76" t="s">
        <v>694</v>
      </c>
      <c r="H58" s="75" t="s">
        <v>348</v>
      </c>
      <c r="I58" s="75" t="s">
        <v>348</v>
      </c>
      <c r="J58" s="75">
        <v>0</v>
      </c>
      <c r="K58" s="75">
        <v>2600</v>
      </c>
      <c r="L58" s="75"/>
      <c r="N58" s="75"/>
      <c r="O58" s="75">
        <v>1</v>
      </c>
      <c r="R58" s="76" t="s">
        <v>663</v>
      </c>
    </row>
    <row r="63" spans="1:19" ht="26.25" customHeight="1" x14ac:dyDescent="0.15">
      <c r="A63" s="57" t="s">
        <v>8</v>
      </c>
      <c r="B63" s="75">
        <v>1301</v>
      </c>
      <c r="C63" s="75">
        <v>16</v>
      </c>
      <c r="D63" s="75">
        <v>3</v>
      </c>
      <c r="E63" s="75">
        <v>0</v>
      </c>
      <c r="F63" s="76" t="s">
        <v>695</v>
      </c>
      <c r="G63" s="76" t="s">
        <v>696</v>
      </c>
      <c r="H63" s="76" t="s">
        <v>697</v>
      </c>
      <c r="I63" s="76" t="s">
        <v>698</v>
      </c>
      <c r="J63" s="75">
        <v>1</v>
      </c>
      <c r="K63" s="75">
        <v>1303</v>
      </c>
      <c r="M63" s="97" t="s">
        <v>884</v>
      </c>
      <c r="N63" s="81">
        <v>10040017</v>
      </c>
      <c r="O63" s="75">
        <v>1</v>
      </c>
      <c r="P63" s="75">
        <v>8</v>
      </c>
      <c r="R63" s="75" t="s">
        <v>384</v>
      </c>
      <c r="S63" s="56"/>
    </row>
    <row r="64" spans="1:19" ht="26.25" customHeight="1" x14ac:dyDescent="0.15">
      <c r="A64" s="57" t="s">
        <v>8</v>
      </c>
      <c r="B64" s="75">
        <v>1303</v>
      </c>
      <c r="C64" s="75">
        <v>16</v>
      </c>
      <c r="D64" s="75">
        <v>3</v>
      </c>
      <c r="E64" s="75">
        <v>0</v>
      </c>
      <c r="F64" s="76" t="s">
        <v>699</v>
      </c>
      <c r="G64" s="76" t="s">
        <v>700</v>
      </c>
      <c r="H64" s="75"/>
      <c r="I64" s="75"/>
      <c r="J64" s="75">
        <v>1</v>
      </c>
      <c r="K64" s="75">
        <v>1304</v>
      </c>
      <c r="L64" s="75">
        <v>1301</v>
      </c>
      <c r="M64" s="97" t="s">
        <v>885</v>
      </c>
      <c r="N64" s="75">
        <v>10040018</v>
      </c>
      <c r="O64" s="75">
        <v>1</v>
      </c>
      <c r="P64" s="75"/>
      <c r="R64" s="75"/>
      <c r="S64" s="56"/>
    </row>
    <row r="65" spans="1:19" ht="26.25" customHeight="1" x14ac:dyDescent="0.15">
      <c r="A65" s="57" t="s">
        <v>8</v>
      </c>
      <c r="B65" s="75">
        <v>1304</v>
      </c>
      <c r="C65" s="75">
        <v>16</v>
      </c>
      <c r="D65" s="75">
        <v>3</v>
      </c>
      <c r="E65" s="75">
        <v>0</v>
      </c>
      <c r="F65" s="75" t="s">
        <v>348</v>
      </c>
      <c r="G65" s="76" t="s">
        <v>839</v>
      </c>
      <c r="H65" s="75" t="s">
        <v>348</v>
      </c>
      <c r="I65" s="75" t="s">
        <v>570</v>
      </c>
      <c r="J65" s="75">
        <v>1</v>
      </c>
      <c r="K65" s="75">
        <v>13041</v>
      </c>
      <c r="L65" s="75">
        <v>1303</v>
      </c>
      <c r="M65" s="97" t="s">
        <v>886</v>
      </c>
      <c r="N65" s="75">
        <v>10040019</v>
      </c>
      <c r="O65" s="75">
        <v>1</v>
      </c>
      <c r="R65" s="75" t="s">
        <v>565</v>
      </c>
    </row>
    <row r="66" spans="1:19" ht="26.25" customHeight="1" x14ac:dyDescent="0.15">
      <c r="A66" s="57" t="s">
        <v>8</v>
      </c>
      <c r="B66" s="75">
        <v>13041</v>
      </c>
      <c r="C66" s="75">
        <v>16</v>
      </c>
      <c r="D66" s="75">
        <v>2</v>
      </c>
      <c r="E66" s="75">
        <v>0</v>
      </c>
      <c r="F66" s="75" t="s">
        <v>348</v>
      </c>
      <c r="G66" s="82" t="s">
        <v>701</v>
      </c>
      <c r="H66" s="75" t="s">
        <v>348</v>
      </c>
      <c r="I66" s="75"/>
      <c r="J66" s="75"/>
      <c r="K66" s="75">
        <v>1305</v>
      </c>
      <c r="L66" s="75">
        <v>1304</v>
      </c>
      <c r="M66" s="97" t="s">
        <v>900</v>
      </c>
      <c r="N66" s="75">
        <v>10040020</v>
      </c>
      <c r="O66" s="75">
        <v>0</v>
      </c>
      <c r="R66" s="75" t="s">
        <v>565</v>
      </c>
    </row>
    <row r="67" spans="1:19" ht="26.25" customHeight="1" x14ac:dyDescent="0.15">
      <c r="A67" s="57" t="s">
        <v>8</v>
      </c>
      <c r="B67" s="75">
        <v>1305</v>
      </c>
      <c r="C67" s="75">
        <v>16</v>
      </c>
      <c r="D67" s="75">
        <v>3</v>
      </c>
      <c r="E67" s="75">
        <v>0</v>
      </c>
      <c r="F67" s="76" t="s">
        <v>702</v>
      </c>
      <c r="G67" s="82" t="s">
        <v>703</v>
      </c>
      <c r="H67" s="75"/>
      <c r="I67" s="76"/>
      <c r="J67" s="75">
        <v>1</v>
      </c>
      <c r="K67" s="75">
        <v>1307</v>
      </c>
      <c r="L67" s="75">
        <v>1303</v>
      </c>
      <c r="M67" s="97" t="s">
        <v>901</v>
      </c>
      <c r="N67" s="75">
        <v>10040021</v>
      </c>
      <c r="O67" s="75">
        <v>1</v>
      </c>
      <c r="P67" s="75"/>
      <c r="R67" s="75" t="s">
        <v>385</v>
      </c>
      <c r="S67" s="56"/>
    </row>
    <row r="68" spans="1:19" ht="26.25" customHeight="1" x14ac:dyDescent="0.15">
      <c r="A68" s="57" t="s">
        <v>8</v>
      </c>
      <c r="B68" s="75">
        <v>1307</v>
      </c>
      <c r="C68" s="75">
        <v>16</v>
      </c>
      <c r="D68" s="75">
        <v>3</v>
      </c>
      <c r="E68" s="75">
        <v>0</v>
      </c>
      <c r="F68" s="75"/>
      <c r="G68" s="76" t="s">
        <v>704</v>
      </c>
      <c r="H68" s="75"/>
      <c r="I68" s="75"/>
      <c r="J68" s="75">
        <v>1</v>
      </c>
      <c r="K68" s="75">
        <v>1308</v>
      </c>
      <c r="L68" s="75">
        <v>1305</v>
      </c>
      <c r="M68" s="97" t="s">
        <v>902</v>
      </c>
      <c r="N68" s="75">
        <v>10040022</v>
      </c>
      <c r="O68" s="75">
        <v>1</v>
      </c>
      <c r="P68" s="75"/>
      <c r="R68" s="75" t="s">
        <v>334</v>
      </c>
      <c r="S68" s="56"/>
    </row>
    <row r="69" spans="1:19" ht="26.25" customHeight="1" x14ac:dyDescent="0.15">
      <c r="A69" s="57" t="s">
        <v>8</v>
      </c>
      <c r="B69" s="75">
        <v>1308</v>
      </c>
      <c r="C69" s="75">
        <v>16</v>
      </c>
      <c r="D69" s="75">
        <v>3</v>
      </c>
      <c r="E69" s="75">
        <v>2</v>
      </c>
      <c r="F69" s="76" t="s">
        <v>705</v>
      </c>
      <c r="G69" s="75"/>
      <c r="H69" s="75"/>
      <c r="I69" s="75"/>
      <c r="J69" s="75">
        <v>1</v>
      </c>
      <c r="K69" s="75">
        <v>1317</v>
      </c>
      <c r="L69" s="75">
        <v>1307</v>
      </c>
      <c r="M69" s="97" t="s">
        <v>887</v>
      </c>
      <c r="N69" s="75">
        <v>10040023</v>
      </c>
      <c r="O69" s="75">
        <v>1</v>
      </c>
      <c r="P69" s="75"/>
      <c r="R69" s="75" t="s">
        <v>386</v>
      </c>
      <c r="S69" s="56"/>
    </row>
    <row r="70" spans="1:19" ht="26.25" customHeight="1" x14ac:dyDescent="0.15">
      <c r="S70" s="56"/>
    </row>
    <row r="71" spans="1:19" ht="26.25" customHeight="1" x14ac:dyDescent="0.15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96"/>
      <c r="N71" s="58"/>
      <c r="O71" s="58"/>
      <c r="P71" s="58"/>
      <c r="Q71" s="58"/>
      <c r="R71" s="58"/>
      <c r="S71" s="56"/>
    </row>
    <row r="72" spans="1:19" ht="26.25" customHeight="1" x14ac:dyDescent="0.15">
      <c r="A72" s="57" t="s">
        <v>706</v>
      </c>
      <c r="B72" s="75">
        <v>1317</v>
      </c>
      <c r="C72" s="75">
        <v>16</v>
      </c>
      <c r="D72" s="75">
        <v>4</v>
      </c>
      <c r="E72" s="75">
        <v>0</v>
      </c>
      <c r="F72" s="75">
        <v>11</v>
      </c>
      <c r="G72" s="76" t="s">
        <v>707</v>
      </c>
      <c r="H72" s="75"/>
      <c r="I72" s="75"/>
      <c r="J72" s="75"/>
      <c r="K72" s="75">
        <v>1318</v>
      </c>
      <c r="M72" s="98"/>
      <c r="N72" s="75"/>
      <c r="O72" s="75"/>
      <c r="P72" s="75"/>
      <c r="R72" s="75" t="s">
        <v>618</v>
      </c>
      <c r="S72" s="56"/>
    </row>
    <row r="73" spans="1:19" ht="26.25" customHeight="1" x14ac:dyDescent="0.15">
      <c r="A73" s="57" t="s">
        <v>708</v>
      </c>
      <c r="B73" s="75">
        <v>1318</v>
      </c>
      <c r="C73" s="75">
        <v>16</v>
      </c>
      <c r="D73" s="75">
        <v>21</v>
      </c>
      <c r="E73" s="75">
        <v>0</v>
      </c>
      <c r="F73" s="75">
        <v>1.5</v>
      </c>
      <c r="G73" s="75"/>
      <c r="H73" s="75"/>
      <c r="I73" s="75"/>
      <c r="J73" s="75">
        <v>1</v>
      </c>
      <c r="K73" s="75">
        <v>1319</v>
      </c>
      <c r="M73" s="98"/>
      <c r="N73" s="75"/>
      <c r="O73" s="75"/>
      <c r="P73" s="75"/>
      <c r="R73" s="75" t="s">
        <v>619</v>
      </c>
      <c r="S73" s="56"/>
    </row>
    <row r="74" spans="1:19" ht="26.25" customHeight="1" x14ac:dyDescent="0.15">
      <c r="A74" s="57" t="s">
        <v>709</v>
      </c>
      <c r="B74" s="75">
        <v>1319</v>
      </c>
      <c r="C74" s="75">
        <v>16</v>
      </c>
      <c r="D74" s="75">
        <v>3</v>
      </c>
      <c r="E74" s="75">
        <v>0</v>
      </c>
      <c r="F74" s="75"/>
      <c r="G74" s="75"/>
      <c r="H74" s="75"/>
      <c r="I74" s="75"/>
      <c r="J74" s="75">
        <v>1</v>
      </c>
      <c r="K74" s="75">
        <v>1320</v>
      </c>
      <c r="M74" s="98" t="s">
        <v>888</v>
      </c>
      <c r="N74" s="75">
        <v>10019001</v>
      </c>
      <c r="O74" s="75">
        <v>1</v>
      </c>
      <c r="P74" s="75"/>
      <c r="R74" s="75" t="s">
        <v>620</v>
      </c>
      <c r="S74" s="56"/>
    </row>
    <row r="75" spans="1:19" ht="26.25" customHeight="1" x14ac:dyDescent="0.15">
      <c r="A75" s="57" t="s">
        <v>708</v>
      </c>
      <c r="B75" s="75">
        <v>1320</v>
      </c>
      <c r="C75" s="75">
        <v>16</v>
      </c>
      <c r="D75" s="75">
        <v>4</v>
      </c>
      <c r="E75" s="75">
        <v>0</v>
      </c>
      <c r="F75" s="75" t="s">
        <v>621</v>
      </c>
      <c r="G75" s="76" t="s">
        <v>844</v>
      </c>
      <c r="H75" s="75"/>
      <c r="I75" s="75"/>
      <c r="J75" s="75"/>
      <c r="K75" s="75">
        <v>1309</v>
      </c>
      <c r="M75" s="98"/>
      <c r="N75" s="75"/>
      <c r="O75" s="75"/>
      <c r="P75" s="75"/>
      <c r="R75" s="75" t="s">
        <v>622</v>
      </c>
      <c r="S75" s="56"/>
    </row>
    <row r="76" spans="1:19" ht="26.25" customHeight="1" x14ac:dyDescent="0.15">
      <c r="A76" s="57" t="s">
        <v>709</v>
      </c>
      <c r="B76" s="75">
        <v>1309</v>
      </c>
      <c r="C76" s="75">
        <v>16</v>
      </c>
      <c r="D76" s="75">
        <v>20</v>
      </c>
      <c r="E76" s="75">
        <v>0</v>
      </c>
      <c r="F76" s="76" t="s">
        <v>862</v>
      </c>
      <c r="G76" s="76" t="s">
        <v>846</v>
      </c>
      <c r="H76" s="75"/>
      <c r="I76" s="76" t="s">
        <v>849</v>
      </c>
      <c r="J76" s="75">
        <v>1</v>
      </c>
      <c r="K76" s="75">
        <v>1322</v>
      </c>
      <c r="L76" s="75"/>
      <c r="M76" s="98"/>
      <c r="N76" s="75"/>
      <c r="O76" s="75"/>
      <c r="P76" s="75"/>
      <c r="R76" s="76" t="s">
        <v>845</v>
      </c>
      <c r="S76" s="56"/>
    </row>
    <row r="77" spans="1:19" ht="25.5" customHeight="1" x14ac:dyDescent="0.15">
      <c r="B77" s="86"/>
      <c r="C77" s="86"/>
      <c r="D77" s="86"/>
      <c r="E77" s="86"/>
      <c r="F77" s="87"/>
      <c r="G77" s="86"/>
      <c r="H77" s="86"/>
      <c r="I77" s="86"/>
      <c r="J77" s="86"/>
      <c r="K77" s="86"/>
      <c r="L77" s="86"/>
      <c r="M77" s="88"/>
      <c r="N77" s="86"/>
      <c r="O77" s="86"/>
      <c r="P77" s="86"/>
      <c r="Q77" s="89"/>
      <c r="R77" s="89"/>
    </row>
    <row r="79" spans="1:19" ht="26.25" customHeight="1" x14ac:dyDescent="0.15">
      <c r="A79" s="57" t="s">
        <v>8</v>
      </c>
      <c r="B79" s="75">
        <v>1322</v>
      </c>
      <c r="C79" s="75">
        <v>19</v>
      </c>
      <c r="D79" s="75">
        <v>3</v>
      </c>
      <c r="E79" s="75">
        <v>2</v>
      </c>
      <c r="F79" s="75"/>
      <c r="G79" s="76" t="s">
        <v>848</v>
      </c>
      <c r="H79" s="75"/>
      <c r="I79" s="76" t="s">
        <v>710</v>
      </c>
      <c r="J79" s="75">
        <v>0</v>
      </c>
      <c r="K79" s="75">
        <v>1323</v>
      </c>
      <c r="L79" s="75">
        <v>1321</v>
      </c>
      <c r="M79" s="98"/>
      <c r="N79" s="75">
        <v>10040024</v>
      </c>
      <c r="O79" s="75">
        <v>1</v>
      </c>
      <c r="P79" s="75"/>
      <c r="R79" s="75" t="s">
        <v>380</v>
      </c>
    </row>
    <row r="80" spans="1:19" ht="26.25" customHeight="1" x14ac:dyDescent="0.15">
      <c r="A80" s="57" t="s">
        <v>8</v>
      </c>
      <c r="B80" s="75">
        <v>1323</v>
      </c>
      <c r="C80" s="75">
        <v>19</v>
      </c>
      <c r="D80" s="75">
        <v>3</v>
      </c>
      <c r="E80" s="78">
        <v>0</v>
      </c>
      <c r="F80" s="75"/>
      <c r="G80" s="75" t="s">
        <v>381</v>
      </c>
      <c r="H80" s="75"/>
      <c r="I80" s="75"/>
      <c r="J80" s="75">
        <v>0</v>
      </c>
      <c r="K80" s="75">
        <v>2401</v>
      </c>
      <c r="L80" s="75">
        <v>1322</v>
      </c>
      <c r="M80" s="97" t="s">
        <v>903</v>
      </c>
      <c r="N80" s="75">
        <v>10040025</v>
      </c>
      <c r="O80" s="75">
        <v>1</v>
      </c>
      <c r="P80" s="75"/>
      <c r="R80" s="75" t="s">
        <v>383</v>
      </c>
    </row>
    <row r="81" spans="1:18" ht="25.5" customHeight="1" x14ac:dyDescent="0.15">
      <c r="B81" s="86"/>
      <c r="C81" s="86"/>
      <c r="D81" s="86"/>
      <c r="E81" s="86"/>
      <c r="F81" s="87"/>
      <c r="G81" s="86"/>
      <c r="H81" s="86"/>
      <c r="I81" s="86"/>
      <c r="J81" s="86"/>
      <c r="K81" s="86"/>
      <c r="L81" s="86"/>
      <c r="M81" s="88"/>
      <c r="N81" s="86"/>
      <c r="O81" s="86"/>
      <c r="P81" s="86"/>
      <c r="Q81" s="89"/>
      <c r="R81" s="89"/>
    </row>
    <row r="82" spans="1:18" ht="25.5" customHeight="1" x14ac:dyDescent="0.15">
      <c r="B82" s="86"/>
      <c r="C82" s="86"/>
      <c r="D82" s="86"/>
      <c r="E82" s="86"/>
      <c r="F82" s="87"/>
      <c r="G82" s="86"/>
      <c r="H82" s="86"/>
      <c r="I82" s="86"/>
      <c r="J82" s="86"/>
      <c r="K82" s="86"/>
      <c r="L82" s="86"/>
      <c r="M82" s="88"/>
      <c r="N82" s="86"/>
      <c r="O82" s="86"/>
      <c r="P82" s="86"/>
      <c r="Q82" s="89"/>
      <c r="R82" s="89"/>
    </row>
    <row r="83" spans="1:18" ht="26.25" customHeight="1" x14ac:dyDescent="0.15">
      <c r="A83" s="57" t="s">
        <v>8</v>
      </c>
      <c r="B83" s="76">
        <v>2401</v>
      </c>
      <c r="C83" s="91">
        <v>24</v>
      </c>
      <c r="D83" s="91">
        <v>4</v>
      </c>
      <c r="E83" s="91">
        <v>0</v>
      </c>
      <c r="F83" s="92" t="s">
        <v>850</v>
      </c>
      <c r="G83" s="91" t="s">
        <v>842</v>
      </c>
      <c r="H83" s="95" t="s">
        <v>841</v>
      </c>
      <c r="I83" s="91" t="s">
        <v>837</v>
      </c>
      <c r="J83" s="91"/>
      <c r="K83" s="91">
        <v>2402</v>
      </c>
      <c r="L83" s="91"/>
      <c r="M83" s="93"/>
      <c r="N83" s="91"/>
      <c r="O83" s="91"/>
      <c r="P83" s="91"/>
      <c r="Q83" s="94"/>
      <c r="R83" s="94"/>
    </row>
    <row r="84" spans="1:18" ht="26.25" customHeight="1" x14ac:dyDescent="0.15">
      <c r="A84" s="57" t="s">
        <v>8</v>
      </c>
      <c r="B84" s="91">
        <v>2402</v>
      </c>
      <c r="C84" s="91">
        <v>24</v>
      </c>
      <c r="D84" s="91">
        <v>3</v>
      </c>
      <c r="E84" s="91">
        <v>2</v>
      </c>
      <c r="F84" s="92"/>
      <c r="G84" s="91" t="s">
        <v>847</v>
      </c>
      <c r="H84" s="95"/>
      <c r="I84" s="91"/>
      <c r="J84" s="91">
        <v>1</v>
      </c>
      <c r="K84" s="91">
        <v>2403</v>
      </c>
      <c r="L84" s="91"/>
      <c r="M84" s="93" t="s">
        <v>889</v>
      </c>
      <c r="N84" s="91">
        <v>10040056</v>
      </c>
      <c r="O84" s="91">
        <v>1</v>
      </c>
      <c r="P84" s="91"/>
      <c r="Q84" s="94"/>
      <c r="R84" s="94" t="s">
        <v>838</v>
      </c>
    </row>
    <row r="85" spans="1:18" ht="26.25" customHeight="1" x14ac:dyDescent="0.15">
      <c r="A85" s="57" t="s">
        <v>8</v>
      </c>
      <c r="B85" s="91">
        <v>2403</v>
      </c>
      <c r="C85" s="91">
        <v>24</v>
      </c>
      <c r="D85" s="91">
        <v>3</v>
      </c>
      <c r="E85" s="91">
        <v>0</v>
      </c>
      <c r="F85" s="92" t="s">
        <v>840</v>
      </c>
      <c r="G85" s="91" t="s">
        <v>843</v>
      </c>
      <c r="H85" s="91"/>
      <c r="I85" s="91"/>
      <c r="J85" s="91">
        <v>1</v>
      </c>
      <c r="K85" s="91"/>
      <c r="L85" s="91"/>
      <c r="M85" s="93"/>
      <c r="N85" s="91"/>
      <c r="O85" s="91">
        <v>1</v>
      </c>
      <c r="P85" s="91"/>
      <c r="Q85" s="94"/>
      <c r="R85" s="94"/>
    </row>
    <row r="86" spans="1:18" ht="26.25" customHeight="1" x14ac:dyDescent="0.15">
      <c r="A86" s="90"/>
      <c r="B86" s="91"/>
      <c r="C86" s="91"/>
      <c r="D86" s="91"/>
      <c r="E86" s="91"/>
      <c r="F86" s="92"/>
      <c r="G86" s="91"/>
      <c r="H86" s="91"/>
      <c r="I86" s="91"/>
      <c r="J86" s="91"/>
      <c r="K86" s="91"/>
      <c r="L86" s="91"/>
      <c r="M86" s="93"/>
      <c r="N86" s="91"/>
      <c r="O86" s="91"/>
      <c r="P86" s="91"/>
      <c r="Q86" s="94"/>
      <c r="R86" s="94"/>
    </row>
    <row r="87" spans="1:18" ht="26.25" customHeight="1" x14ac:dyDescent="0.15">
      <c r="B87" s="86"/>
      <c r="C87" s="86"/>
      <c r="D87" s="86"/>
      <c r="E87" s="86"/>
      <c r="F87" s="87"/>
      <c r="G87" s="86"/>
      <c r="H87" s="86"/>
      <c r="I87" s="86"/>
      <c r="J87" s="86"/>
      <c r="K87" s="86"/>
      <c r="L87" s="86"/>
      <c r="M87" s="88"/>
      <c r="N87" s="86"/>
      <c r="O87" s="86"/>
      <c r="P87" s="86"/>
      <c r="Q87" s="89"/>
      <c r="R87" s="89"/>
    </row>
    <row r="88" spans="1:18" ht="26.25" customHeight="1" x14ac:dyDescent="0.15">
      <c r="A88" s="61" t="s">
        <v>8</v>
      </c>
      <c r="B88" s="75">
        <v>1001</v>
      </c>
      <c r="C88" s="75">
        <v>11</v>
      </c>
      <c r="D88" s="75">
        <v>3</v>
      </c>
      <c r="E88" s="75">
        <v>0</v>
      </c>
      <c r="F88" s="76" t="s">
        <v>711</v>
      </c>
      <c r="G88" s="75" t="s">
        <v>349</v>
      </c>
      <c r="H88" s="75" t="s">
        <v>666</v>
      </c>
      <c r="I88" s="76" t="s">
        <v>712</v>
      </c>
      <c r="J88" s="75">
        <v>1</v>
      </c>
      <c r="K88" s="75">
        <v>1002</v>
      </c>
      <c r="L88" s="75">
        <v>8</v>
      </c>
      <c r="M88" s="97" t="s">
        <v>890</v>
      </c>
      <c r="N88" s="81">
        <v>10040007</v>
      </c>
      <c r="O88" s="75">
        <v>1</v>
      </c>
      <c r="P88" s="75">
        <v>6</v>
      </c>
      <c r="R88" s="75" t="s">
        <v>200</v>
      </c>
    </row>
    <row r="89" spans="1:18" ht="26.25" customHeight="1" x14ac:dyDescent="0.15">
      <c r="A89" s="61" t="s">
        <v>8</v>
      </c>
      <c r="B89" s="75">
        <v>1002</v>
      </c>
      <c r="C89" s="75">
        <v>11</v>
      </c>
      <c r="D89" s="75">
        <v>3</v>
      </c>
      <c r="E89" s="75">
        <v>0</v>
      </c>
      <c r="F89" s="76" t="s">
        <v>713</v>
      </c>
      <c r="G89" s="75" t="s">
        <v>350</v>
      </c>
      <c r="H89" s="75" t="s">
        <v>348</v>
      </c>
      <c r="I89" s="75" t="s">
        <v>348</v>
      </c>
      <c r="J89" s="75">
        <v>1</v>
      </c>
      <c r="K89" s="75">
        <v>1003</v>
      </c>
      <c r="L89" s="75">
        <v>1001</v>
      </c>
      <c r="M89" s="98" t="s">
        <v>348</v>
      </c>
      <c r="N89" s="75"/>
      <c r="O89" s="75">
        <v>1</v>
      </c>
      <c r="P89" s="75"/>
      <c r="R89" s="75" t="s">
        <v>714</v>
      </c>
    </row>
    <row r="90" spans="1:18" ht="26.25" customHeight="1" x14ac:dyDescent="0.15">
      <c r="A90" s="61" t="s">
        <v>8</v>
      </c>
      <c r="B90" s="75">
        <v>1003</v>
      </c>
      <c r="C90" s="75">
        <v>11</v>
      </c>
      <c r="D90" s="75">
        <v>20</v>
      </c>
      <c r="E90" s="75">
        <v>1</v>
      </c>
      <c r="F90" s="75" t="s">
        <v>351</v>
      </c>
      <c r="G90" s="75" t="s">
        <v>352</v>
      </c>
      <c r="H90" s="75" t="s">
        <v>348</v>
      </c>
      <c r="I90" s="75" t="s">
        <v>348</v>
      </c>
      <c r="J90" s="75">
        <v>0</v>
      </c>
      <c r="K90" s="75">
        <v>1004</v>
      </c>
      <c r="L90" s="75">
        <v>1002</v>
      </c>
      <c r="M90" s="98"/>
      <c r="N90" s="75"/>
      <c r="O90" s="75"/>
      <c r="P90" s="75"/>
      <c r="R90" s="75" t="s">
        <v>353</v>
      </c>
    </row>
    <row r="91" spans="1:18" ht="27" customHeight="1" x14ac:dyDescent="0.15">
      <c r="A91" s="61" t="s">
        <v>8</v>
      </c>
      <c r="B91" s="75">
        <v>1004</v>
      </c>
      <c r="C91" s="75">
        <v>11</v>
      </c>
      <c r="D91" s="75">
        <v>3</v>
      </c>
      <c r="E91" s="75">
        <v>0</v>
      </c>
      <c r="F91" s="76" t="s">
        <v>715</v>
      </c>
      <c r="G91" s="75" t="s">
        <v>354</v>
      </c>
      <c r="H91" s="75"/>
      <c r="I91" s="76" t="s">
        <v>716</v>
      </c>
      <c r="J91" s="75">
        <v>1</v>
      </c>
      <c r="K91" s="75">
        <v>1005</v>
      </c>
      <c r="L91" s="75">
        <v>1003</v>
      </c>
      <c r="M91" s="97" t="s">
        <v>904</v>
      </c>
      <c r="N91" s="81">
        <v>10040008</v>
      </c>
      <c r="O91" s="75">
        <v>1</v>
      </c>
      <c r="P91" s="75">
        <v>6</v>
      </c>
      <c r="Q91" s="48"/>
      <c r="R91" s="75" t="s">
        <v>355</v>
      </c>
    </row>
    <row r="92" spans="1:18" ht="26.25" customHeight="1" x14ac:dyDescent="0.15">
      <c r="A92" s="61" t="s">
        <v>8</v>
      </c>
      <c r="B92" s="75">
        <v>1005</v>
      </c>
      <c r="C92" s="75">
        <v>11</v>
      </c>
      <c r="D92" s="75">
        <v>3</v>
      </c>
      <c r="E92" s="75">
        <v>0</v>
      </c>
      <c r="F92" s="75" t="s">
        <v>348</v>
      </c>
      <c r="G92" s="75" t="s">
        <v>717</v>
      </c>
      <c r="H92" s="75" t="s">
        <v>348</v>
      </c>
      <c r="I92" s="56"/>
      <c r="J92" s="75">
        <v>1</v>
      </c>
      <c r="K92" s="75">
        <v>1006</v>
      </c>
      <c r="L92" s="75">
        <v>1004</v>
      </c>
      <c r="M92" s="98" t="s">
        <v>348</v>
      </c>
      <c r="N92" s="75"/>
      <c r="O92" s="75">
        <v>1</v>
      </c>
      <c r="P92" s="75"/>
      <c r="Q92" s="48"/>
      <c r="R92" s="75" t="s">
        <v>357</v>
      </c>
    </row>
    <row r="93" spans="1:18" ht="26.25" customHeight="1" x14ac:dyDescent="0.15">
      <c r="A93" s="61" t="s">
        <v>8</v>
      </c>
      <c r="B93" s="75">
        <v>1006</v>
      </c>
      <c r="C93" s="75">
        <v>11</v>
      </c>
      <c r="D93" s="75">
        <v>3</v>
      </c>
      <c r="E93" s="75">
        <v>0</v>
      </c>
      <c r="F93" s="76"/>
      <c r="G93" s="76" t="s">
        <v>718</v>
      </c>
      <c r="H93" s="75" t="s">
        <v>348</v>
      </c>
      <c r="I93" s="56"/>
      <c r="J93" s="75">
        <v>1</v>
      </c>
      <c r="K93" s="75">
        <v>1007</v>
      </c>
      <c r="L93" s="75">
        <v>1005</v>
      </c>
      <c r="M93" s="98" t="s">
        <v>356</v>
      </c>
      <c r="N93" s="75"/>
      <c r="O93" s="75">
        <v>1</v>
      </c>
      <c r="P93" s="75"/>
      <c r="Q93" s="48"/>
      <c r="R93" s="75" t="s">
        <v>719</v>
      </c>
    </row>
    <row r="94" spans="1:18" ht="26.25" customHeight="1" x14ac:dyDescent="0.15">
      <c r="A94" s="61" t="s">
        <v>8</v>
      </c>
      <c r="B94" s="75">
        <v>1007</v>
      </c>
      <c r="C94" s="75">
        <v>11</v>
      </c>
      <c r="D94" s="75">
        <v>3</v>
      </c>
      <c r="E94" s="75">
        <v>0</v>
      </c>
      <c r="F94" s="75" t="s">
        <v>348</v>
      </c>
      <c r="G94" s="75" t="s">
        <v>358</v>
      </c>
      <c r="H94" s="75" t="s">
        <v>348</v>
      </c>
      <c r="J94" s="75">
        <v>1</v>
      </c>
      <c r="K94" s="75">
        <v>1008</v>
      </c>
      <c r="L94" s="75">
        <v>1006</v>
      </c>
      <c r="M94" s="98" t="s">
        <v>348</v>
      </c>
      <c r="N94" s="75"/>
      <c r="O94" s="75">
        <v>1</v>
      </c>
      <c r="P94" s="75"/>
      <c r="Q94" s="48"/>
      <c r="R94" s="76" t="s">
        <v>720</v>
      </c>
    </row>
    <row r="95" spans="1:18" ht="26.25" customHeight="1" x14ac:dyDescent="0.15">
      <c r="A95" s="61" t="s">
        <v>8</v>
      </c>
      <c r="B95" s="75">
        <v>1008</v>
      </c>
      <c r="C95" s="75">
        <v>11</v>
      </c>
      <c r="D95" s="75">
        <v>20</v>
      </c>
      <c r="E95" s="75">
        <v>2</v>
      </c>
      <c r="F95" s="76" t="s">
        <v>721</v>
      </c>
      <c r="G95" s="75" t="s">
        <v>360</v>
      </c>
      <c r="H95" s="75" t="s">
        <v>348</v>
      </c>
      <c r="J95" s="75"/>
      <c r="K95" s="75">
        <v>10081</v>
      </c>
      <c r="L95" s="75">
        <v>1007</v>
      </c>
      <c r="M95" s="98"/>
      <c r="N95" s="75"/>
      <c r="O95" s="75"/>
      <c r="Q95" s="48"/>
      <c r="R95" s="75" t="s">
        <v>353</v>
      </c>
    </row>
    <row r="96" spans="1:18" ht="26.25" customHeight="1" x14ac:dyDescent="0.15">
      <c r="A96" s="61" t="s">
        <v>8</v>
      </c>
      <c r="B96" s="75">
        <v>10081</v>
      </c>
      <c r="C96" s="75">
        <v>11</v>
      </c>
      <c r="D96" s="75">
        <v>2</v>
      </c>
      <c r="E96" s="75">
        <v>0</v>
      </c>
      <c r="F96" s="75"/>
      <c r="G96" s="75" t="s">
        <v>562</v>
      </c>
      <c r="H96" s="75"/>
      <c r="I96" s="75"/>
      <c r="J96" s="78">
        <v>1</v>
      </c>
      <c r="K96" s="75">
        <v>1009</v>
      </c>
      <c r="L96" s="75">
        <v>1008</v>
      </c>
      <c r="M96" s="97" t="s">
        <v>905</v>
      </c>
      <c r="N96" s="75">
        <v>10040009</v>
      </c>
      <c r="O96" s="75"/>
      <c r="Q96" s="48"/>
      <c r="R96" s="75" t="s">
        <v>362</v>
      </c>
    </row>
    <row r="97" spans="1:18" ht="26.25" customHeight="1" x14ac:dyDescent="0.15">
      <c r="A97" s="61" t="s">
        <v>8</v>
      </c>
      <c r="B97" s="75">
        <v>1009</v>
      </c>
      <c r="C97" s="75">
        <v>11</v>
      </c>
      <c r="D97" s="75">
        <v>3</v>
      </c>
      <c r="E97" s="75">
        <v>0</v>
      </c>
      <c r="F97" s="75" t="s">
        <v>722</v>
      </c>
      <c r="G97" s="75" t="s">
        <v>348</v>
      </c>
      <c r="H97" s="75" t="s">
        <v>348</v>
      </c>
      <c r="J97" s="75">
        <v>0</v>
      </c>
      <c r="K97" s="75">
        <v>1011</v>
      </c>
      <c r="L97" s="75">
        <v>1008</v>
      </c>
      <c r="M97" s="98" t="s">
        <v>363</v>
      </c>
      <c r="N97" s="75"/>
      <c r="O97" s="75">
        <v>1</v>
      </c>
      <c r="Q97" s="48"/>
      <c r="R97" s="75" t="s">
        <v>361</v>
      </c>
    </row>
    <row r="98" spans="1:18" ht="26.25" customHeight="1" x14ac:dyDescent="0.15">
      <c r="A98" s="61" t="s">
        <v>8</v>
      </c>
      <c r="B98" s="75">
        <v>1011</v>
      </c>
      <c r="C98" s="75">
        <v>11</v>
      </c>
      <c r="D98" s="75">
        <v>3</v>
      </c>
      <c r="E98" s="75">
        <v>0</v>
      </c>
      <c r="F98" s="76" t="s">
        <v>723</v>
      </c>
      <c r="G98" s="76" t="s">
        <v>724</v>
      </c>
      <c r="H98" s="75" t="s">
        <v>348</v>
      </c>
      <c r="J98" s="75">
        <v>0</v>
      </c>
      <c r="K98" s="75">
        <v>1029</v>
      </c>
      <c r="L98" s="75">
        <v>1010</v>
      </c>
      <c r="M98" s="98" t="s">
        <v>348</v>
      </c>
      <c r="N98" s="75"/>
      <c r="O98" s="75">
        <v>1</v>
      </c>
      <c r="R98" s="75" t="s">
        <v>209</v>
      </c>
    </row>
    <row r="102" spans="1:18" ht="26.25" customHeight="1" x14ac:dyDescent="0.15">
      <c r="A102" s="57" t="s">
        <v>8</v>
      </c>
      <c r="B102" s="75">
        <v>1029</v>
      </c>
      <c r="C102" s="75">
        <v>15</v>
      </c>
      <c r="D102" s="75">
        <v>21</v>
      </c>
      <c r="E102" s="75">
        <v>0</v>
      </c>
      <c r="F102" s="75">
        <v>0.1</v>
      </c>
      <c r="G102" s="76" t="s">
        <v>725</v>
      </c>
      <c r="H102" s="76"/>
      <c r="I102" s="76" t="s">
        <v>872</v>
      </c>
      <c r="J102" s="75">
        <v>1</v>
      </c>
      <c r="K102" s="75">
        <v>1030</v>
      </c>
      <c r="L102" s="75">
        <v>0</v>
      </c>
      <c r="M102" s="98"/>
      <c r="N102" s="75"/>
      <c r="O102" s="75"/>
      <c r="P102" s="75">
        <v>6</v>
      </c>
      <c r="R102" s="76" t="s">
        <v>726</v>
      </c>
    </row>
    <row r="103" spans="1:18" ht="26.25" customHeight="1" x14ac:dyDescent="0.15">
      <c r="A103" s="57" t="s">
        <v>8</v>
      </c>
      <c r="B103" s="75">
        <v>1030</v>
      </c>
      <c r="C103" s="75">
        <v>15</v>
      </c>
      <c r="D103" s="75">
        <v>3</v>
      </c>
      <c r="E103" s="75">
        <v>0</v>
      </c>
      <c r="F103" s="75" t="s">
        <v>348</v>
      </c>
      <c r="G103" s="76" t="s">
        <v>727</v>
      </c>
      <c r="H103" s="76" t="s">
        <v>728</v>
      </c>
      <c r="I103" s="75"/>
      <c r="J103" s="75">
        <v>1</v>
      </c>
      <c r="K103" s="75">
        <v>1031</v>
      </c>
      <c r="L103" s="75">
        <v>0</v>
      </c>
      <c r="M103" s="98" t="s">
        <v>365</v>
      </c>
      <c r="N103" s="75"/>
      <c r="O103" s="75">
        <v>1</v>
      </c>
      <c r="P103" s="75">
        <v>6</v>
      </c>
      <c r="R103" s="75" t="s">
        <v>371</v>
      </c>
    </row>
    <row r="104" spans="1:18" ht="26.25" customHeight="1" x14ac:dyDescent="0.15">
      <c r="A104" s="57" t="s">
        <v>8</v>
      </c>
      <c r="B104" s="75">
        <v>1031</v>
      </c>
      <c r="C104" s="75">
        <v>15</v>
      </c>
      <c r="D104" s="75">
        <v>20</v>
      </c>
      <c r="E104" s="75">
        <v>0</v>
      </c>
      <c r="F104" s="76" t="s">
        <v>729</v>
      </c>
      <c r="G104" s="75" t="s">
        <v>366</v>
      </c>
      <c r="H104" s="75" t="s">
        <v>348</v>
      </c>
      <c r="I104" s="75" t="s">
        <v>348</v>
      </c>
      <c r="J104" s="75"/>
      <c r="K104" s="75">
        <v>1032</v>
      </c>
      <c r="L104" s="75">
        <v>1030</v>
      </c>
      <c r="M104" s="98"/>
      <c r="N104" s="75"/>
      <c r="O104" s="75"/>
      <c r="P104" s="75"/>
      <c r="R104" s="75" t="s">
        <v>353</v>
      </c>
    </row>
    <row r="105" spans="1:18" ht="26.25" customHeight="1" x14ac:dyDescent="0.15">
      <c r="A105" s="57" t="s">
        <v>8</v>
      </c>
      <c r="B105" s="75">
        <v>1032</v>
      </c>
      <c r="C105" s="75">
        <v>15</v>
      </c>
      <c r="D105" s="75">
        <v>3</v>
      </c>
      <c r="E105" s="75">
        <v>0</v>
      </c>
      <c r="F105" s="75"/>
      <c r="G105" s="76" t="s">
        <v>730</v>
      </c>
      <c r="H105" s="75" t="s">
        <v>348</v>
      </c>
      <c r="I105" s="76" t="s">
        <v>731</v>
      </c>
      <c r="J105" s="75">
        <v>1</v>
      </c>
      <c r="K105" s="75">
        <v>1033</v>
      </c>
      <c r="L105" s="75">
        <v>10316</v>
      </c>
      <c r="M105" s="97" t="s">
        <v>891</v>
      </c>
      <c r="N105" s="75">
        <v>10040011</v>
      </c>
      <c r="O105" s="75">
        <v>1</v>
      </c>
      <c r="P105" s="75">
        <v>6</v>
      </c>
      <c r="R105" s="75" t="s">
        <v>372</v>
      </c>
    </row>
    <row r="106" spans="1:18" ht="26.25" customHeight="1" x14ac:dyDescent="0.15">
      <c r="A106" s="57" t="s">
        <v>8</v>
      </c>
      <c r="B106" s="75">
        <v>1033</v>
      </c>
      <c r="C106" s="75">
        <v>15</v>
      </c>
      <c r="D106" s="75">
        <v>3</v>
      </c>
      <c r="E106" s="75">
        <v>0</v>
      </c>
      <c r="F106" s="76" t="s">
        <v>732</v>
      </c>
      <c r="G106" s="76" t="s">
        <v>733</v>
      </c>
      <c r="H106" s="75" t="s">
        <v>348</v>
      </c>
      <c r="I106" s="75" t="s">
        <v>348</v>
      </c>
      <c r="J106" s="75">
        <v>1</v>
      </c>
      <c r="K106" s="75">
        <v>1034</v>
      </c>
      <c r="L106" s="75">
        <v>1032</v>
      </c>
      <c r="M106" s="98"/>
      <c r="N106" s="75"/>
      <c r="O106" s="75">
        <v>1</v>
      </c>
      <c r="P106" s="75"/>
      <c r="R106" s="75" t="s">
        <v>373</v>
      </c>
    </row>
    <row r="107" spans="1:18" ht="26.25" customHeight="1" x14ac:dyDescent="0.15">
      <c r="A107" s="57" t="s">
        <v>8</v>
      </c>
      <c r="B107" s="75">
        <v>1034</v>
      </c>
      <c r="C107" s="75">
        <v>15</v>
      </c>
      <c r="D107" s="75">
        <v>20</v>
      </c>
      <c r="E107" s="75">
        <v>0</v>
      </c>
      <c r="F107" s="76" t="s">
        <v>734</v>
      </c>
      <c r="G107" s="75" t="s">
        <v>374</v>
      </c>
      <c r="H107" s="75" t="s">
        <v>348</v>
      </c>
      <c r="I107" s="75"/>
      <c r="J107" s="75"/>
      <c r="K107" s="75">
        <v>1036</v>
      </c>
      <c r="L107" s="75">
        <v>1033</v>
      </c>
      <c r="M107" s="98"/>
      <c r="N107" s="75"/>
      <c r="O107" s="75"/>
      <c r="P107" s="75"/>
      <c r="R107" s="75" t="s">
        <v>353</v>
      </c>
    </row>
    <row r="108" spans="1:18" ht="26.25" customHeight="1" x14ac:dyDescent="0.15">
      <c r="A108" s="57" t="s">
        <v>8</v>
      </c>
      <c r="B108" s="75">
        <v>1036</v>
      </c>
      <c r="C108" s="75">
        <v>15</v>
      </c>
      <c r="D108" s="75">
        <v>3</v>
      </c>
      <c r="E108" s="75">
        <v>0</v>
      </c>
      <c r="F108" s="75" t="s">
        <v>348</v>
      </c>
      <c r="G108" s="75" t="s">
        <v>368</v>
      </c>
      <c r="H108" s="75" t="s">
        <v>348</v>
      </c>
      <c r="I108" s="76" t="s">
        <v>735</v>
      </c>
      <c r="J108" s="75">
        <v>1</v>
      </c>
      <c r="K108" s="75">
        <v>1037</v>
      </c>
      <c r="L108" s="75">
        <v>1034</v>
      </c>
      <c r="M108" s="98"/>
      <c r="N108" s="75"/>
      <c r="O108" s="75">
        <v>1</v>
      </c>
      <c r="P108" s="75">
        <v>6</v>
      </c>
      <c r="R108" s="75" t="s">
        <v>367</v>
      </c>
    </row>
    <row r="109" spans="1:18" ht="26.25" customHeight="1" x14ac:dyDescent="0.15">
      <c r="A109" s="57" t="s">
        <v>8</v>
      </c>
      <c r="B109" s="75">
        <v>1037</v>
      </c>
      <c r="C109" s="75">
        <v>15</v>
      </c>
      <c r="D109" s="75">
        <v>3</v>
      </c>
      <c r="E109" s="75">
        <v>0</v>
      </c>
      <c r="F109" s="75" t="s">
        <v>348</v>
      </c>
      <c r="G109" s="75" t="s">
        <v>375</v>
      </c>
      <c r="H109" s="75" t="s">
        <v>348</v>
      </c>
      <c r="I109" s="76" t="s">
        <v>736</v>
      </c>
      <c r="J109" s="75">
        <v>1</v>
      </c>
      <c r="K109" s="75">
        <v>1038</v>
      </c>
      <c r="L109" s="75">
        <v>1036</v>
      </c>
      <c r="M109" s="98"/>
      <c r="N109" s="75"/>
      <c r="O109" s="75">
        <v>1</v>
      </c>
      <c r="P109" s="75"/>
      <c r="R109" s="75" t="s">
        <v>376</v>
      </c>
    </row>
    <row r="110" spans="1:18" ht="26.25" customHeight="1" x14ac:dyDescent="0.15">
      <c r="A110" s="57" t="s">
        <v>8</v>
      </c>
      <c r="B110" s="75">
        <v>1038</v>
      </c>
      <c r="C110" s="75">
        <v>15</v>
      </c>
      <c r="D110" s="75">
        <v>3</v>
      </c>
      <c r="E110" s="75">
        <v>0</v>
      </c>
      <c r="F110" s="75" t="s">
        <v>348</v>
      </c>
      <c r="G110" s="76" t="s">
        <v>737</v>
      </c>
      <c r="H110" s="75" t="s">
        <v>377</v>
      </c>
      <c r="I110" s="75" t="s">
        <v>348</v>
      </c>
      <c r="J110" s="75">
        <v>1</v>
      </c>
      <c r="K110" s="75">
        <v>1039</v>
      </c>
      <c r="L110" s="75">
        <v>1037</v>
      </c>
      <c r="M110" s="97" t="s">
        <v>906</v>
      </c>
      <c r="N110" s="75"/>
      <c r="O110" s="75">
        <v>1</v>
      </c>
      <c r="P110" s="75"/>
      <c r="R110" s="75" t="s">
        <v>378</v>
      </c>
    </row>
    <row r="111" spans="1:18" ht="26.25" customHeight="1" x14ac:dyDescent="0.15">
      <c r="A111" s="57" t="s">
        <v>8</v>
      </c>
      <c r="B111" s="75">
        <v>1039</v>
      </c>
      <c r="C111" s="75">
        <v>15</v>
      </c>
      <c r="D111" s="75">
        <v>3</v>
      </c>
      <c r="E111" s="75">
        <v>0</v>
      </c>
      <c r="F111" s="75"/>
      <c r="G111" s="75" t="s">
        <v>379</v>
      </c>
      <c r="H111" s="75"/>
      <c r="I111" s="75"/>
      <c r="J111" s="75">
        <v>1</v>
      </c>
      <c r="K111" s="75">
        <v>10391</v>
      </c>
      <c r="L111" s="75">
        <v>1038</v>
      </c>
      <c r="M111" s="98"/>
      <c r="N111" s="75"/>
      <c r="O111" s="75">
        <v>1</v>
      </c>
      <c r="P111" s="75"/>
      <c r="R111" s="75" t="s">
        <v>359</v>
      </c>
    </row>
    <row r="112" spans="1:18" ht="26.25" customHeight="1" x14ac:dyDescent="0.15">
      <c r="A112" s="57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98"/>
      <c r="N112" s="75"/>
      <c r="O112" s="75"/>
      <c r="P112" s="75"/>
      <c r="R112" s="75"/>
    </row>
    <row r="113" spans="1:23" ht="26.25" customHeight="1" x14ac:dyDescent="0.15">
      <c r="A113" s="57" t="s">
        <v>8</v>
      </c>
      <c r="B113" s="75">
        <v>10391</v>
      </c>
      <c r="C113" s="75">
        <v>15</v>
      </c>
      <c r="D113" s="75">
        <v>2</v>
      </c>
      <c r="E113" s="75">
        <v>0</v>
      </c>
      <c r="F113" s="75" t="s">
        <v>348</v>
      </c>
      <c r="G113" s="76" t="s">
        <v>738</v>
      </c>
      <c r="H113" s="75" t="s">
        <v>348</v>
      </c>
      <c r="I113" s="76" t="s">
        <v>739</v>
      </c>
      <c r="J113" s="75"/>
      <c r="K113" s="75">
        <v>10392</v>
      </c>
      <c r="L113" s="75">
        <v>1039</v>
      </c>
      <c r="M113" s="97" t="s">
        <v>907</v>
      </c>
      <c r="N113" s="75">
        <v>10040012</v>
      </c>
      <c r="O113" s="75"/>
      <c r="Q113" s="75"/>
      <c r="R113" s="75" t="s">
        <v>740</v>
      </c>
    </row>
    <row r="114" spans="1:23" ht="26.25" customHeight="1" x14ac:dyDescent="0.15">
      <c r="A114" s="57" t="s">
        <v>8</v>
      </c>
      <c r="B114" s="75">
        <v>10392</v>
      </c>
      <c r="C114" s="75">
        <v>15</v>
      </c>
      <c r="D114" s="75">
        <v>3</v>
      </c>
      <c r="E114" s="75">
        <v>2</v>
      </c>
      <c r="F114" s="75" t="s">
        <v>348</v>
      </c>
      <c r="G114" s="75" t="s">
        <v>348</v>
      </c>
      <c r="H114" s="75" t="s">
        <v>348</v>
      </c>
      <c r="I114" s="75" t="s">
        <v>348</v>
      </c>
      <c r="J114" s="75">
        <v>1</v>
      </c>
      <c r="K114" s="75">
        <v>10393</v>
      </c>
      <c r="L114" s="75">
        <v>10391</v>
      </c>
      <c r="M114" s="97" t="s">
        <v>892</v>
      </c>
      <c r="N114" s="75">
        <v>10040013</v>
      </c>
      <c r="O114" s="78">
        <v>1</v>
      </c>
      <c r="Q114" s="75"/>
      <c r="R114" s="75" t="s">
        <v>564</v>
      </c>
    </row>
    <row r="115" spans="1:23" ht="26.25" customHeight="1" x14ac:dyDescent="0.15">
      <c r="A115" s="57" t="s">
        <v>8</v>
      </c>
      <c r="B115" s="75">
        <v>10393</v>
      </c>
      <c r="C115" s="75">
        <v>15</v>
      </c>
      <c r="D115" s="75">
        <v>2</v>
      </c>
      <c r="E115" s="75">
        <v>0</v>
      </c>
      <c r="F115" s="75" t="s">
        <v>348</v>
      </c>
      <c r="G115" s="75" t="s">
        <v>348</v>
      </c>
      <c r="H115" s="75" t="s">
        <v>348</v>
      </c>
      <c r="I115" s="75" t="s">
        <v>348</v>
      </c>
      <c r="J115" s="75"/>
      <c r="K115" s="75">
        <v>10394</v>
      </c>
      <c r="L115" s="75">
        <v>10392</v>
      </c>
      <c r="M115" s="97" t="s">
        <v>907</v>
      </c>
      <c r="N115" s="75">
        <v>10040014</v>
      </c>
      <c r="O115" s="75"/>
      <c r="Q115" s="75"/>
      <c r="R115" s="75" t="s">
        <v>348</v>
      </c>
    </row>
    <row r="116" spans="1:23" ht="26.25" customHeight="1" x14ac:dyDescent="0.15">
      <c r="A116" s="57" t="s">
        <v>8</v>
      </c>
      <c r="B116" s="75">
        <v>10394</v>
      </c>
      <c r="C116" s="75">
        <v>15</v>
      </c>
      <c r="D116" s="75">
        <v>3</v>
      </c>
      <c r="E116" s="75">
        <v>0</v>
      </c>
      <c r="F116" s="75" t="s">
        <v>348</v>
      </c>
      <c r="G116" s="75" t="s">
        <v>348</v>
      </c>
      <c r="H116" s="75" t="s">
        <v>348</v>
      </c>
      <c r="I116" s="75" t="s">
        <v>348</v>
      </c>
      <c r="J116" s="75">
        <v>1</v>
      </c>
      <c r="K116" s="75">
        <v>10395</v>
      </c>
      <c r="L116" s="75">
        <v>10393</v>
      </c>
      <c r="M116" s="97" t="s">
        <v>908</v>
      </c>
      <c r="N116" s="75">
        <v>10040015</v>
      </c>
      <c r="O116" s="78">
        <v>1</v>
      </c>
      <c r="R116" s="75" t="s">
        <v>370</v>
      </c>
    </row>
    <row r="117" spans="1:23" ht="26.25" customHeight="1" x14ac:dyDescent="0.15">
      <c r="A117" s="57" t="s">
        <v>8</v>
      </c>
      <c r="B117" s="75">
        <v>10395</v>
      </c>
      <c r="C117" s="75">
        <v>15</v>
      </c>
      <c r="D117" s="75">
        <v>2</v>
      </c>
      <c r="E117" s="75">
        <v>0</v>
      </c>
      <c r="F117" s="75" t="s">
        <v>348</v>
      </c>
      <c r="G117" s="75" t="s">
        <v>348</v>
      </c>
      <c r="H117" s="75" t="s">
        <v>348</v>
      </c>
      <c r="I117" s="75" t="s">
        <v>348</v>
      </c>
      <c r="J117" s="75"/>
      <c r="K117" s="75">
        <v>10396</v>
      </c>
      <c r="L117" s="75">
        <v>10394</v>
      </c>
      <c r="M117" s="97" t="s">
        <v>909</v>
      </c>
      <c r="N117" s="75">
        <v>10040016</v>
      </c>
      <c r="R117" s="75" t="s">
        <v>565</v>
      </c>
    </row>
    <row r="119" spans="1:23" ht="26.25" customHeight="1" x14ac:dyDescent="0.15">
      <c r="A119" s="57" t="s">
        <v>8</v>
      </c>
      <c r="B119" s="75">
        <v>10396</v>
      </c>
      <c r="C119" s="75">
        <v>18</v>
      </c>
      <c r="D119" s="75">
        <v>21</v>
      </c>
      <c r="E119" s="75">
        <v>0</v>
      </c>
      <c r="F119" s="75">
        <v>0.1</v>
      </c>
      <c r="G119" s="76" t="s">
        <v>741</v>
      </c>
      <c r="H119" s="76"/>
      <c r="I119" s="76" t="s">
        <v>872</v>
      </c>
      <c r="J119" s="75">
        <v>1</v>
      </c>
      <c r="K119" s="75">
        <v>10397</v>
      </c>
      <c r="M119" s="98"/>
      <c r="O119" s="75"/>
      <c r="P119" s="75"/>
      <c r="R119" s="76" t="s">
        <v>742</v>
      </c>
    </row>
    <row r="120" spans="1:23" ht="26.25" customHeight="1" x14ac:dyDescent="0.15">
      <c r="A120" s="57" t="s">
        <v>8</v>
      </c>
      <c r="B120" s="75">
        <v>10397</v>
      </c>
      <c r="C120" s="75">
        <v>18</v>
      </c>
      <c r="D120" s="75">
        <v>21</v>
      </c>
      <c r="E120" s="75">
        <v>0</v>
      </c>
      <c r="F120" s="75">
        <v>0.1</v>
      </c>
      <c r="G120" s="76" t="s">
        <v>743</v>
      </c>
      <c r="H120" s="76"/>
      <c r="I120" s="76" t="s">
        <v>744</v>
      </c>
      <c r="J120" s="75">
        <v>1</v>
      </c>
      <c r="K120" s="75">
        <v>1045</v>
      </c>
      <c r="M120" s="98"/>
      <c r="O120" s="75"/>
      <c r="P120" s="75"/>
      <c r="R120" s="76" t="s">
        <v>745</v>
      </c>
    </row>
    <row r="121" spans="1:23" ht="26.25" customHeight="1" x14ac:dyDescent="0.15">
      <c r="A121" s="57" t="s">
        <v>8</v>
      </c>
      <c r="B121" s="75">
        <v>1045</v>
      </c>
      <c r="C121" s="75">
        <v>18</v>
      </c>
      <c r="D121" s="75">
        <v>3</v>
      </c>
      <c r="E121" s="75">
        <v>0</v>
      </c>
      <c r="F121" s="75" t="s">
        <v>348</v>
      </c>
      <c r="G121" s="76" t="s">
        <v>746</v>
      </c>
      <c r="H121" s="76"/>
      <c r="I121" s="76" t="s">
        <v>747</v>
      </c>
      <c r="J121" s="75">
        <v>1</v>
      </c>
      <c r="K121" s="75">
        <v>10451</v>
      </c>
      <c r="M121" s="98" t="s">
        <v>369</v>
      </c>
      <c r="O121" s="75">
        <v>1</v>
      </c>
      <c r="P121" s="75"/>
      <c r="R121" s="76" t="s">
        <v>748</v>
      </c>
    </row>
    <row r="122" spans="1:23" ht="26.25" customHeight="1" x14ac:dyDescent="0.15">
      <c r="A122" s="57" t="s">
        <v>706</v>
      </c>
      <c r="B122" s="75">
        <v>10451</v>
      </c>
      <c r="C122" s="75">
        <v>18</v>
      </c>
      <c r="D122" s="75">
        <v>3</v>
      </c>
      <c r="E122" s="75">
        <v>2</v>
      </c>
      <c r="F122" s="75" t="s">
        <v>566</v>
      </c>
      <c r="G122" s="76" t="s">
        <v>749</v>
      </c>
      <c r="H122" s="76" t="s">
        <v>750</v>
      </c>
      <c r="I122" s="76"/>
      <c r="J122" s="75">
        <v>0</v>
      </c>
      <c r="K122" s="75">
        <v>10452</v>
      </c>
      <c r="L122" s="75"/>
      <c r="O122" s="75">
        <v>1</v>
      </c>
      <c r="P122" s="75"/>
      <c r="R122" s="76" t="s">
        <v>751</v>
      </c>
    </row>
    <row r="123" spans="1:23" ht="26.25" customHeight="1" x14ac:dyDescent="0.15">
      <c r="A123" s="57" t="s">
        <v>8</v>
      </c>
      <c r="B123" s="75">
        <v>10452</v>
      </c>
      <c r="C123" s="75">
        <v>18</v>
      </c>
      <c r="D123" s="75">
        <v>3</v>
      </c>
      <c r="E123" s="75">
        <v>0</v>
      </c>
      <c r="F123" s="76" t="s">
        <v>752</v>
      </c>
      <c r="G123" s="78" t="s">
        <v>753</v>
      </c>
      <c r="H123" s="75"/>
      <c r="I123" s="75"/>
      <c r="J123" s="75">
        <v>0</v>
      </c>
      <c r="K123" s="75">
        <v>10453</v>
      </c>
      <c r="L123" s="75"/>
      <c r="O123" s="75">
        <v>1</v>
      </c>
      <c r="P123" s="75"/>
      <c r="R123" s="75" t="s">
        <v>567</v>
      </c>
    </row>
    <row r="124" spans="1:23" ht="26.25" customHeight="1" x14ac:dyDescent="0.15">
      <c r="A124" s="57" t="s">
        <v>8</v>
      </c>
      <c r="B124" s="75">
        <v>10453</v>
      </c>
      <c r="C124" s="75">
        <v>18</v>
      </c>
      <c r="D124" s="75">
        <v>3</v>
      </c>
      <c r="E124" s="75">
        <v>0</v>
      </c>
      <c r="F124" s="75" t="s">
        <v>566</v>
      </c>
      <c r="G124" s="82" t="s">
        <v>754</v>
      </c>
      <c r="H124" s="75"/>
      <c r="I124" s="75"/>
      <c r="J124" s="75">
        <v>0</v>
      </c>
      <c r="K124" s="75">
        <v>10454</v>
      </c>
      <c r="L124" s="75"/>
      <c r="O124" s="75">
        <v>1</v>
      </c>
      <c r="P124" s="75"/>
      <c r="R124" s="75" t="s">
        <v>568</v>
      </c>
    </row>
    <row r="125" spans="1:23" ht="26.25" customHeight="1" x14ac:dyDescent="0.15">
      <c r="A125" s="57" t="s">
        <v>8</v>
      </c>
      <c r="B125" s="75">
        <v>10454</v>
      </c>
      <c r="C125" s="75">
        <v>18</v>
      </c>
      <c r="D125" s="75">
        <v>3</v>
      </c>
      <c r="E125" s="75">
        <v>0</v>
      </c>
      <c r="F125" s="75" t="s">
        <v>457</v>
      </c>
      <c r="G125" s="75" t="s">
        <v>458</v>
      </c>
      <c r="H125" s="75"/>
      <c r="I125" s="75"/>
      <c r="J125" s="75">
        <v>0</v>
      </c>
      <c r="K125" s="75">
        <v>2098</v>
      </c>
      <c r="L125" s="75"/>
      <c r="O125" s="75">
        <v>1</v>
      </c>
      <c r="P125" s="75"/>
      <c r="R125" s="75" t="s">
        <v>569</v>
      </c>
    </row>
    <row r="127" spans="1:23" ht="26.25" customHeight="1" x14ac:dyDescent="0.15">
      <c r="A127" s="57" t="s">
        <v>8</v>
      </c>
      <c r="B127" s="75">
        <v>2098</v>
      </c>
      <c r="C127" s="75">
        <v>21</v>
      </c>
      <c r="D127" s="75">
        <v>21</v>
      </c>
      <c r="E127" s="75">
        <v>0</v>
      </c>
      <c r="F127" s="75" t="s">
        <v>593</v>
      </c>
      <c r="G127" s="75">
        <v>11</v>
      </c>
      <c r="H127" s="76" t="s">
        <v>868</v>
      </c>
      <c r="I127" s="76" t="s">
        <v>871</v>
      </c>
      <c r="J127" s="75"/>
      <c r="K127" s="75">
        <v>2099</v>
      </c>
      <c r="M127" s="98"/>
      <c r="N127" s="75"/>
      <c r="O127" s="75"/>
      <c r="P127" s="75"/>
      <c r="R127" s="75" t="s">
        <v>867</v>
      </c>
    </row>
    <row r="128" spans="1:23" ht="26.25" customHeight="1" x14ac:dyDescent="0.15">
      <c r="A128" s="57" t="s">
        <v>8</v>
      </c>
      <c r="B128" s="75">
        <v>2099</v>
      </c>
      <c r="C128" s="75">
        <v>21</v>
      </c>
      <c r="D128" s="75">
        <v>21</v>
      </c>
      <c r="E128" s="75">
        <v>0</v>
      </c>
      <c r="F128" s="75" t="s">
        <v>593</v>
      </c>
      <c r="G128" s="82" t="s">
        <v>869</v>
      </c>
      <c r="H128" s="76"/>
      <c r="I128" s="76" t="s">
        <v>870</v>
      </c>
      <c r="J128" s="75"/>
      <c r="K128" s="75">
        <v>2100</v>
      </c>
      <c r="L128" s="75"/>
      <c r="M128" s="98"/>
      <c r="N128" s="75"/>
      <c r="O128" s="75"/>
      <c r="R128" s="75" t="s">
        <v>602</v>
      </c>
      <c r="S128" s="75"/>
      <c r="T128" s="75"/>
      <c r="U128" s="75"/>
      <c r="V128" s="75"/>
      <c r="W128" s="75"/>
    </row>
    <row r="129" spans="1:23" ht="26.25" customHeight="1" x14ac:dyDescent="0.15">
      <c r="A129" s="57" t="s">
        <v>8</v>
      </c>
      <c r="B129" s="75">
        <v>2100</v>
      </c>
      <c r="C129" s="75">
        <v>21</v>
      </c>
      <c r="D129" s="75">
        <v>3</v>
      </c>
      <c r="E129" s="75">
        <v>0</v>
      </c>
      <c r="F129" s="76" t="s">
        <v>755</v>
      </c>
      <c r="G129" s="76" t="s">
        <v>756</v>
      </c>
      <c r="H129" s="76"/>
      <c r="I129" s="75" t="s">
        <v>348</v>
      </c>
      <c r="J129" s="75">
        <v>1</v>
      </c>
      <c r="K129" s="75">
        <v>2101</v>
      </c>
      <c r="L129" s="75"/>
      <c r="M129" s="98" t="s">
        <v>592</v>
      </c>
      <c r="N129" s="75">
        <v>10040035</v>
      </c>
      <c r="O129" s="75">
        <v>1</v>
      </c>
      <c r="R129" s="75" t="s">
        <v>603</v>
      </c>
      <c r="S129" s="75"/>
      <c r="T129" s="75"/>
      <c r="U129" s="75"/>
      <c r="V129" s="75"/>
      <c r="W129" s="75"/>
    </row>
    <row r="130" spans="1:23" ht="26.25" customHeight="1" x14ac:dyDescent="0.15">
      <c r="A130" s="57" t="s">
        <v>8</v>
      </c>
      <c r="B130" s="75">
        <v>2101</v>
      </c>
      <c r="C130" s="75">
        <v>21</v>
      </c>
      <c r="D130" s="75">
        <v>3</v>
      </c>
      <c r="E130" s="75">
        <v>0</v>
      </c>
      <c r="F130" s="76" t="s">
        <v>757</v>
      </c>
      <c r="G130" s="75" t="s">
        <v>594</v>
      </c>
      <c r="H130" s="75" t="s">
        <v>348</v>
      </c>
      <c r="I130" s="75" t="s">
        <v>348</v>
      </c>
      <c r="J130" s="75">
        <v>1</v>
      </c>
      <c r="K130" s="75">
        <v>2102</v>
      </c>
      <c r="L130" s="75"/>
      <c r="M130" s="98"/>
      <c r="N130" s="75"/>
      <c r="O130" s="75">
        <v>1</v>
      </c>
      <c r="R130" s="75" t="s">
        <v>604</v>
      </c>
      <c r="S130" s="75"/>
      <c r="T130" s="75"/>
      <c r="U130" s="75"/>
      <c r="V130" s="75"/>
      <c r="W130" s="75"/>
    </row>
    <row r="131" spans="1:23" ht="26.25" customHeight="1" x14ac:dyDescent="0.15">
      <c r="A131" s="57" t="s">
        <v>8</v>
      </c>
      <c r="B131" s="75">
        <v>2102</v>
      </c>
      <c r="C131" s="75">
        <v>21</v>
      </c>
      <c r="D131" s="75">
        <v>20</v>
      </c>
      <c r="E131" s="75">
        <v>0</v>
      </c>
      <c r="F131" s="76" t="s">
        <v>863</v>
      </c>
      <c r="G131" s="76" t="s">
        <v>758</v>
      </c>
      <c r="H131" s="75" t="s">
        <v>348</v>
      </c>
      <c r="I131" s="75" t="s">
        <v>348</v>
      </c>
      <c r="J131" s="75"/>
      <c r="K131" s="75">
        <v>2103</v>
      </c>
      <c r="L131" s="75"/>
      <c r="M131" s="98"/>
      <c r="N131" s="75"/>
      <c r="O131" s="75"/>
      <c r="R131" s="75" t="s">
        <v>554</v>
      </c>
      <c r="S131" s="75"/>
      <c r="T131" s="75"/>
      <c r="U131" s="75"/>
      <c r="V131" s="75"/>
      <c r="W131" s="75"/>
    </row>
    <row r="132" spans="1:23" ht="26.25" customHeight="1" x14ac:dyDescent="0.15">
      <c r="A132" s="57" t="s">
        <v>8</v>
      </c>
      <c r="B132" s="75">
        <v>2103</v>
      </c>
      <c r="C132" s="75">
        <v>21</v>
      </c>
      <c r="D132" s="75">
        <v>20</v>
      </c>
      <c r="E132" s="75">
        <v>0</v>
      </c>
      <c r="F132" s="75" t="s">
        <v>595</v>
      </c>
      <c r="G132" s="76" t="s">
        <v>759</v>
      </c>
      <c r="H132" s="75" t="s">
        <v>348</v>
      </c>
      <c r="I132" s="75" t="s">
        <v>348</v>
      </c>
      <c r="J132" s="75">
        <v>1</v>
      </c>
      <c r="K132" s="75">
        <v>2104</v>
      </c>
      <c r="L132" s="75"/>
      <c r="M132" s="98"/>
      <c r="N132" s="75"/>
      <c r="O132" s="75"/>
      <c r="R132" s="75" t="s">
        <v>554</v>
      </c>
      <c r="S132" s="75"/>
      <c r="T132" s="75"/>
      <c r="U132" s="75"/>
      <c r="V132" s="75"/>
      <c r="W132" s="75"/>
    </row>
    <row r="133" spans="1:23" ht="26.25" customHeight="1" x14ac:dyDescent="0.15">
      <c r="A133" s="57" t="s">
        <v>8</v>
      </c>
      <c r="B133" s="75">
        <v>2104</v>
      </c>
      <c r="C133" s="75">
        <v>21</v>
      </c>
      <c r="D133" s="75">
        <v>3</v>
      </c>
      <c r="E133" s="75">
        <v>0</v>
      </c>
      <c r="F133" s="75" t="s">
        <v>348</v>
      </c>
      <c r="G133" s="76" t="s">
        <v>760</v>
      </c>
      <c r="H133" s="75" t="s">
        <v>348</v>
      </c>
      <c r="I133" s="75" t="s">
        <v>866</v>
      </c>
      <c r="J133" s="75">
        <v>1</v>
      </c>
      <c r="K133" s="75">
        <v>2105</v>
      </c>
      <c r="L133" s="75"/>
      <c r="M133" s="97" t="s">
        <v>910</v>
      </c>
      <c r="N133" s="75">
        <v>10040036</v>
      </c>
      <c r="O133" s="75">
        <v>1</v>
      </c>
      <c r="R133" s="75" t="s">
        <v>605</v>
      </c>
      <c r="S133" s="75"/>
      <c r="T133" s="75"/>
      <c r="U133" s="75"/>
      <c r="V133" s="75"/>
      <c r="W133" s="75"/>
    </row>
    <row r="134" spans="1:23" ht="26.25" customHeight="1" x14ac:dyDescent="0.15">
      <c r="A134" s="57" t="s">
        <v>8</v>
      </c>
      <c r="B134" s="75">
        <v>2105</v>
      </c>
      <c r="C134" s="75">
        <v>21</v>
      </c>
      <c r="D134" s="75">
        <v>3</v>
      </c>
      <c r="E134" s="75">
        <v>0</v>
      </c>
      <c r="F134" s="76" t="s">
        <v>732</v>
      </c>
      <c r="G134" s="75" t="s">
        <v>350</v>
      </c>
      <c r="H134" s="75" t="s">
        <v>348</v>
      </c>
      <c r="I134" s="75" t="s">
        <v>348</v>
      </c>
      <c r="J134" s="75"/>
      <c r="K134" s="75">
        <v>2106</v>
      </c>
      <c r="L134" s="75"/>
      <c r="M134" s="98"/>
      <c r="N134" s="75"/>
      <c r="O134" s="75">
        <v>1</v>
      </c>
      <c r="R134" s="75" t="s">
        <v>606</v>
      </c>
      <c r="S134" s="75"/>
      <c r="T134" s="75"/>
      <c r="U134" s="75"/>
      <c r="V134" s="75"/>
      <c r="W134" s="75"/>
    </row>
    <row r="135" spans="1:23" ht="26.25" customHeight="1" x14ac:dyDescent="0.15">
      <c r="A135" s="57" t="s">
        <v>8</v>
      </c>
      <c r="B135" s="75">
        <v>2106</v>
      </c>
      <c r="C135" s="75">
        <v>21</v>
      </c>
      <c r="D135" s="75">
        <v>20</v>
      </c>
      <c r="E135" s="75">
        <v>0</v>
      </c>
      <c r="F135" s="75" t="s">
        <v>351</v>
      </c>
      <c r="G135" s="75" t="s">
        <v>596</v>
      </c>
      <c r="H135" s="75" t="s">
        <v>348</v>
      </c>
      <c r="I135" s="75" t="s">
        <v>348</v>
      </c>
      <c r="J135" s="75"/>
      <c r="K135" s="75">
        <v>2107</v>
      </c>
      <c r="L135" s="75"/>
      <c r="M135" s="98"/>
      <c r="N135" s="75"/>
      <c r="O135" s="75"/>
      <c r="R135" s="75" t="s">
        <v>554</v>
      </c>
      <c r="S135" s="75"/>
      <c r="T135" s="75"/>
      <c r="U135" s="75"/>
      <c r="V135" s="75"/>
      <c r="W135" s="75"/>
    </row>
    <row r="136" spans="1:23" ht="26.25" customHeight="1" x14ac:dyDescent="0.15">
      <c r="A136" s="57" t="s">
        <v>8</v>
      </c>
      <c r="B136" s="75">
        <v>2107</v>
      </c>
      <c r="C136" s="75">
        <v>21</v>
      </c>
      <c r="D136" s="75">
        <v>3</v>
      </c>
      <c r="E136" s="75">
        <v>0</v>
      </c>
      <c r="F136" s="75" t="s">
        <v>348</v>
      </c>
      <c r="G136" s="75" t="s">
        <v>597</v>
      </c>
      <c r="H136" s="75" t="s">
        <v>348</v>
      </c>
      <c r="I136" s="75" t="s">
        <v>348</v>
      </c>
      <c r="J136" s="75">
        <v>1</v>
      </c>
      <c r="K136" s="75">
        <v>2108</v>
      </c>
      <c r="L136" s="75"/>
      <c r="M136" s="97" t="s">
        <v>911</v>
      </c>
      <c r="N136" s="75">
        <v>10040037</v>
      </c>
      <c r="O136" s="75">
        <v>1</v>
      </c>
      <c r="R136" s="75" t="s">
        <v>607</v>
      </c>
      <c r="S136" s="75"/>
      <c r="T136" s="75"/>
      <c r="U136" s="75"/>
      <c r="V136" s="75"/>
      <c r="W136" s="75"/>
    </row>
    <row r="137" spans="1:23" ht="26.25" customHeight="1" x14ac:dyDescent="0.15">
      <c r="A137" s="57" t="s">
        <v>8</v>
      </c>
      <c r="B137" s="75">
        <v>2108</v>
      </c>
      <c r="C137" s="75">
        <v>21</v>
      </c>
      <c r="D137" s="75">
        <v>2</v>
      </c>
      <c r="E137" s="75">
        <v>0</v>
      </c>
      <c r="F137" s="75"/>
      <c r="G137" s="76" t="s">
        <v>761</v>
      </c>
      <c r="H137" s="75"/>
      <c r="I137" s="75"/>
      <c r="J137" s="75"/>
      <c r="K137" s="75">
        <v>2109</v>
      </c>
      <c r="L137" s="75"/>
      <c r="M137" s="97" t="s">
        <v>886</v>
      </c>
      <c r="N137" s="75">
        <v>10040038</v>
      </c>
      <c r="O137" s="75"/>
      <c r="R137" s="75" t="s">
        <v>608</v>
      </c>
      <c r="S137" s="75"/>
      <c r="T137" s="75"/>
      <c r="U137" s="75"/>
      <c r="V137" s="75"/>
      <c r="W137" s="75"/>
    </row>
    <row r="138" spans="1:23" ht="24" customHeight="1" x14ac:dyDescent="0.15">
      <c r="A138" s="57" t="s">
        <v>8</v>
      </c>
      <c r="B138" s="75">
        <v>2109</v>
      </c>
      <c r="C138" s="75">
        <v>21</v>
      </c>
      <c r="D138" s="75">
        <v>3</v>
      </c>
      <c r="E138" s="75">
        <v>0</v>
      </c>
      <c r="F138" s="75"/>
      <c r="G138" s="75"/>
      <c r="H138" s="75"/>
      <c r="I138" s="75"/>
      <c r="J138" s="75">
        <v>1</v>
      </c>
      <c r="K138" s="75">
        <v>2110</v>
      </c>
      <c r="L138" s="75"/>
      <c r="M138" s="97" t="s">
        <v>912</v>
      </c>
      <c r="N138" s="75">
        <v>10040039</v>
      </c>
      <c r="O138" s="75">
        <v>1</v>
      </c>
      <c r="R138" s="75" t="s">
        <v>609</v>
      </c>
      <c r="S138" s="75"/>
      <c r="T138" s="75"/>
      <c r="U138" s="75"/>
      <c r="V138" s="75"/>
      <c r="W138" s="75"/>
    </row>
    <row r="139" spans="1:23" ht="26.25" customHeight="1" x14ac:dyDescent="0.15">
      <c r="A139" s="57" t="s">
        <v>8</v>
      </c>
      <c r="B139" s="75">
        <v>2110</v>
      </c>
      <c r="C139" s="75">
        <v>21</v>
      </c>
      <c r="D139" s="75">
        <v>2</v>
      </c>
      <c r="E139" s="75">
        <v>0</v>
      </c>
      <c r="F139" s="75" t="s">
        <v>598</v>
      </c>
      <c r="G139" s="75" t="s">
        <v>599</v>
      </c>
      <c r="H139" s="75"/>
      <c r="I139" s="75"/>
      <c r="J139" s="75"/>
      <c r="K139" s="75">
        <v>2111</v>
      </c>
      <c r="L139" s="75"/>
      <c r="M139" s="97" t="s">
        <v>913</v>
      </c>
      <c r="N139" s="75">
        <v>10040040</v>
      </c>
      <c r="O139" s="75"/>
      <c r="R139" s="75" t="s">
        <v>610</v>
      </c>
      <c r="S139" s="75"/>
      <c r="T139" s="75"/>
      <c r="U139" s="75"/>
      <c r="V139" s="75"/>
      <c r="W139" s="75"/>
    </row>
    <row r="140" spans="1:23" ht="26.25" customHeight="1" x14ac:dyDescent="0.15">
      <c r="A140" s="57" t="s">
        <v>8</v>
      </c>
      <c r="B140" s="75">
        <v>2111</v>
      </c>
      <c r="C140" s="75">
        <v>21</v>
      </c>
      <c r="D140" s="75">
        <v>2</v>
      </c>
      <c r="E140" s="75">
        <v>2</v>
      </c>
      <c r="F140" s="75"/>
      <c r="G140" s="76" t="s">
        <v>762</v>
      </c>
      <c r="H140" s="75"/>
      <c r="I140" s="75"/>
      <c r="J140" s="75">
        <v>0</v>
      </c>
      <c r="K140" s="75">
        <v>2112</v>
      </c>
      <c r="L140" s="75"/>
      <c r="M140" s="97" t="s">
        <v>893</v>
      </c>
      <c r="N140" s="75">
        <v>10040041</v>
      </c>
      <c r="O140" s="75"/>
      <c r="R140" s="75" t="s">
        <v>611</v>
      </c>
      <c r="S140" s="75"/>
      <c r="T140" s="75"/>
      <c r="U140" s="75"/>
      <c r="V140" s="75"/>
      <c r="W140" s="75"/>
    </row>
    <row r="141" spans="1:23" ht="26.25" customHeight="1" x14ac:dyDescent="0.15">
      <c r="A141" s="57" t="s">
        <v>8</v>
      </c>
      <c r="B141" s="75">
        <v>2112</v>
      </c>
      <c r="C141" s="75">
        <v>21</v>
      </c>
      <c r="D141" s="75">
        <v>3</v>
      </c>
      <c r="E141" s="75">
        <v>0</v>
      </c>
      <c r="F141" s="76" t="s">
        <v>852</v>
      </c>
      <c r="G141" s="76" t="s">
        <v>763</v>
      </c>
      <c r="H141" s="75"/>
      <c r="I141" s="75"/>
      <c r="J141" s="75">
        <v>1</v>
      </c>
      <c r="K141" s="75">
        <v>2113</v>
      </c>
      <c r="L141" s="75"/>
      <c r="M141" s="98"/>
      <c r="N141" s="75"/>
      <c r="O141" s="75">
        <v>1</v>
      </c>
      <c r="R141" s="75" t="s">
        <v>612</v>
      </c>
      <c r="S141" s="75"/>
      <c r="T141" s="75"/>
      <c r="U141" s="75"/>
      <c r="V141" s="75"/>
      <c r="W141" s="75"/>
    </row>
    <row r="142" spans="1:23" ht="26.25" customHeight="1" x14ac:dyDescent="0.15">
      <c r="A142" s="57" t="s">
        <v>8</v>
      </c>
      <c r="B142" s="75">
        <v>2113</v>
      </c>
      <c r="C142" s="75">
        <v>21</v>
      </c>
      <c r="D142" s="75">
        <v>20</v>
      </c>
      <c r="E142" s="75">
        <v>0</v>
      </c>
      <c r="F142" s="76" t="s">
        <v>851</v>
      </c>
      <c r="G142" s="75" t="s">
        <v>600</v>
      </c>
      <c r="H142" s="75"/>
      <c r="I142" s="75"/>
      <c r="J142" s="75"/>
      <c r="K142" s="75">
        <v>2114</v>
      </c>
      <c r="L142" s="75"/>
      <c r="M142" s="98"/>
      <c r="N142" s="75"/>
      <c r="O142" s="75"/>
      <c r="R142" s="75" t="s">
        <v>613</v>
      </c>
      <c r="S142" s="75"/>
      <c r="T142" s="75"/>
      <c r="U142" s="75"/>
      <c r="V142" s="75"/>
      <c r="W142" s="75"/>
    </row>
    <row r="143" spans="1:23" ht="26.25" customHeight="1" x14ac:dyDescent="0.15">
      <c r="A143" s="57" t="s">
        <v>8</v>
      </c>
      <c r="B143" s="75">
        <v>2114</v>
      </c>
      <c r="C143" s="75">
        <v>21</v>
      </c>
      <c r="D143" s="75">
        <v>3</v>
      </c>
      <c r="E143" s="75">
        <v>0</v>
      </c>
      <c r="F143" s="76" t="s">
        <v>764</v>
      </c>
      <c r="G143" s="75"/>
      <c r="H143" s="75"/>
      <c r="I143" s="75"/>
      <c r="J143" s="75">
        <v>1</v>
      </c>
      <c r="K143" s="75">
        <v>2115</v>
      </c>
      <c r="L143" s="75"/>
      <c r="M143" s="97" t="s">
        <v>886</v>
      </c>
      <c r="N143" s="75">
        <v>10040042</v>
      </c>
      <c r="O143" s="75">
        <v>1</v>
      </c>
      <c r="R143" s="75" t="s">
        <v>614</v>
      </c>
      <c r="S143" s="75"/>
      <c r="T143" s="75"/>
      <c r="U143" s="75"/>
      <c r="V143" s="75"/>
      <c r="W143" s="75"/>
    </row>
    <row r="144" spans="1:23" ht="26.25" customHeight="1" x14ac:dyDescent="0.15">
      <c r="A144" s="57" t="s">
        <v>8</v>
      </c>
      <c r="B144" s="75">
        <v>2115</v>
      </c>
      <c r="C144" s="75">
        <v>21</v>
      </c>
      <c r="D144" s="75">
        <v>3</v>
      </c>
      <c r="E144" s="75">
        <v>0</v>
      </c>
      <c r="F144" s="76" t="s">
        <v>765</v>
      </c>
      <c r="G144" s="76" t="s">
        <v>766</v>
      </c>
      <c r="H144" s="75"/>
      <c r="I144" s="75"/>
      <c r="J144" s="75">
        <v>1</v>
      </c>
      <c r="K144" s="75">
        <v>2116</v>
      </c>
      <c r="L144" s="75"/>
      <c r="M144" s="97"/>
      <c r="N144" s="75"/>
      <c r="O144" s="75">
        <v>1</v>
      </c>
      <c r="R144" s="81" t="s">
        <v>767</v>
      </c>
      <c r="S144" s="75"/>
      <c r="T144" s="75"/>
      <c r="U144" s="75"/>
      <c r="V144" s="75"/>
      <c r="W144" s="75"/>
    </row>
    <row r="145" spans="1:18" ht="26.25" customHeight="1" x14ac:dyDescent="0.15">
      <c r="A145" s="57" t="s">
        <v>8</v>
      </c>
      <c r="B145" s="75">
        <v>2116</v>
      </c>
      <c r="C145" s="75">
        <v>21</v>
      </c>
      <c r="D145" s="75">
        <v>20</v>
      </c>
      <c r="E145" s="75">
        <v>0</v>
      </c>
      <c r="F145" s="76" t="s">
        <v>768</v>
      </c>
      <c r="G145" s="76" t="s">
        <v>769</v>
      </c>
      <c r="H145" s="75"/>
      <c r="I145" s="75"/>
      <c r="J145" s="75">
        <v>1</v>
      </c>
      <c r="K145" s="75">
        <v>2200</v>
      </c>
      <c r="L145" s="75"/>
      <c r="M145" s="98"/>
      <c r="N145" s="75"/>
      <c r="R145" s="75" t="s">
        <v>554</v>
      </c>
    </row>
    <row r="148" spans="1:18" ht="26.25" customHeight="1" x14ac:dyDescent="0.15">
      <c r="A148" s="57" t="s">
        <v>8</v>
      </c>
      <c r="B148" s="75">
        <v>2130</v>
      </c>
      <c r="C148" s="75">
        <v>21</v>
      </c>
      <c r="D148" s="75">
        <v>3</v>
      </c>
      <c r="E148" s="75">
        <v>0</v>
      </c>
      <c r="F148" s="75" t="s">
        <v>755</v>
      </c>
      <c r="G148" s="75"/>
      <c r="H148" s="75"/>
      <c r="I148" s="75"/>
      <c r="J148" s="75">
        <v>1</v>
      </c>
      <c r="K148" s="75">
        <v>2131</v>
      </c>
      <c r="L148" s="75"/>
      <c r="M148" s="98"/>
      <c r="N148" s="75">
        <v>0</v>
      </c>
      <c r="O148" s="60">
        <v>1</v>
      </c>
    </row>
    <row r="149" spans="1:18" ht="26.25" customHeight="1" x14ac:dyDescent="0.15">
      <c r="A149" s="57" t="s">
        <v>8</v>
      </c>
      <c r="B149" s="75">
        <v>2131</v>
      </c>
      <c r="C149" s="75">
        <v>21</v>
      </c>
      <c r="D149" s="75">
        <v>20</v>
      </c>
      <c r="E149" s="75">
        <v>0</v>
      </c>
      <c r="F149" s="76" t="s">
        <v>770</v>
      </c>
      <c r="G149" s="75" t="s">
        <v>601</v>
      </c>
      <c r="H149" s="75"/>
      <c r="I149" s="75"/>
      <c r="J149" s="75">
        <v>1</v>
      </c>
      <c r="K149" s="75">
        <v>2104</v>
      </c>
      <c r="L149" s="75"/>
      <c r="M149" s="98"/>
      <c r="N149" s="75"/>
    </row>
    <row r="153" spans="1:18" ht="26.25" customHeight="1" x14ac:dyDescent="0.15">
      <c r="A153" s="61" t="s">
        <v>8</v>
      </c>
      <c r="B153" s="75">
        <v>2200</v>
      </c>
      <c r="C153" s="75">
        <v>22</v>
      </c>
      <c r="D153" s="75">
        <v>3</v>
      </c>
      <c r="E153" s="75">
        <v>0</v>
      </c>
      <c r="F153" s="76" t="s">
        <v>771</v>
      </c>
      <c r="G153" s="76" t="s">
        <v>772</v>
      </c>
      <c r="H153" s="76" t="s">
        <v>773</v>
      </c>
      <c r="I153" s="76" t="s">
        <v>855</v>
      </c>
      <c r="J153" s="75">
        <v>1</v>
      </c>
      <c r="K153" s="75">
        <v>2201</v>
      </c>
      <c r="L153" s="75"/>
      <c r="M153" s="97" t="s">
        <v>914</v>
      </c>
      <c r="N153" s="81">
        <v>10040043</v>
      </c>
      <c r="O153" s="75">
        <v>1</v>
      </c>
      <c r="P153" s="75">
        <v>6</v>
      </c>
      <c r="R153" s="75" t="s">
        <v>200</v>
      </c>
    </row>
    <row r="154" spans="1:18" ht="26.25" customHeight="1" x14ac:dyDescent="0.15">
      <c r="A154" s="61" t="s">
        <v>8</v>
      </c>
      <c r="B154" s="75">
        <v>2201</v>
      </c>
      <c r="C154" s="75">
        <v>22</v>
      </c>
      <c r="D154" s="75">
        <v>3</v>
      </c>
      <c r="E154" s="75">
        <v>0</v>
      </c>
      <c r="F154" s="76" t="s">
        <v>774</v>
      </c>
      <c r="G154" s="75" t="s">
        <v>350</v>
      </c>
      <c r="H154" s="75" t="s">
        <v>348</v>
      </c>
      <c r="I154" s="75" t="s">
        <v>348</v>
      </c>
      <c r="J154" s="75">
        <v>1</v>
      </c>
      <c r="K154" s="75">
        <v>2202</v>
      </c>
      <c r="L154" s="75"/>
      <c r="M154" s="98" t="s">
        <v>348</v>
      </c>
      <c r="N154" s="75"/>
      <c r="O154" s="75">
        <v>1</v>
      </c>
      <c r="P154" s="75"/>
      <c r="R154" s="75" t="s">
        <v>775</v>
      </c>
    </row>
    <row r="155" spans="1:18" ht="26.25" customHeight="1" x14ac:dyDescent="0.15">
      <c r="A155" s="61" t="s">
        <v>8</v>
      </c>
      <c r="B155" s="75">
        <v>2202</v>
      </c>
      <c r="C155" s="75">
        <v>22</v>
      </c>
      <c r="D155" s="75">
        <v>20</v>
      </c>
      <c r="E155" s="75">
        <v>1</v>
      </c>
      <c r="F155" s="75" t="s">
        <v>351</v>
      </c>
      <c r="G155" s="76" t="s">
        <v>776</v>
      </c>
      <c r="H155" s="75" t="s">
        <v>348</v>
      </c>
      <c r="I155" s="75" t="s">
        <v>348</v>
      </c>
      <c r="J155" s="75"/>
      <c r="K155" s="75">
        <v>2203</v>
      </c>
      <c r="L155" s="75"/>
      <c r="M155" s="98"/>
      <c r="N155" s="75"/>
      <c r="O155" s="75"/>
      <c r="P155" s="75"/>
      <c r="R155" s="75" t="s">
        <v>353</v>
      </c>
    </row>
    <row r="156" spans="1:18" ht="27" customHeight="1" x14ac:dyDescent="0.15">
      <c r="A156" s="61" t="s">
        <v>8</v>
      </c>
      <c r="B156" s="75">
        <v>2203</v>
      </c>
      <c r="C156" s="75">
        <v>22</v>
      </c>
      <c r="D156" s="75">
        <v>3</v>
      </c>
      <c r="E156" s="75">
        <v>0</v>
      </c>
      <c r="F156" s="76" t="s">
        <v>777</v>
      </c>
      <c r="G156" s="76" t="s">
        <v>778</v>
      </c>
      <c r="H156" s="75"/>
      <c r="I156" s="76" t="s">
        <v>858</v>
      </c>
      <c r="J156" s="75">
        <v>1</v>
      </c>
      <c r="K156" s="75">
        <v>2204</v>
      </c>
      <c r="L156" s="75"/>
      <c r="M156" s="97" t="s">
        <v>915</v>
      </c>
      <c r="N156" s="81">
        <v>10040044</v>
      </c>
      <c r="O156" s="75">
        <v>1</v>
      </c>
      <c r="P156" s="75">
        <v>6</v>
      </c>
      <c r="Q156" s="48"/>
      <c r="R156" s="75" t="s">
        <v>355</v>
      </c>
    </row>
    <row r="157" spans="1:18" ht="26.25" customHeight="1" x14ac:dyDescent="0.15">
      <c r="A157" s="61" t="s">
        <v>8</v>
      </c>
      <c r="B157" s="75">
        <v>2204</v>
      </c>
      <c r="C157" s="75">
        <v>22</v>
      </c>
      <c r="D157" s="75">
        <v>3</v>
      </c>
      <c r="E157" s="75">
        <v>0</v>
      </c>
      <c r="F157" s="75" t="s">
        <v>348</v>
      </c>
      <c r="G157" s="75" t="s">
        <v>717</v>
      </c>
      <c r="H157" s="75" t="s">
        <v>348</v>
      </c>
      <c r="I157" s="56"/>
      <c r="J157" s="75">
        <v>1</v>
      </c>
      <c r="K157" s="75">
        <v>2205</v>
      </c>
      <c r="L157" s="75"/>
      <c r="M157" s="98" t="s">
        <v>348</v>
      </c>
      <c r="N157" s="75"/>
      <c r="O157" s="75">
        <v>1</v>
      </c>
      <c r="P157" s="75"/>
      <c r="Q157" s="48"/>
      <c r="R157" s="75" t="s">
        <v>357</v>
      </c>
    </row>
    <row r="158" spans="1:18" ht="26.25" customHeight="1" x14ac:dyDescent="0.15">
      <c r="A158" s="61" t="s">
        <v>8</v>
      </c>
      <c r="B158" s="75">
        <v>2205</v>
      </c>
      <c r="C158" s="75">
        <v>22</v>
      </c>
      <c r="D158" s="75">
        <v>3</v>
      </c>
      <c r="E158" s="75">
        <v>0</v>
      </c>
      <c r="F158" s="76"/>
      <c r="G158" s="76" t="s">
        <v>718</v>
      </c>
      <c r="H158" s="75" t="s">
        <v>348</v>
      </c>
      <c r="I158" s="56"/>
      <c r="J158" s="75">
        <v>1</v>
      </c>
      <c r="K158" s="75">
        <v>2206</v>
      </c>
      <c r="L158" s="75"/>
      <c r="M158" s="98" t="s">
        <v>356</v>
      </c>
      <c r="N158" s="75"/>
      <c r="O158" s="75">
        <v>1</v>
      </c>
      <c r="P158" s="75"/>
      <c r="Q158" s="48"/>
      <c r="R158" s="75" t="s">
        <v>779</v>
      </c>
    </row>
    <row r="159" spans="1:18" ht="26.25" customHeight="1" x14ac:dyDescent="0.15">
      <c r="A159" s="61" t="s">
        <v>8</v>
      </c>
      <c r="B159" s="75">
        <v>2206</v>
      </c>
      <c r="C159" s="75">
        <v>22</v>
      </c>
      <c r="D159" s="75">
        <v>3</v>
      </c>
      <c r="E159" s="75">
        <v>0</v>
      </c>
      <c r="F159" s="75" t="s">
        <v>348</v>
      </c>
      <c r="G159" s="76" t="s">
        <v>780</v>
      </c>
      <c r="H159" s="75" t="s">
        <v>348</v>
      </c>
      <c r="J159" s="75">
        <v>1</v>
      </c>
      <c r="K159" s="75">
        <v>2207</v>
      </c>
      <c r="L159" s="75"/>
      <c r="M159" s="98" t="s">
        <v>348</v>
      </c>
      <c r="N159" s="75"/>
      <c r="O159" s="75">
        <v>1</v>
      </c>
      <c r="P159" s="75"/>
      <c r="Q159" s="48"/>
      <c r="R159" s="76" t="s">
        <v>720</v>
      </c>
    </row>
    <row r="160" spans="1:18" ht="26.25" customHeight="1" x14ac:dyDescent="0.15">
      <c r="A160" s="61" t="s">
        <v>8</v>
      </c>
      <c r="B160" s="75">
        <v>2207</v>
      </c>
      <c r="C160" s="75">
        <v>22</v>
      </c>
      <c r="D160" s="75">
        <v>20</v>
      </c>
      <c r="E160" s="75">
        <v>2</v>
      </c>
      <c r="F160" s="76" t="s">
        <v>781</v>
      </c>
      <c r="G160" s="76" t="s">
        <v>782</v>
      </c>
      <c r="H160" s="75" t="s">
        <v>348</v>
      </c>
      <c r="J160" s="75"/>
      <c r="K160" s="75">
        <v>2208</v>
      </c>
      <c r="L160" s="75"/>
      <c r="M160" s="98"/>
      <c r="N160" s="75"/>
      <c r="O160" s="75"/>
      <c r="Q160" s="48"/>
      <c r="R160" s="75" t="s">
        <v>353</v>
      </c>
    </row>
    <row r="161" spans="1:23" ht="26.25" customHeight="1" x14ac:dyDescent="0.15">
      <c r="A161" s="61" t="s">
        <v>8</v>
      </c>
      <c r="B161" s="75">
        <v>2208</v>
      </c>
      <c r="C161" s="75">
        <v>22</v>
      </c>
      <c r="D161" s="75">
        <v>2</v>
      </c>
      <c r="E161" s="75">
        <v>0</v>
      </c>
      <c r="F161" s="75"/>
      <c r="G161" s="76" t="s">
        <v>783</v>
      </c>
      <c r="H161" s="75"/>
      <c r="I161" s="75"/>
      <c r="J161" s="78">
        <v>1</v>
      </c>
      <c r="K161" s="75">
        <v>2209</v>
      </c>
      <c r="L161" s="75"/>
      <c r="M161" s="98" t="s">
        <v>363</v>
      </c>
      <c r="N161" s="75">
        <v>10040045</v>
      </c>
      <c r="O161" s="75"/>
      <c r="Q161" s="48"/>
      <c r="R161" s="75" t="s">
        <v>362</v>
      </c>
    </row>
    <row r="162" spans="1:23" ht="26.25" customHeight="1" x14ac:dyDescent="0.15">
      <c r="A162" s="61" t="s">
        <v>8</v>
      </c>
      <c r="B162" s="75">
        <v>2209</v>
      </c>
      <c r="C162" s="75">
        <v>22</v>
      </c>
      <c r="D162" s="75">
        <v>3</v>
      </c>
      <c r="E162" s="75">
        <v>0</v>
      </c>
      <c r="F162" s="75" t="s">
        <v>722</v>
      </c>
      <c r="G162" s="76" t="s">
        <v>784</v>
      </c>
      <c r="H162" s="75" t="s">
        <v>348</v>
      </c>
      <c r="J162" s="75">
        <v>0</v>
      </c>
      <c r="K162" s="75">
        <v>2230</v>
      </c>
      <c r="L162" s="75"/>
      <c r="M162" s="98" t="s">
        <v>363</v>
      </c>
      <c r="N162" s="75"/>
      <c r="O162" s="75">
        <v>1</v>
      </c>
      <c r="Q162" s="48"/>
      <c r="R162" s="75" t="s">
        <v>361</v>
      </c>
    </row>
    <row r="163" spans="1:23" ht="26.25" customHeight="1" x14ac:dyDescent="0.15">
      <c r="A163" s="61"/>
      <c r="B163" s="75">
        <v>2210</v>
      </c>
      <c r="C163" s="75">
        <v>22</v>
      </c>
      <c r="D163" s="75">
        <v>3</v>
      </c>
      <c r="E163" s="75">
        <v>0</v>
      </c>
      <c r="F163" s="76" t="s">
        <v>785</v>
      </c>
      <c r="G163" s="76" t="s">
        <v>786</v>
      </c>
      <c r="H163" s="75" t="s">
        <v>348</v>
      </c>
      <c r="J163" s="75">
        <v>0</v>
      </c>
      <c r="K163" s="75">
        <v>2230</v>
      </c>
      <c r="L163" s="75"/>
      <c r="M163" s="98" t="s">
        <v>348</v>
      </c>
      <c r="N163" s="75"/>
      <c r="O163" s="75">
        <v>1</v>
      </c>
      <c r="R163" s="75" t="s">
        <v>209</v>
      </c>
    </row>
    <row r="165" spans="1:23" ht="26.25" customHeight="1" x14ac:dyDescent="0.15">
      <c r="A165" s="61" t="s">
        <v>8</v>
      </c>
      <c r="B165" s="75">
        <v>2230</v>
      </c>
      <c r="C165" s="60">
        <v>23</v>
      </c>
      <c r="D165" s="60">
        <v>3</v>
      </c>
      <c r="E165" s="60">
        <v>2</v>
      </c>
      <c r="G165" s="60" t="s">
        <v>787</v>
      </c>
      <c r="H165" s="60" t="s">
        <v>857</v>
      </c>
      <c r="J165" s="60">
        <v>0</v>
      </c>
      <c r="M165" s="97" t="s">
        <v>916</v>
      </c>
      <c r="N165" s="60">
        <v>10040046</v>
      </c>
      <c r="O165" s="60">
        <v>1</v>
      </c>
      <c r="R165" s="83" t="s">
        <v>788</v>
      </c>
    </row>
    <row r="168" spans="1:23" ht="26.25" customHeight="1" x14ac:dyDescent="0.15">
      <c r="A168" s="61" t="s">
        <v>8</v>
      </c>
      <c r="B168" s="75">
        <v>2500</v>
      </c>
      <c r="C168" s="75">
        <v>25</v>
      </c>
      <c r="D168" s="75">
        <v>2</v>
      </c>
      <c r="E168" s="75">
        <v>2</v>
      </c>
      <c r="F168" s="75" t="s">
        <v>348</v>
      </c>
      <c r="G168" s="60" t="s">
        <v>789</v>
      </c>
      <c r="H168" s="75"/>
      <c r="I168" s="75"/>
      <c r="J168" s="75">
        <v>1</v>
      </c>
      <c r="K168" s="75">
        <v>2501</v>
      </c>
      <c r="M168" s="97" t="s">
        <v>919</v>
      </c>
      <c r="N168" s="75">
        <v>10040047</v>
      </c>
      <c r="O168" s="75">
        <v>0</v>
      </c>
      <c r="Q168" s="75"/>
      <c r="R168" s="84" t="s">
        <v>790</v>
      </c>
    </row>
    <row r="169" spans="1:23" ht="26.25" customHeight="1" x14ac:dyDescent="0.15">
      <c r="A169" s="61" t="s">
        <v>8</v>
      </c>
      <c r="B169" s="75">
        <v>2501</v>
      </c>
      <c r="C169" s="75">
        <v>25</v>
      </c>
      <c r="D169" s="75">
        <v>3</v>
      </c>
      <c r="E169" s="75">
        <v>0</v>
      </c>
      <c r="F169" s="76" t="s">
        <v>791</v>
      </c>
      <c r="G169" s="60" t="s">
        <v>792</v>
      </c>
      <c r="H169" s="75"/>
      <c r="I169" s="75"/>
      <c r="J169" s="75">
        <v>0</v>
      </c>
      <c r="K169" s="75">
        <v>2502</v>
      </c>
      <c r="M169" s="98"/>
      <c r="N169" s="75"/>
      <c r="O169" s="75">
        <v>1</v>
      </c>
      <c r="Q169" s="75"/>
      <c r="R169" s="81" t="s">
        <v>793</v>
      </c>
    </row>
    <row r="170" spans="1:23" ht="26.25" customHeight="1" x14ac:dyDescent="0.15">
      <c r="A170" s="57" t="s">
        <v>8</v>
      </c>
      <c r="B170" s="75">
        <v>2502</v>
      </c>
      <c r="C170" s="75">
        <v>25</v>
      </c>
      <c r="D170" s="75">
        <v>21</v>
      </c>
      <c r="E170" s="75">
        <v>0</v>
      </c>
      <c r="F170" s="75">
        <v>0.1</v>
      </c>
      <c r="G170" s="82" t="s">
        <v>794</v>
      </c>
      <c r="H170" s="76"/>
      <c r="I170" s="76" t="s">
        <v>856</v>
      </c>
      <c r="J170" s="85">
        <v>1</v>
      </c>
      <c r="K170" s="75">
        <v>2503</v>
      </c>
      <c r="L170" s="75"/>
      <c r="M170" s="98"/>
      <c r="N170" s="75"/>
      <c r="O170" s="75"/>
      <c r="R170" s="76" t="s">
        <v>795</v>
      </c>
      <c r="S170" s="75"/>
      <c r="T170" s="75"/>
      <c r="U170" s="75"/>
      <c r="V170" s="75"/>
      <c r="W170" s="75"/>
    </row>
    <row r="171" spans="1:23" ht="26.25" customHeight="1" x14ac:dyDescent="0.15">
      <c r="A171" s="57" t="s">
        <v>8</v>
      </c>
      <c r="B171" s="75">
        <v>2503</v>
      </c>
      <c r="C171" s="75">
        <v>25</v>
      </c>
      <c r="D171" s="75">
        <v>3</v>
      </c>
      <c r="E171" s="75">
        <v>0</v>
      </c>
      <c r="F171" s="76" t="s">
        <v>796</v>
      </c>
      <c r="G171" s="82" t="s">
        <v>797</v>
      </c>
      <c r="H171" s="76"/>
      <c r="I171" s="76"/>
      <c r="J171" s="75">
        <v>0</v>
      </c>
      <c r="K171" s="75">
        <v>2504</v>
      </c>
      <c r="L171" s="75"/>
      <c r="M171" s="98"/>
      <c r="N171" s="75"/>
      <c r="O171" s="75">
        <v>1</v>
      </c>
      <c r="R171" s="76" t="s">
        <v>798</v>
      </c>
      <c r="S171" s="75"/>
      <c r="T171" s="75"/>
      <c r="U171" s="75"/>
      <c r="V171" s="75"/>
      <c r="W171" s="75"/>
    </row>
    <row r="172" spans="1:23" ht="26.25" customHeight="1" x14ac:dyDescent="0.15">
      <c r="A172" s="57" t="s">
        <v>8</v>
      </c>
      <c r="B172" s="75">
        <v>2504</v>
      </c>
      <c r="C172" s="75">
        <v>25</v>
      </c>
      <c r="D172" s="75">
        <v>21</v>
      </c>
      <c r="E172" s="75">
        <v>0</v>
      </c>
      <c r="F172" s="75">
        <v>0.1</v>
      </c>
      <c r="G172" s="82" t="s">
        <v>799</v>
      </c>
      <c r="H172" s="76"/>
      <c r="I172" s="76" t="s">
        <v>800</v>
      </c>
      <c r="J172" s="78">
        <v>1</v>
      </c>
      <c r="K172" s="75">
        <v>2505</v>
      </c>
      <c r="L172" s="75"/>
      <c r="M172" s="98"/>
      <c r="N172" s="75"/>
      <c r="O172" s="75"/>
      <c r="R172" s="76" t="s">
        <v>801</v>
      </c>
      <c r="S172" s="75"/>
      <c r="T172" s="75"/>
      <c r="U172" s="75"/>
      <c r="V172" s="75"/>
      <c r="W172" s="75"/>
    </row>
    <row r="173" spans="1:23" ht="26.25" customHeight="1" x14ac:dyDescent="0.15">
      <c r="A173" s="61" t="s">
        <v>8</v>
      </c>
      <c r="B173" s="75">
        <v>2505</v>
      </c>
      <c r="C173" s="75">
        <v>25</v>
      </c>
      <c r="D173" s="75">
        <v>3</v>
      </c>
      <c r="E173" s="75">
        <v>0</v>
      </c>
      <c r="F173" s="76" t="s">
        <v>723</v>
      </c>
      <c r="G173" s="76" t="s">
        <v>802</v>
      </c>
      <c r="H173" s="75" t="s">
        <v>348</v>
      </c>
      <c r="I173" s="60" t="s">
        <v>803</v>
      </c>
      <c r="J173" s="75">
        <v>0</v>
      </c>
      <c r="K173" s="75"/>
      <c r="L173" s="75"/>
      <c r="M173" s="98" t="s">
        <v>348</v>
      </c>
      <c r="N173" s="75"/>
      <c r="O173" s="75">
        <v>1</v>
      </c>
      <c r="R173" s="76" t="s">
        <v>804</v>
      </c>
    </row>
    <row r="174" spans="1:23" ht="26.25" customHeight="1" x14ac:dyDescent="0.15">
      <c r="A174" s="61" t="s">
        <v>8</v>
      </c>
      <c r="B174" s="75">
        <v>2506</v>
      </c>
      <c r="C174" s="75">
        <v>25</v>
      </c>
      <c r="D174" s="75">
        <v>3</v>
      </c>
      <c r="E174" s="75">
        <v>0</v>
      </c>
      <c r="F174" s="76" t="s">
        <v>805</v>
      </c>
      <c r="G174" s="76" t="s">
        <v>806</v>
      </c>
      <c r="H174" s="75" t="s">
        <v>348</v>
      </c>
      <c r="J174" s="75">
        <v>0</v>
      </c>
      <c r="K174" s="75"/>
      <c r="L174" s="75"/>
      <c r="M174" s="98" t="s">
        <v>348</v>
      </c>
      <c r="N174" s="75"/>
      <c r="O174" s="75">
        <v>1</v>
      </c>
      <c r="R174" s="76" t="s">
        <v>807</v>
      </c>
    </row>
    <row r="178" spans="1:18" ht="26.25" customHeight="1" x14ac:dyDescent="0.15">
      <c r="A178" s="61" t="s">
        <v>8</v>
      </c>
      <c r="B178" s="60">
        <v>2600</v>
      </c>
      <c r="C178" s="60">
        <v>26</v>
      </c>
      <c r="D178" s="60">
        <v>3</v>
      </c>
      <c r="E178" s="60">
        <v>2</v>
      </c>
      <c r="F178" s="63" t="s">
        <v>808</v>
      </c>
      <c r="G178" s="60" t="s">
        <v>873</v>
      </c>
      <c r="H178" s="60" t="s">
        <v>809</v>
      </c>
      <c r="J178" s="60">
        <v>1</v>
      </c>
      <c r="K178" s="60">
        <v>2601</v>
      </c>
      <c r="M178" s="97" t="s">
        <v>920</v>
      </c>
      <c r="N178" s="75">
        <v>10040048</v>
      </c>
      <c r="O178" s="60">
        <v>1</v>
      </c>
    </row>
    <row r="179" spans="1:18" ht="26.25" customHeight="1" x14ac:dyDescent="0.15">
      <c r="A179" s="57" t="s">
        <v>8</v>
      </c>
      <c r="B179" s="60">
        <v>2601</v>
      </c>
      <c r="C179" s="60">
        <v>26</v>
      </c>
      <c r="D179" s="60">
        <v>3</v>
      </c>
      <c r="E179" s="60">
        <v>0</v>
      </c>
      <c r="F179" s="63" t="s">
        <v>836</v>
      </c>
      <c r="G179" s="60" t="s">
        <v>810</v>
      </c>
      <c r="J179" s="60">
        <v>1</v>
      </c>
      <c r="K179" s="60">
        <v>2602</v>
      </c>
      <c r="M179" s="97" t="s">
        <v>894</v>
      </c>
      <c r="N179" s="75">
        <v>10040049</v>
      </c>
      <c r="O179" s="60">
        <v>1</v>
      </c>
    </row>
    <row r="180" spans="1:18" ht="26.25" customHeight="1" x14ac:dyDescent="0.15">
      <c r="A180" s="57" t="s">
        <v>8</v>
      </c>
      <c r="B180" s="60">
        <v>2602</v>
      </c>
      <c r="C180" s="60">
        <v>26</v>
      </c>
      <c r="D180" s="60">
        <v>3</v>
      </c>
      <c r="E180" s="60">
        <v>0</v>
      </c>
      <c r="F180" s="63" t="s">
        <v>811</v>
      </c>
      <c r="G180" s="60" t="s">
        <v>812</v>
      </c>
      <c r="J180" s="60">
        <v>1</v>
      </c>
      <c r="K180" s="60">
        <v>2700</v>
      </c>
      <c r="M180" s="97"/>
      <c r="N180" s="75"/>
      <c r="O180" s="60">
        <v>1</v>
      </c>
    </row>
    <row r="183" spans="1:18" ht="26.25" customHeight="1" x14ac:dyDescent="0.15">
      <c r="A183" s="57" t="s">
        <v>8</v>
      </c>
      <c r="B183" s="75">
        <v>2700</v>
      </c>
      <c r="C183" s="75">
        <v>27</v>
      </c>
      <c r="D183" s="75">
        <v>3</v>
      </c>
      <c r="E183" s="75">
        <v>0</v>
      </c>
      <c r="F183" s="76" t="s">
        <v>813</v>
      </c>
      <c r="G183" s="76" t="s">
        <v>834</v>
      </c>
      <c r="H183" s="76" t="s">
        <v>814</v>
      </c>
      <c r="I183" s="75" t="s">
        <v>348</v>
      </c>
      <c r="J183" s="75">
        <v>1</v>
      </c>
      <c r="K183" s="75">
        <v>2701</v>
      </c>
      <c r="L183" s="58"/>
      <c r="M183" s="97" t="s">
        <v>917</v>
      </c>
      <c r="N183" s="75">
        <v>10040050</v>
      </c>
      <c r="O183" s="75">
        <v>1</v>
      </c>
      <c r="R183" s="75" t="s">
        <v>815</v>
      </c>
    </row>
    <row r="184" spans="1:18" ht="26.25" customHeight="1" x14ac:dyDescent="0.15">
      <c r="A184" s="57" t="s">
        <v>8</v>
      </c>
      <c r="B184" s="75">
        <v>2701</v>
      </c>
      <c r="C184" s="75">
        <v>27</v>
      </c>
      <c r="D184" s="75">
        <v>3</v>
      </c>
      <c r="E184" s="75">
        <v>0</v>
      </c>
      <c r="F184" s="76" t="s">
        <v>816</v>
      </c>
      <c r="G184" s="76" t="s">
        <v>817</v>
      </c>
      <c r="H184" s="75" t="s">
        <v>348</v>
      </c>
      <c r="I184" s="75" t="s">
        <v>348</v>
      </c>
      <c r="J184" s="75">
        <v>1</v>
      </c>
      <c r="K184" s="75">
        <v>2702</v>
      </c>
      <c r="L184" s="58"/>
      <c r="M184" s="98"/>
      <c r="N184" s="75"/>
      <c r="O184" s="75">
        <v>1</v>
      </c>
      <c r="R184" s="75" t="s">
        <v>818</v>
      </c>
    </row>
    <row r="185" spans="1:18" ht="26.25" customHeight="1" x14ac:dyDescent="0.15">
      <c r="A185" s="57" t="s">
        <v>8</v>
      </c>
      <c r="B185" s="75">
        <v>2702</v>
      </c>
      <c r="C185" s="75">
        <v>27</v>
      </c>
      <c r="D185" s="75">
        <v>2</v>
      </c>
      <c r="E185" s="75">
        <v>0</v>
      </c>
      <c r="F185" s="75" t="s">
        <v>819</v>
      </c>
      <c r="G185" s="75" t="s">
        <v>348</v>
      </c>
      <c r="H185" s="75" t="s">
        <v>348</v>
      </c>
      <c r="I185" s="75" t="s">
        <v>348</v>
      </c>
      <c r="J185" s="85">
        <v>1</v>
      </c>
      <c r="K185" s="75">
        <v>2703</v>
      </c>
      <c r="L185" s="58"/>
      <c r="M185" s="98" t="s">
        <v>592</v>
      </c>
      <c r="N185" s="75">
        <v>10040051</v>
      </c>
      <c r="O185" s="75"/>
      <c r="R185" s="75" t="s">
        <v>820</v>
      </c>
    </row>
    <row r="186" spans="1:18" ht="26.25" customHeight="1" x14ac:dyDescent="0.15">
      <c r="A186" s="57" t="s">
        <v>8</v>
      </c>
      <c r="B186" s="75">
        <v>2703</v>
      </c>
      <c r="C186" s="75">
        <v>27</v>
      </c>
      <c r="D186" s="75">
        <v>2</v>
      </c>
      <c r="E186" s="75">
        <v>2</v>
      </c>
      <c r="F186" s="75" t="s">
        <v>821</v>
      </c>
      <c r="G186" s="75" t="s">
        <v>822</v>
      </c>
      <c r="H186" s="75" t="s">
        <v>348</v>
      </c>
      <c r="I186" s="75" t="s">
        <v>348</v>
      </c>
      <c r="J186" s="75"/>
      <c r="K186" s="75">
        <v>2704</v>
      </c>
      <c r="M186" s="97" t="s">
        <v>895</v>
      </c>
      <c r="N186" s="75">
        <v>10040052</v>
      </c>
      <c r="O186" s="75"/>
      <c r="R186" s="75" t="s">
        <v>823</v>
      </c>
    </row>
    <row r="187" spans="1:18" ht="26.25" customHeight="1" x14ac:dyDescent="0.15">
      <c r="A187" s="57" t="s">
        <v>8</v>
      </c>
      <c r="B187" s="75">
        <v>2704</v>
      </c>
      <c r="C187" s="75">
        <v>27</v>
      </c>
      <c r="D187" s="75">
        <v>2</v>
      </c>
      <c r="E187" s="75">
        <v>0</v>
      </c>
      <c r="F187" s="75" t="s">
        <v>348</v>
      </c>
      <c r="G187" s="75" t="s">
        <v>348</v>
      </c>
      <c r="H187" s="75" t="s">
        <v>348</v>
      </c>
      <c r="I187" s="75" t="s">
        <v>348</v>
      </c>
      <c r="J187" s="75">
        <v>1</v>
      </c>
      <c r="K187" s="75">
        <v>2705</v>
      </c>
      <c r="M187" s="98" t="s">
        <v>592</v>
      </c>
      <c r="N187" s="75">
        <v>10040053</v>
      </c>
      <c r="O187" s="75"/>
      <c r="R187" s="75" t="s">
        <v>824</v>
      </c>
    </row>
    <row r="188" spans="1:18" ht="26.25" customHeight="1" x14ac:dyDescent="0.15">
      <c r="A188" s="57" t="s">
        <v>8</v>
      </c>
      <c r="B188" s="75">
        <v>2705</v>
      </c>
      <c r="C188" s="75">
        <v>27</v>
      </c>
      <c r="D188" s="75">
        <v>2</v>
      </c>
      <c r="E188" s="75">
        <v>0</v>
      </c>
      <c r="F188" s="75" t="s">
        <v>348</v>
      </c>
      <c r="G188" s="75" t="s">
        <v>348</v>
      </c>
      <c r="H188" s="75" t="s">
        <v>348</v>
      </c>
      <c r="I188" s="75" t="s">
        <v>348</v>
      </c>
      <c r="J188" s="75">
        <v>1</v>
      </c>
      <c r="K188" s="75">
        <v>2706</v>
      </c>
      <c r="M188" s="97" t="s">
        <v>896</v>
      </c>
      <c r="N188" s="75">
        <v>10040054</v>
      </c>
      <c r="O188" s="75">
        <v>1</v>
      </c>
      <c r="R188" s="75" t="s">
        <v>825</v>
      </c>
    </row>
    <row r="189" spans="1:18" ht="26.25" customHeight="1" x14ac:dyDescent="0.15">
      <c r="A189" s="57" t="s">
        <v>8</v>
      </c>
      <c r="B189" s="75">
        <v>2706</v>
      </c>
      <c r="C189" s="75">
        <v>27</v>
      </c>
      <c r="D189" s="75">
        <v>3</v>
      </c>
      <c r="E189" s="75">
        <v>0</v>
      </c>
      <c r="F189" s="75" t="s">
        <v>348</v>
      </c>
      <c r="G189" s="75" t="s">
        <v>348</v>
      </c>
      <c r="H189" s="75" t="s">
        <v>348</v>
      </c>
      <c r="I189" s="75" t="s">
        <v>348</v>
      </c>
      <c r="J189" s="75">
        <v>1</v>
      </c>
      <c r="K189" s="75">
        <v>2707</v>
      </c>
      <c r="M189" s="97" t="s">
        <v>918</v>
      </c>
      <c r="N189" s="75">
        <v>10040055</v>
      </c>
      <c r="O189" s="75">
        <v>1</v>
      </c>
      <c r="R189" s="75" t="s">
        <v>826</v>
      </c>
    </row>
    <row r="190" spans="1:18" ht="26.25" customHeight="1" x14ac:dyDescent="0.15">
      <c r="A190" s="57" t="s">
        <v>8</v>
      </c>
      <c r="B190" s="75">
        <v>2707</v>
      </c>
      <c r="C190" s="75">
        <v>27</v>
      </c>
      <c r="D190" s="75">
        <v>3</v>
      </c>
      <c r="E190" s="75">
        <v>0</v>
      </c>
      <c r="F190" s="76" t="s">
        <v>827</v>
      </c>
      <c r="G190" s="76" t="s">
        <v>835</v>
      </c>
      <c r="H190" s="75" t="s">
        <v>348</v>
      </c>
      <c r="I190" s="75" t="s">
        <v>348</v>
      </c>
      <c r="J190" s="75">
        <v>1</v>
      </c>
      <c r="K190" s="75">
        <v>2708</v>
      </c>
      <c r="L190" s="75"/>
      <c r="O190" s="75">
        <v>1</v>
      </c>
      <c r="R190" s="75" t="s">
        <v>828</v>
      </c>
    </row>
    <row r="191" spans="1:18" ht="26.25" customHeight="1" x14ac:dyDescent="0.15">
      <c r="A191" s="57" t="s">
        <v>8</v>
      </c>
      <c r="B191" s="75">
        <v>2708</v>
      </c>
      <c r="C191" s="75">
        <v>27</v>
      </c>
      <c r="D191" s="75">
        <v>3</v>
      </c>
      <c r="E191" s="75">
        <v>0</v>
      </c>
      <c r="F191" s="76" t="s">
        <v>829</v>
      </c>
      <c r="G191" s="76" t="s">
        <v>830</v>
      </c>
      <c r="H191" s="75" t="s">
        <v>348</v>
      </c>
      <c r="I191" s="75" t="s">
        <v>348</v>
      </c>
      <c r="J191" s="75">
        <v>1</v>
      </c>
      <c r="K191" s="75">
        <v>2709</v>
      </c>
      <c r="L191" s="75"/>
      <c r="O191" s="75">
        <v>1</v>
      </c>
      <c r="R191" s="75" t="s">
        <v>828</v>
      </c>
    </row>
    <row r="192" spans="1:18" ht="26.25" customHeight="1" x14ac:dyDescent="0.15">
      <c r="A192" s="57" t="s">
        <v>8</v>
      </c>
      <c r="B192" s="75">
        <v>2709</v>
      </c>
      <c r="C192" s="75">
        <v>27</v>
      </c>
      <c r="D192" s="75">
        <v>3</v>
      </c>
      <c r="E192" s="75">
        <v>0</v>
      </c>
      <c r="F192" s="75" t="s">
        <v>831</v>
      </c>
      <c r="G192" s="76" t="s">
        <v>832</v>
      </c>
      <c r="H192" s="75" t="s">
        <v>348</v>
      </c>
      <c r="I192" s="75" t="s">
        <v>348</v>
      </c>
      <c r="J192" s="75">
        <v>1</v>
      </c>
      <c r="K192" s="75"/>
      <c r="L192" s="75"/>
      <c r="O192" s="75">
        <v>1</v>
      </c>
      <c r="R192" s="75" t="s">
        <v>833</v>
      </c>
    </row>
    <row r="219" spans="1:18" ht="26.25" customHeight="1" x14ac:dyDescent="0.15">
      <c r="A219" s="57"/>
      <c r="B219" s="75">
        <v>1119</v>
      </c>
      <c r="C219" s="75">
        <v>22</v>
      </c>
      <c r="D219" s="75">
        <v>21</v>
      </c>
      <c r="E219" s="75">
        <v>2</v>
      </c>
      <c r="F219" s="75" t="s">
        <v>398</v>
      </c>
      <c r="G219" s="75" t="s">
        <v>392</v>
      </c>
      <c r="H219" s="75" t="s">
        <v>391</v>
      </c>
      <c r="I219" s="75"/>
      <c r="J219" s="75"/>
      <c r="K219" s="75">
        <v>1200</v>
      </c>
      <c r="L219" s="75"/>
      <c r="M219" s="75"/>
      <c r="N219" s="75"/>
      <c r="O219" s="75"/>
      <c r="Q219" s="75"/>
      <c r="R219" s="75" t="s">
        <v>399</v>
      </c>
    </row>
    <row r="220" spans="1:18" ht="26.25" customHeight="1" x14ac:dyDescent="0.15">
      <c r="A220" s="57"/>
      <c r="B220" s="75">
        <v>1200</v>
      </c>
      <c r="C220" s="75">
        <v>22</v>
      </c>
      <c r="D220" s="75">
        <v>3</v>
      </c>
      <c r="E220" s="75">
        <v>0</v>
      </c>
      <c r="F220" s="75" t="s">
        <v>348</v>
      </c>
      <c r="G220" s="75" t="s">
        <v>400</v>
      </c>
      <c r="H220" s="75"/>
      <c r="I220" s="75"/>
      <c r="J220" s="75">
        <v>1</v>
      </c>
      <c r="K220" s="75">
        <v>1201</v>
      </c>
      <c r="M220" s="75" t="s">
        <v>382</v>
      </c>
      <c r="N220" s="75">
        <v>10031001</v>
      </c>
      <c r="O220" s="75">
        <v>0</v>
      </c>
      <c r="Q220" s="75"/>
      <c r="R220" s="75" t="s">
        <v>401</v>
      </c>
    </row>
    <row r="221" spans="1:18" ht="26.25" customHeight="1" x14ac:dyDescent="0.15">
      <c r="A221" s="57"/>
      <c r="B221" s="75">
        <v>1201</v>
      </c>
      <c r="C221" s="75">
        <v>22</v>
      </c>
      <c r="D221" s="75">
        <v>3</v>
      </c>
      <c r="E221" s="75">
        <v>0</v>
      </c>
      <c r="F221" s="75"/>
      <c r="G221" s="75" t="s">
        <v>393</v>
      </c>
      <c r="H221" s="75"/>
      <c r="I221" s="75"/>
      <c r="J221" s="75">
        <v>1</v>
      </c>
      <c r="K221" s="75">
        <v>1202</v>
      </c>
      <c r="M221" s="75" t="s">
        <v>394</v>
      </c>
      <c r="N221" s="75">
        <v>10032001</v>
      </c>
      <c r="O221" s="75">
        <v>0</v>
      </c>
      <c r="Q221" s="75"/>
      <c r="R221" s="75" t="s">
        <v>335</v>
      </c>
    </row>
    <row r="222" spans="1:18" ht="26.25" customHeight="1" x14ac:dyDescent="0.15">
      <c r="A222" s="57"/>
      <c r="B222" s="75">
        <v>1202</v>
      </c>
      <c r="C222" s="75">
        <v>22</v>
      </c>
      <c r="D222" s="75">
        <v>3</v>
      </c>
      <c r="E222" s="75">
        <v>0</v>
      </c>
      <c r="F222" s="75"/>
      <c r="G222" s="75" t="s">
        <v>395</v>
      </c>
      <c r="H222" s="75" t="s">
        <v>348</v>
      </c>
      <c r="I222" s="75"/>
      <c r="J222" s="75">
        <v>1</v>
      </c>
      <c r="K222" s="75">
        <v>1500</v>
      </c>
      <c r="M222" s="75" t="s">
        <v>396</v>
      </c>
      <c r="N222" s="75">
        <v>10033001</v>
      </c>
      <c r="O222" s="75">
        <v>0</v>
      </c>
      <c r="Q222" s="75"/>
      <c r="R222" s="75" t="s">
        <v>397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64"/>
  <sheetViews>
    <sheetView workbookViewId="0">
      <pane ySplit="1" topLeftCell="A11" activePane="bottomLeft" state="frozen"/>
      <selection pane="bottomLeft" activeCell="B30" sqref="B30"/>
    </sheetView>
  </sheetViews>
  <sheetFormatPr defaultColWidth="9" defaultRowHeight="13.5" x14ac:dyDescent="0.15"/>
  <cols>
    <col min="1" max="1" width="10.625" style="6" customWidth="1"/>
    <col min="2" max="2" width="18.875" style="6" bestFit="1" customWidth="1"/>
    <col min="3" max="3" width="10.625" style="4" bestFit="1" customWidth="1"/>
    <col min="4" max="5" width="9" style="4"/>
    <col min="6" max="6" width="28.75" style="6" bestFit="1" customWidth="1"/>
    <col min="7" max="7" width="9" style="4"/>
    <col min="8" max="8" width="10.5" style="4" bestFit="1" customWidth="1"/>
    <col min="9" max="9" width="13.875" style="4" bestFit="1" customWidth="1"/>
    <col min="10" max="10" width="9" style="4"/>
    <col min="11" max="11" width="16.75" style="4" bestFit="1" customWidth="1"/>
    <col min="12" max="12" width="27.375" style="4" bestFit="1" customWidth="1"/>
    <col min="13" max="13" width="16.75" style="4" bestFit="1" customWidth="1"/>
    <col min="14" max="17" width="9" style="4"/>
    <col min="18" max="18" width="79.875" style="4" customWidth="1"/>
    <col min="19" max="16384" width="9" style="4"/>
  </cols>
  <sheetData>
    <row r="1" spans="1:12" ht="14.25" x14ac:dyDescent="0.15">
      <c r="A1" s="16" t="s">
        <v>107</v>
      </c>
      <c r="B1" s="16" t="s">
        <v>108</v>
      </c>
      <c r="C1" s="16"/>
      <c r="D1" s="16"/>
      <c r="E1" s="16" t="s">
        <v>109</v>
      </c>
      <c r="F1" s="16" t="s">
        <v>110</v>
      </c>
      <c r="H1" s="16" t="s">
        <v>111</v>
      </c>
      <c r="I1" s="16" t="s">
        <v>112</v>
      </c>
      <c r="K1" s="16" t="s">
        <v>113</v>
      </c>
      <c r="L1" s="16" t="s">
        <v>114</v>
      </c>
    </row>
    <row r="2" spans="1:12" ht="14.25" x14ac:dyDescent="0.15">
      <c r="A2" s="18">
        <v>2001</v>
      </c>
      <c r="B2" s="21" t="s">
        <v>115</v>
      </c>
      <c r="C2" s="21"/>
      <c r="D2" s="21"/>
      <c r="E2" s="44">
        <v>1001</v>
      </c>
      <c r="F2" s="45" t="s">
        <v>182</v>
      </c>
      <c r="H2" s="18">
        <v>1</v>
      </c>
      <c r="I2" s="21" t="s">
        <v>116</v>
      </c>
      <c r="K2" s="18" t="s">
        <v>117</v>
      </c>
      <c r="L2" s="21" t="s">
        <v>118</v>
      </c>
    </row>
    <row r="3" spans="1:12" ht="14.25" x14ac:dyDescent="0.15">
      <c r="A3" s="18">
        <v>2002</v>
      </c>
      <c r="B3" s="21" t="s">
        <v>119</v>
      </c>
      <c r="C3" s="21"/>
      <c r="D3" s="21"/>
      <c r="E3" s="44">
        <v>1002</v>
      </c>
      <c r="F3" s="45" t="s">
        <v>183</v>
      </c>
      <c r="H3" s="18">
        <v>2</v>
      </c>
      <c r="I3" s="21" t="s">
        <v>120</v>
      </c>
      <c r="K3" s="18"/>
      <c r="L3" s="21"/>
    </row>
    <row r="4" spans="1:12" ht="14.25" x14ac:dyDescent="0.15">
      <c r="A4" s="18">
        <v>2003</v>
      </c>
      <c r="B4" s="21" t="s">
        <v>121</v>
      </c>
      <c r="C4" s="21"/>
      <c r="D4" s="21"/>
      <c r="E4" s="44">
        <v>1003</v>
      </c>
      <c r="F4" s="45" t="s">
        <v>68</v>
      </c>
      <c r="H4" s="18">
        <v>3</v>
      </c>
      <c r="I4" s="21" t="s">
        <v>122</v>
      </c>
      <c r="K4" s="18" t="s">
        <v>123</v>
      </c>
      <c r="L4" s="21" t="s">
        <v>124</v>
      </c>
    </row>
    <row r="5" spans="1:12" ht="14.25" x14ac:dyDescent="0.15">
      <c r="A5" s="18">
        <v>2004</v>
      </c>
      <c r="B5" s="21" t="s">
        <v>125</v>
      </c>
      <c r="C5" s="21"/>
      <c r="D5" s="21"/>
      <c r="E5" s="44"/>
      <c r="F5" s="45"/>
      <c r="H5" s="18">
        <v>4</v>
      </c>
      <c r="I5" s="21" t="s">
        <v>126</v>
      </c>
    </row>
    <row r="6" spans="1:12" ht="14.25" x14ac:dyDescent="0.15">
      <c r="A6" s="18">
        <v>2005</v>
      </c>
      <c r="B6" s="21" t="s">
        <v>127</v>
      </c>
      <c r="C6" s="21"/>
      <c r="D6" s="21"/>
      <c r="E6" s="44">
        <v>1005</v>
      </c>
      <c r="F6" s="45" t="s">
        <v>69</v>
      </c>
      <c r="H6" s="18">
        <v>5</v>
      </c>
      <c r="I6" s="21" t="s">
        <v>128</v>
      </c>
    </row>
    <row r="7" spans="1:12" ht="14.25" x14ac:dyDescent="0.15">
      <c r="A7" s="18">
        <v>2006</v>
      </c>
      <c r="B7" s="21" t="s">
        <v>70</v>
      </c>
      <c r="C7" s="21"/>
      <c r="D7" s="21"/>
      <c r="E7" s="18">
        <v>1006</v>
      </c>
      <c r="F7" s="21" t="s">
        <v>71</v>
      </c>
      <c r="H7" s="18">
        <v>6</v>
      </c>
      <c r="I7" s="21" t="s">
        <v>129</v>
      </c>
    </row>
    <row r="8" spans="1:12" ht="14.25" x14ac:dyDescent="0.15">
      <c r="A8" s="18">
        <v>2007</v>
      </c>
      <c r="B8" s="21" t="s">
        <v>130</v>
      </c>
      <c r="C8" s="22"/>
      <c r="D8" s="22"/>
      <c r="E8" s="18">
        <v>1007</v>
      </c>
      <c r="F8" s="21" t="s">
        <v>184</v>
      </c>
      <c r="H8" s="18">
        <v>0</v>
      </c>
      <c r="I8" s="21" t="s">
        <v>131</v>
      </c>
    </row>
    <row r="9" spans="1:12" ht="14.25" x14ac:dyDescent="0.15">
      <c r="A9" s="18">
        <v>2008</v>
      </c>
      <c r="B9" s="22" t="s">
        <v>132</v>
      </c>
      <c r="C9" s="22"/>
      <c r="D9" s="22"/>
      <c r="E9" s="18">
        <v>1008</v>
      </c>
      <c r="F9" s="21" t="s">
        <v>470</v>
      </c>
    </row>
    <row r="10" spans="1:12" ht="14.25" x14ac:dyDescent="0.15">
      <c r="A10" s="18">
        <v>2009</v>
      </c>
      <c r="B10" s="6" t="s">
        <v>85</v>
      </c>
      <c r="C10" s="22"/>
      <c r="D10" s="22"/>
      <c r="E10" s="18">
        <v>1009</v>
      </c>
      <c r="F10" s="21" t="s">
        <v>185</v>
      </c>
    </row>
    <row r="11" spans="1:12" ht="14.25" x14ac:dyDescent="0.15">
      <c r="A11" s="18">
        <v>2010</v>
      </c>
      <c r="B11" s="6" t="s">
        <v>86</v>
      </c>
      <c r="C11" s="8"/>
      <c r="D11" s="8"/>
      <c r="E11" s="18">
        <v>1010</v>
      </c>
      <c r="F11" s="21" t="s">
        <v>72</v>
      </c>
    </row>
    <row r="12" spans="1:12" ht="14.25" x14ac:dyDescent="0.15">
      <c r="A12" s="18">
        <v>2011</v>
      </c>
      <c r="B12" s="22" t="s">
        <v>133</v>
      </c>
      <c r="C12" s="8"/>
      <c r="D12" s="8"/>
      <c r="E12" s="18">
        <v>1011</v>
      </c>
      <c r="F12" s="21" t="s">
        <v>73</v>
      </c>
    </row>
    <row r="13" spans="1:12" ht="14.25" x14ac:dyDescent="0.15">
      <c r="A13" s="18">
        <v>2012</v>
      </c>
      <c r="B13" s="4" t="s">
        <v>134</v>
      </c>
      <c r="C13" s="8"/>
      <c r="D13" s="8"/>
      <c r="E13" s="18">
        <v>1012</v>
      </c>
      <c r="F13" s="21" t="s">
        <v>186</v>
      </c>
    </row>
    <row r="14" spans="1:12" ht="14.25" x14ac:dyDescent="0.15">
      <c r="A14" s="18">
        <v>2013</v>
      </c>
      <c r="B14" s="4" t="s">
        <v>135</v>
      </c>
      <c r="C14" s="8"/>
      <c r="D14" s="8"/>
      <c r="E14" s="18">
        <v>1013</v>
      </c>
      <c r="F14" s="21" t="s">
        <v>187</v>
      </c>
    </row>
    <row r="15" spans="1:12" ht="14.25" x14ac:dyDescent="0.15">
      <c r="A15" s="18">
        <v>2014</v>
      </c>
      <c r="B15" s="4" t="s">
        <v>136</v>
      </c>
      <c r="C15" s="8"/>
      <c r="D15" s="8"/>
      <c r="E15" s="18">
        <v>1014</v>
      </c>
      <c r="F15" s="21" t="s">
        <v>137</v>
      </c>
    </row>
    <row r="16" spans="1:12" ht="14.25" x14ac:dyDescent="0.15">
      <c r="A16" s="18">
        <v>2015</v>
      </c>
      <c r="B16" s="4" t="s">
        <v>138</v>
      </c>
      <c r="C16" s="8"/>
      <c r="D16" s="8"/>
      <c r="E16" s="18">
        <v>1015</v>
      </c>
      <c r="F16" s="21" t="s">
        <v>139</v>
      </c>
    </row>
    <row r="17" spans="1:18" ht="14.25" x14ac:dyDescent="0.15">
      <c r="A17" s="18">
        <v>2016</v>
      </c>
      <c r="B17" s="4" t="s">
        <v>160</v>
      </c>
      <c r="C17" s="8"/>
      <c r="D17" s="8"/>
      <c r="E17" s="18">
        <v>1016</v>
      </c>
      <c r="F17" s="21" t="s">
        <v>140</v>
      </c>
    </row>
    <row r="18" spans="1:18" ht="14.25" x14ac:dyDescent="0.15">
      <c r="A18" s="18">
        <v>2017</v>
      </c>
      <c r="B18" s="4" t="s">
        <v>141</v>
      </c>
      <c r="C18" s="8"/>
      <c r="D18" s="8"/>
      <c r="E18" s="18">
        <v>1017</v>
      </c>
      <c r="F18" s="21" t="s">
        <v>188</v>
      </c>
    </row>
    <row r="19" spans="1:18" ht="14.25" x14ac:dyDescent="0.15">
      <c r="A19" s="18">
        <v>2018</v>
      </c>
      <c r="B19" s="4" t="s">
        <v>161</v>
      </c>
      <c r="C19" s="8"/>
      <c r="D19" s="8"/>
      <c r="E19" s="18">
        <v>1018</v>
      </c>
      <c r="F19" s="21" t="s">
        <v>189</v>
      </c>
    </row>
    <row r="20" spans="1:18" ht="14.25" x14ac:dyDescent="0.15">
      <c r="A20" s="18">
        <v>2019</v>
      </c>
      <c r="B20" s="6" t="s">
        <v>162</v>
      </c>
      <c r="C20" s="8"/>
      <c r="D20" s="8"/>
      <c r="E20" s="18">
        <v>1019</v>
      </c>
      <c r="F20" s="21" t="s">
        <v>190</v>
      </c>
    </row>
    <row r="21" spans="1:18" ht="14.25" x14ac:dyDescent="0.15">
      <c r="A21" s="18">
        <v>2020</v>
      </c>
      <c r="B21" s="46" t="s">
        <v>197</v>
      </c>
      <c r="C21" s="8"/>
      <c r="D21" s="8"/>
      <c r="E21" s="18">
        <v>1020</v>
      </c>
      <c r="F21" s="21" t="s">
        <v>191</v>
      </c>
      <c r="K21" s="16" t="s">
        <v>144</v>
      </c>
      <c r="L21" s="16" t="s">
        <v>142</v>
      </c>
      <c r="M21" s="16" t="s">
        <v>145</v>
      </c>
      <c r="N21" s="16" t="s">
        <v>146</v>
      </c>
      <c r="O21" s="16" t="s">
        <v>147</v>
      </c>
      <c r="P21" s="16" t="s">
        <v>148</v>
      </c>
      <c r="Q21" s="16" t="s">
        <v>149</v>
      </c>
    </row>
    <row r="22" spans="1:18" ht="14.25" x14ac:dyDescent="0.15">
      <c r="A22" s="18">
        <v>2021</v>
      </c>
      <c r="B22" s="46" t="s">
        <v>198</v>
      </c>
      <c r="C22" s="8"/>
      <c r="D22" s="8"/>
      <c r="E22" s="18">
        <v>1021</v>
      </c>
      <c r="F22" s="21" t="s">
        <v>192</v>
      </c>
      <c r="K22" s="16">
        <v>0</v>
      </c>
      <c r="L22" s="16">
        <v>0</v>
      </c>
      <c r="M22" s="16">
        <v>0</v>
      </c>
      <c r="N22" s="16"/>
      <c r="O22" s="16">
        <v>0</v>
      </c>
      <c r="P22" s="16"/>
      <c r="Q22" s="16"/>
    </row>
    <row r="23" spans="1:18" s="58" customFormat="1" ht="14.25" x14ac:dyDescent="0.15">
      <c r="A23" s="18">
        <v>2022</v>
      </c>
      <c r="B23" s="46" t="s">
        <v>471</v>
      </c>
      <c r="C23" s="8"/>
      <c r="D23" s="8"/>
      <c r="E23" s="18"/>
      <c r="F23" s="21"/>
      <c r="K23" s="16"/>
      <c r="L23" s="16"/>
      <c r="M23" s="16"/>
      <c r="N23" s="16"/>
      <c r="O23" s="16"/>
      <c r="P23" s="80"/>
      <c r="Q23" s="80"/>
    </row>
    <row r="24" spans="1:18" s="58" customFormat="1" ht="14.25" x14ac:dyDescent="0.15">
      <c r="A24" s="18">
        <v>2023</v>
      </c>
      <c r="B24" s="46" t="s">
        <v>472</v>
      </c>
      <c r="C24" s="8"/>
      <c r="D24" s="8"/>
      <c r="E24" s="18"/>
      <c r="F24" s="21"/>
      <c r="K24" s="16"/>
      <c r="L24" s="16"/>
      <c r="M24" s="16"/>
      <c r="N24" s="16"/>
      <c r="O24" s="16"/>
      <c r="P24" s="80"/>
      <c r="Q24" s="80"/>
    </row>
    <row r="25" spans="1:18" s="58" customFormat="1" ht="14.25" x14ac:dyDescent="0.15">
      <c r="A25" s="18">
        <v>2024</v>
      </c>
      <c r="B25" s="46" t="s">
        <v>928</v>
      </c>
      <c r="C25" s="8"/>
      <c r="D25" s="8"/>
      <c r="E25" s="18"/>
      <c r="F25" s="21"/>
      <c r="K25" s="16"/>
      <c r="L25" s="16"/>
      <c r="M25" s="16"/>
      <c r="N25" s="16"/>
      <c r="O25" s="16"/>
      <c r="P25" s="80"/>
      <c r="Q25" s="80"/>
    </row>
    <row r="26" spans="1:18" ht="14.25" x14ac:dyDescent="0.15">
      <c r="A26" s="18">
        <v>2025</v>
      </c>
      <c r="B26" s="6" t="s">
        <v>929</v>
      </c>
      <c r="C26" s="8"/>
      <c r="D26" s="8"/>
      <c r="E26" s="18">
        <v>1022</v>
      </c>
      <c r="F26" s="21" t="s">
        <v>193</v>
      </c>
      <c r="K26" s="19">
        <v>1</v>
      </c>
      <c r="L26" s="19">
        <v>101</v>
      </c>
      <c r="M26" s="19">
        <v>0</v>
      </c>
      <c r="N26" s="19">
        <v>2</v>
      </c>
      <c r="O26" s="19">
        <v>1</v>
      </c>
      <c r="P26" s="20">
        <v>3</v>
      </c>
      <c r="Q26" s="20">
        <v>1</v>
      </c>
      <c r="R26" s="4" t="s">
        <v>152</v>
      </c>
    </row>
    <row r="27" spans="1:18" ht="14.25" x14ac:dyDescent="0.15">
      <c r="C27" s="8"/>
      <c r="D27" s="8"/>
      <c r="E27" s="18">
        <v>1023</v>
      </c>
      <c r="F27" s="21" t="s">
        <v>194</v>
      </c>
      <c r="K27" s="4">
        <v>2</v>
      </c>
      <c r="L27" s="4">
        <v>102</v>
      </c>
      <c r="M27" s="4">
        <v>0</v>
      </c>
      <c r="N27" s="4">
        <v>2</v>
      </c>
      <c r="O27" s="4">
        <v>30</v>
      </c>
      <c r="P27" s="7">
        <v>1</v>
      </c>
      <c r="Q27" s="7"/>
      <c r="R27" s="4" t="s">
        <v>154</v>
      </c>
    </row>
    <row r="28" spans="1:18" ht="14.25" x14ac:dyDescent="0.15">
      <c r="A28" s="18">
        <v>2050</v>
      </c>
      <c r="B28" s="6" t="s">
        <v>163</v>
      </c>
      <c r="C28" s="8"/>
      <c r="D28" s="8"/>
      <c r="E28" s="18">
        <v>1024</v>
      </c>
      <c r="F28" s="21" t="s">
        <v>195</v>
      </c>
      <c r="K28" s="4">
        <v>3</v>
      </c>
      <c r="L28" s="4">
        <v>103</v>
      </c>
      <c r="M28" s="4">
        <v>0</v>
      </c>
      <c r="N28" s="4">
        <v>4</v>
      </c>
      <c r="O28" s="4">
        <v>2</v>
      </c>
      <c r="P28" s="7">
        <v>1</v>
      </c>
      <c r="Q28" s="7"/>
      <c r="R28" s="4" t="s">
        <v>156</v>
      </c>
    </row>
    <row r="29" spans="1:18" ht="14.25" x14ac:dyDescent="0.15">
      <c r="A29" s="18">
        <v>2100</v>
      </c>
      <c r="B29" s="6" t="s">
        <v>164</v>
      </c>
      <c r="D29" s="8"/>
      <c r="E29" s="18">
        <v>1025</v>
      </c>
      <c r="F29" s="46" t="s">
        <v>207</v>
      </c>
      <c r="K29" s="4">
        <v>3</v>
      </c>
      <c r="L29" s="4">
        <v>101</v>
      </c>
      <c r="M29" s="4">
        <v>0</v>
      </c>
      <c r="N29" s="4">
        <v>2</v>
      </c>
      <c r="O29" s="4">
        <v>1</v>
      </c>
      <c r="P29" s="7">
        <v>3</v>
      </c>
      <c r="Q29" s="7">
        <v>2</v>
      </c>
      <c r="R29" s="4" t="s">
        <v>157</v>
      </c>
    </row>
    <row r="30" spans="1:18" ht="14.25" x14ac:dyDescent="0.15">
      <c r="A30" s="18">
        <v>2101</v>
      </c>
      <c r="B30" s="6" t="s">
        <v>165</v>
      </c>
      <c r="D30" s="8"/>
      <c r="E30" s="18">
        <v>1026</v>
      </c>
      <c r="F30" s="6" t="s">
        <v>310</v>
      </c>
    </row>
    <row r="31" spans="1:18" ht="14.25" x14ac:dyDescent="0.15">
      <c r="A31" s="18">
        <v>2102</v>
      </c>
      <c r="B31" s="6" t="s">
        <v>166</v>
      </c>
      <c r="D31" s="8"/>
      <c r="E31" s="18">
        <v>1027</v>
      </c>
      <c r="F31" s="21" t="s">
        <v>309</v>
      </c>
    </row>
    <row r="32" spans="1:18" ht="14.25" x14ac:dyDescent="0.15">
      <c r="A32" s="18">
        <v>2103</v>
      </c>
      <c r="B32" s="6" t="s">
        <v>167</v>
      </c>
      <c r="D32" s="8"/>
      <c r="E32" s="18">
        <v>1028</v>
      </c>
      <c r="F32" s="6" t="s">
        <v>311</v>
      </c>
    </row>
    <row r="33" spans="1:6" ht="14.25" x14ac:dyDescent="0.15">
      <c r="A33" s="18">
        <v>2104</v>
      </c>
      <c r="B33" s="4" t="s">
        <v>325</v>
      </c>
      <c r="E33" s="18">
        <v>1029</v>
      </c>
      <c r="F33" s="6" t="s">
        <v>312</v>
      </c>
    </row>
    <row r="34" spans="1:6" ht="14.25" x14ac:dyDescent="0.15">
      <c r="A34" s="18">
        <v>2105</v>
      </c>
      <c r="B34" s="6" t="s">
        <v>326</v>
      </c>
      <c r="E34" s="18">
        <v>1030</v>
      </c>
      <c r="F34" s="6" t="s">
        <v>313</v>
      </c>
    </row>
    <row r="35" spans="1:6" ht="14.25" x14ac:dyDescent="0.15">
      <c r="A35" s="18">
        <v>2106</v>
      </c>
      <c r="B35" s="6" t="s">
        <v>327</v>
      </c>
      <c r="E35" s="18">
        <v>1031</v>
      </c>
      <c r="F35" s="6" t="s">
        <v>314</v>
      </c>
    </row>
    <row r="36" spans="1:6" ht="14.25" x14ac:dyDescent="0.15">
      <c r="A36" s="18">
        <v>2107</v>
      </c>
      <c r="B36" s="6" t="s">
        <v>328</v>
      </c>
      <c r="E36" s="18">
        <v>1032</v>
      </c>
      <c r="F36" s="6" t="s">
        <v>315</v>
      </c>
    </row>
    <row r="37" spans="1:6" ht="14.25" x14ac:dyDescent="0.15">
      <c r="A37" s="18">
        <v>2108</v>
      </c>
      <c r="B37" s="6" t="s">
        <v>329</v>
      </c>
      <c r="E37" s="18">
        <v>1033</v>
      </c>
      <c r="F37" s="6" t="s">
        <v>319</v>
      </c>
    </row>
    <row r="38" spans="1:6" ht="14.25" x14ac:dyDescent="0.15">
      <c r="A38" s="18">
        <v>2109</v>
      </c>
      <c r="B38" s="6" t="s">
        <v>330</v>
      </c>
      <c r="E38" s="18">
        <v>1034</v>
      </c>
      <c r="F38" s="6" t="s">
        <v>320</v>
      </c>
    </row>
    <row r="39" spans="1:6" ht="14.25" x14ac:dyDescent="0.15">
      <c r="A39" s="18">
        <v>2110</v>
      </c>
      <c r="B39" s="60" t="s">
        <v>463</v>
      </c>
      <c r="E39" s="18">
        <v>1035</v>
      </c>
      <c r="F39" s="6" t="s">
        <v>321</v>
      </c>
    </row>
    <row r="40" spans="1:6" ht="14.25" x14ac:dyDescent="0.15">
      <c r="A40" s="18">
        <v>2111</v>
      </c>
      <c r="B40" s="79" t="s">
        <v>464</v>
      </c>
      <c r="E40" s="18">
        <v>1036</v>
      </c>
      <c r="F40" s="6" t="s">
        <v>322</v>
      </c>
    </row>
    <row r="41" spans="1:6" ht="14.25" x14ac:dyDescent="0.15">
      <c r="A41" s="18">
        <v>2112</v>
      </c>
      <c r="B41" s="79" t="s">
        <v>465</v>
      </c>
      <c r="E41" s="18">
        <v>1037</v>
      </c>
      <c r="F41" s="6" t="s">
        <v>323</v>
      </c>
    </row>
    <row r="42" spans="1:6" ht="14.25" x14ac:dyDescent="0.15">
      <c r="A42" s="18">
        <v>2113</v>
      </c>
      <c r="B42" s="6" t="s">
        <v>485</v>
      </c>
      <c r="E42" s="18">
        <v>1038</v>
      </c>
      <c r="F42" s="6" t="s">
        <v>324</v>
      </c>
    </row>
    <row r="43" spans="1:6" ht="14.25" x14ac:dyDescent="0.15">
      <c r="E43" s="18">
        <v>1039</v>
      </c>
      <c r="F43" s="6" t="s">
        <v>331</v>
      </c>
    </row>
    <row r="44" spans="1:6" ht="14.25" x14ac:dyDescent="0.15">
      <c r="A44" s="16" t="s">
        <v>142</v>
      </c>
      <c r="B44" s="16" t="s">
        <v>143</v>
      </c>
      <c r="E44" s="18">
        <v>1040</v>
      </c>
      <c r="F44" s="46" t="s">
        <v>466</v>
      </c>
    </row>
    <row r="45" spans="1:6" ht="14.25" x14ac:dyDescent="0.15">
      <c r="A45" s="6">
        <v>101</v>
      </c>
      <c r="B45" s="4" t="s">
        <v>150</v>
      </c>
      <c r="C45" s="8"/>
      <c r="E45" s="18">
        <v>1041</v>
      </c>
      <c r="F45" s="46" t="s">
        <v>467</v>
      </c>
    </row>
    <row r="46" spans="1:6" ht="14.25" x14ac:dyDescent="0.15">
      <c r="A46" s="6">
        <v>102</v>
      </c>
      <c r="B46" s="4" t="s">
        <v>151</v>
      </c>
      <c r="C46" s="8"/>
      <c r="E46" s="18">
        <v>1042</v>
      </c>
      <c r="F46" s="46" t="s">
        <v>468</v>
      </c>
    </row>
    <row r="47" spans="1:6" ht="14.25" x14ac:dyDescent="0.15">
      <c r="A47" s="6">
        <v>103</v>
      </c>
      <c r="B47" s="4" t="s">
        <v>153</v>
      </c>
      <c r="E47" s="18">
        <v>1043</v>
      </c>
      <c r="F47" s="6" t="s">
        <v>469</v>
      </c>
    </row>
    <row r="48" spans="1:6" x14ac:dyDescent="0.15">
      <c r="A48" s="6">
        <v>104</v>
      </c>
      <c r="B48" s="4" t="s">
        <v>155</v>
      </c>
      <c r="E48" s="4">
        <v>1044</v>
      </c>
      <c r="F48" s="6" t="s">
        <v>473</v>
      </c>
    </row>
    <row r="49" spans="1:18" x14ac:dyDescent="0.15">
      <c r="E49" s="4">
        <v>1046</v>
      </c>
      <c r="F49" s="6" t="s">
        <v>925</v>
      </c>
    </row>
    <row r="50" spans="1:18" x14ac:dyDescent="0.15">
      <c r="E50" s="4">
        <v>1047</v>
      </c>
      <c r="F50" s="6" t="s">
        <v>926</v>
      </c>
    </row>
    <row r="51" spans="1:18" x14ac:dyDescent="0.15">
      <c r="E51" s="4">
        <v>1048</v>
      </c>
      <c r="F51" s="6" t="s">
        <v>927</v>
      </c>
    </row>
    <row r="61" spans="1:18" s="35" customFormat="1" ht="26.25" customHeight="1" x14ac:dyDescent="0.15">
      <c r="A61" s="61" t="s">
        <v>8</v>
      </c>
      <c r="B61" s="75">
        <v>1</v>
      </c>
      <c r="C61" s="75">
        <v>1</v>
      </c>
      <c r="D61" s="75">
        <v>4</v>
      </c>
      <c r="E61" s="75">
        <v>1</v>
      </c>
      <c r="F61" s="75" t="s">
        <v>339</v>
      </c>
      <c r="G61" s="76" t="s">
        <v>343</v>
      </c>
      <c r="H61" s="62"/>
      <c r="I61" s="62"/>
      <c r="J61" s="75"/>
      <c r="K61" s="75">
        <v>3</v>
      </c>
      <c r="L61" s="65"/>
      <c r="M61" s="58"/>
      <c r="N61" s="77"/>
      <c r="O61" s="77"/>
      <c r="P61" s="62"/>
      <c r="Q61" s="56"/>
      <c r="R61" s="76" t="s">
        <v>342</v>
      </c>
    </row>
    <row r="62" spans="1:18" s="35" customFormat="1" ht="26.25" customHeight="1" x14ac:dyDescent="0.15">
      <c r="A62" s="61" t="s">
        <v>8</v>
      </c>
      <c r="B62" s="75">
        <v>3</v>
      </c>
      <c r="C62" s="75">
        <v>3</v>
      </c>
      <c r="D62" s="75">
        <v>4</v>
      </c>
      <c r="E62" s="75">
        <v>0</v>
      </c>
      <c r="F62" s="75" t="s">
        <v>340</v>
      </c>
      <c r="G62" s="76" t="s">
        <v>344</v>
      </c>
      <c r="H62" s="58"/>
      <c r="I62" s="58"/>
      <c r="J62" s="75"/>
      <c r="K62" s="75">
        <v>4</v>
      </c>
      <c r="L62" s="62"/>
      <c r="M62" s="65"/>
      <c r="N62" s="65"/>
      <c r="O62" s="65"/>
      <c r="P62" s="60">
        <v>1</v>
      </c>
      <c r="Q62" s="56"/>
      <c r="R62" s="75" t="s">
        <v>341</v>
      </c>
    </row>
    <row r="63" spans="1:18" s="35" customFormat="1" ht="26.25" customHeight="1" x14ac:dyDescent="0.15">
      <c r="A63" s="61" t="s">
        <v>8</v>
      </c>
      <c r="B63" s="75">
        <v>4</v>
      </c>
      <c r="C63" s="75">
        <v>3</v>
      </c>
      <c r="D63" s="75">
        <v>3</v>
      </c>
      <c r="E63" s="75">
        <v>0</v>
      </c>
      <c r="F63" s="75" t="s">
        <v>336</v>
      </c>
      <c r="G63" s="76" t="s">
        <v>345</v>
      </c>
      <c r="H63" s="58"/>
      <c r="I63" s="58"/>
      <c r="J63" s="75">
        <v>1</v>
      </c>
      <c r="K63" s="75">
        <v>8</v>
      </c>
      <c r="L63" s="62"/>
      <c r="M63" s="75" t="s">
        <v>337</v>
      </c>
      <c r="N63" s="75">
        <v>10001001</v>
      </c>
      <c r="O63" s="75">
        <v>1</v>
      </c>
      <c r="P63" s="75"/>
      <c r="Q63" s="56"/>
      <c r="R63" s="75" t="s">
        <v>208</v>
      </c>
    </row>
    <row r="64" spans="1:18" s="35" customFormat="1" ht="26.25" customHeight="1" x14ac:dyDescent="0.15">
      <c r="A64" s="61" t="s">
        <v>28</v>
      </c>
      <c r="B64" s="75">
        <v>8</v>
      </c>
      <c r="C64" s="75">
        <v>3</v>
      </c>
      <c r="D64" s="75">
        <v>20</v>
      </c>
      <c r="E64" s="75">
        <v>1</v>
      </c>
      <c r="F64" s="75" t="s">
        <v>338</v>
      </c>
      <c r="G64" s="76" t="s">
        <v>346</v>
      </c>
      <c r="H64" s="62"/>
      <c r="I64" s="62"/>
      <c r="J64" s="75"/>
      <c r="K64" s="75">
        <v>1001</v>
      </c>
      <c r="L64" s="62"/>
      <c r="M64" s="58"/>
      <c r="N64" s="77"/>
      <c r="O64" s="77"/>
      <c r="P64" s="62"/>
      <c r="Q64" s="56"/>
      <c r="R64" s="75" t="s">
        <v>333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INDEX</vt:lpstr>
      <vt:lpstr>DailyTrustTaskInfo</vt:lpstr>
      <vt:lpstr>TaskInfo</vt:lpstr>
      <vt:lpstr>SevenDaysTask</vt:lpstr>
      <vt:lpstr>GuideTaskAward</vt:lpstr>
      <vt:lpstr>GuideTaskChain</vt:lpstr>
      <vt:lpstr>TaskAcceptLimit</vt:lpstr>
      <vt:lpstr>DailyActive</vt:lpstr>
      <vt:lpstr>Guide</vt:lpstr>
      <vt:lpstr>任务相关说明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kk</cp:lastModifiedBy>
  <dcterms:created xsi:type="dcterms:W3CDTF">2015-12-31T17:39:00Z</dcterms:created>
  <dcterms:modified xsi:type="dcterms:W3CDTF">2020-03-17T06:46:04Z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