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文件夹\配置数据\Dev\DataConfig\China\"/>
    </mc:Choice>
  </mc:AlternateContent>
  <bookViews>
    <workbookView xWindow="8670" yWindow="0" windowWidth="23040" windowHeight="8970" tabRatio="856" firstSheet="1" activeTab="14"/>
  </bookViews>
  <sheets>
    <sheet name="INDEX" sheetId="1" r:id="rId1"/>
    <sheet name="Storage" sheetId="25" r:id="rId2"/>
    <sheet name="ProductCapacity" sheetId="47" r:id="rId3"/>
    <sheet name="BuildingUnlock" sheetId="55" r:id="rId4"/>
    <sheet name="ProductBuild" sheetId="21" r:id="rId5"/>
    <sheet name="Decorated" sheetId="24" r:id="rId6"/>
    <sheet name="WorkListDilatation" sheetId="34" r:id="rId7"/>
    <sheet name="Formulation" sheetId="51" r:id="rId8"/>
    <sheet name="PetShopCfg" sheetId="12" r:id="rId9"/>
    <sheet name="WharfLvl" sheetId="45" r:id="rId10"/>
    <sheet name="Ship" sheetId="44" r:id="rId11"/>
    <sheet name="BuildBaseCfg" sheetId="48" r:id="rId12"/>
    <sheet name="ProductLog" sheetId="49" r:id="rId13"/>
    <sheet name="BuyItemCfg" sheetId="50" r:id="rId14"/>
    <sheet name="MapLock" sheetId="53" r:id="rId15"/>
    <sheet name="WorkPlantCfg" sheetId="54" r:id="rId16"/>
  </sheets>
  <functionGroups builtInGroupCount="18"/>
  <definedNames>
    <definedName name="_xlnm._FilterDatabase" localSheetId="0" hidden="1">INDEX!$A$2:$F$17</definedName>
  </definedNames>
  <calcPr calcId="162913"/>
</workbook>
</file>

<file path=xl/calcChain.xml><?xml version="1.0" encoding="utf-8"?>
<calcChain xmlns="http://schemas.openxmlformats.org/spreadsheetml/2006/main">
  <c r="I6" i="53" l="1"/>
  <c r="H6" i="53"/>
  <c r="B8" i="54" l="1"/>
  <c r="F6" i="54"/>
  <c r="E6" i="54"/>
  <c r="B6" i="54"/>
  <c r="H5" i="54"/>
  <c r="H6" i="54" s="1"/>
  <c r="G5" i="54"/>
  <c r="G6" i="54" s="1"/>
  <c r="E5" i="54"/>
  <c r="D5" i="54"/>
  <c r="D6" i="54" s="1"/>
  <c r="C5" i="54"/>
  <c r="C6" i="54" s="1"/>
  <c r="B5" i="54"/>
  <c r="B8" i="53"/>
  <c r="G6" i="53"/>
  <c r="F6" i="53"/>
  <c r="E6" i="53"/>
  <c r="D6" i="53"/>
  <c r="B6" i="53"/>
  <c r="G5" i="53"/>
  <c r="C5" i="53"/>
  <c r="C6" i="53" s="1"/>
  <c r="B5" i="53"/>
  <c r="B8" i="50"/>
  <c r="F6" i="50"/>
  <c r="D6" i="50"/>
  <c r="C6" i="50"/>
  <c r="E5" i="50"/>
  <c r="E6" i="50" s="1"/>
  <c r="C5" i="50"/>
  <c r="B5" i="50"/>
  <c r="B6" i="50" s="1"/>
  <c r="B8" i="49"/>
  <c r="C6" i="49"/>
  <c r="D5" i="49"/>
  <c r="D6" i="49" s="1"/>
  <c r="B5" i="49"/>
  <c r="B6" i="49" s="1"/>
  <c r="B8" i="48"/>
  <c r="K5" i="48"/>
  <c r="K6" i="48" s="1"/>
  <c r="J5" i="48"/>
  <c r="J6" i="48" s="1"/>
  <c r="I5" i="48"/>
  <c r="I6" i="48" s="1"/>
  <c r="F5" i="48"/>
  <c r="F6" i="48" s="1"/>
  <c r="E5" i="48"/>
  <c r="E6" i="48" s="1"/>
  <c r="D5" i="48"/>
  <c r="D6" i="48" s="1"/>
  <c r="C5" i="48"/>
  <c r="C6" i="48" s="1"/>
  <c r="B5" i="48"/>
  <c r="B6" i="48" s="1"/>
  <c r="B8" i="44"/>
  <c r="I6" i="44"/>
  <c r="H6" i="44"/>
  <c r="G6" i="44"/>
  <c r="F6" i="44"/>
  <c r="E6" i="44"/>
  <c r="D6" i="44"/>
  <c r="C5" i="44"/>
  <c r="C6" i="44" s="1"/>
  <c r="B5" i="44"/>
  <c r="B6" i="44" s="1"/>
  <c r="B8" i="45"/>
  <c r="E6" i="45"/>
  <c r="D6" i="45"/>
  <c r="C6" i="45"/>
  <c r="B6" i="45"/>
  <c r="B5" i="45"/>
  <c r="B8" i="12"/>
  <c r="D5" i="12"/>
  <c r="D6" i="12" s="1"/>
  <c r="C5" i="12"/>
  <c r="C6" i="12" s="1"/>
  <c r="B5" i="12"/>
  <c r="B6" i="12" s="1"/>
  <c r="B8" i="51"/>
  <c r="V5" i="51"/>
  <c r="V6" i="51" s="1"/>
  <c r="U5" i="51"/>
  <c r="U6" i="51" s="1"/>
  <c r="T5" i="51"/>
  <c r="T6" i="51" s="1"/>
  <c r="S5" i="51"/>
  <c r="S6" i="51" s="1"/>
  <c r="R5" i="51"/>
  <c r="R6" i="51" s="1"/>
  <c r="Q5" i="51"/>
  <c r="Q6" i="51" s="1"/>
  <c r="P5" i="51"/>
  <c r="P6" i="51" s="1"/>
  <c r="O5" i="51"/>
  <c r="O6" i="51" s="1"/>
  <c r="N5" i="51"/>
  <c r="N6" i="51" s="1"/>
  <c r="M5" i="51"/>
  <c r="M6" i="51" s="1"/>
  <c r="L5" i="51"/>
  <c r="L6" i="51" s="1"/>
  <c r="J5" i="51"/>
  <c r="J6" i="51" s="1"/>
  <c r="I5" i="51"/>
  <c r="I6" i="51" s="1"/>
  <c r="H5" i="51"/>
  <c r="H6" i="51" s="1"/>
  <c r="G5" i="51"/>
  <c r="G6" i="51" s="1"/>
  <c r="F5" i="51"/>
  <c r="F6" i="51" s="1"/>
  <c r="E5" i="51"/>
  <c r="E6" i="51" s="1"/>
  <c r="D5" i="51"/>
  <c r="D6" i="51" s="1"/>
  <c r="C5" i="51"/>
  <c r="C6" i="51" s="1"/>
  <c r="B5" i="51"/>
  <c r="B6" i="51" s="1"/>
  <c r="E5" i="34"/>
  <c r="E6" i="34" s="1"/>
  <c r="D5" i="34"/>
  <c r="D6" i="34" s="1"/>
  <c r="C5" i="34"/>
  <c r="C6" i="34" s="1"/>
  <c r="B5" i="34"/>
  <c r="B6" i="34" s="1"/>
  <c r="B8" i="24"/>
  <c r="M6" i="24"/>
  <c r="K6" i="24"/>
  <c r="J6" i="24"/>
  <c r="G6" i="24"/>
  <c r="F6" i="24"/>
  <c r="C6" i="24"/>
  <c r="B6" i="24"/>
  <c r="L5" i="24"/>
  <c r="L6" i="24" s="1"/>
  <c r="K5" i="24"/>
  <c r="J5" i="24"/>
  <c r="I5" i="24"/>
  <c r="I6" i="24" s="1"/>
  <c r="H5" i="24"/>
  <c r="H6" i="24" s="1"/>
  <c r="G5" i="24"/>
  <c r="F5" i="24"/>
  <c r="E5" i="24"/>
  <c r="E6" i="24" s="1"/>
  <c r="D5" i="24"/>
  <c r="D6" i="24" s="1"/>
  <c r="C5" i="24"/>
  <c r="B5" i="24"/>
  <c r="B8" i="21"/>
  <c r="P6" i="21"/>
  <c r="L6" i="21"/>
  <c r="J6" i="21"/>
  <c r="G6" i="21"/>
  <c r="F6" i="21"/>
  <c r="C6" i="21"/>
  <c r="B6" i="21"/>
  <c r="P5" i="21"/>
  <c r="O5" i="21"/>
  <c r="O6" i="21" s="1"/>
  <c r="N5" i="21"/>
  <c r="N6" i="21" s="1"/>
  <c r="L5" i="21"/>
  <c r="J5" i="21"/>
  <c r="I5" i="21"/>
  <c r="I6" i="21" s="1"/>
  <c r="H5" i="21"/>
  <c r="H6" i="21" s="1"/>
  <c r="G5" i="21"/>
  <c r="F5" i="21"/>
  <c r="E5" i="21"/>
  <c r="E6" i="21" s="1"/>
  <c r="D5" i="21"/>
  <c r="D6" i="21" s="1"/>
  <c r="C5" i="21"/>
  <c r="B5" i="21"/>
  <c r="B8" i="55"/>
  <c r="I5" i="55"/>
  <c r="I6" i="55" s="1"/>
  <c r="H5" i="55"/>
  <c r="H6" i="55" s="1"/>
  <c r="G5" i="55"/>
  <c r="G6" i="55" s="1"/>
  <c r="F5" i="55"/>
  <c r="F6" i="55" s="1"/>
  <c r="E5" i="55"/>
  <c r="E6" i="55" s="1"/>
  <c r="D5" i="55"/>
  <c r="D6" i="55" s="1"/>
  <c r="C5" i="55"/>
  <c r="C6" i="55" s="1"/>
  <c r="B5" i="55"/>
  <c r="B6" i="55" s="1"/>
  <c r="B8" i="47"/>
  <c r="F6" i="47"/>
  <c r="C6" i="47"/>
  <c r="B6" i="47"/>
  <c r="F5" i="47"/>
  <c r="E5" i="47"/>
  <c r="E6" i="47" s="1"/>
  <c r="D5" i="47"/>
  <c r="D6" i="47" s="1"/>
  <c r="C5" i="47"/>
  <c r="B5" i="47"/>
  <c r="B8" i="25"/>
  <c r="H6" i="25"/>
  <c r="E6" i="25"/>
  <c r="D6" i="25"/>
  <c r="H5" i="25"/>
  <c r="G5" i="25"/>
  <c r="G6" i="25" s="1"/>
  <c r="F5" i="25"/>
  <c r="F6" i="25" s="1"/>
  <c r="E5" i="25"/>
  <c r="D5" i="25"/>
  <c r="C5" i="25"/>
  <c r="C6" i="25" s="1"/>
  <c r="B5" i="25"/>
  <c r="B6" i="25" s="1"/>
</calcChain>
</file>

<file path=xl/comments1.xml><?xml version="1.0" encoding="utf-8"?>
<comments xmlns="http://schemas.openxmlformats.org/spreadsheetml/2006/main">
  <authors>
    <author>zouyang</author>
  </authors>
  <commentList>
    <comment ref="E7" authorId="0" shapeId="0">
      <text>
        <r>
          <rPr>
            <b/>
            <sz val="9"/>
            <rFont val="宋体"/>
            <family val="3"/>
            <charset val="134"/>
          </rPr>
          <t>zouyang:</t>
        </r>
        <r>
          <rPr>
            <sz val="9"/>
            <rFont val="宋体"/>
            <family val="3"/>
            <charset val="134"/>
          </rPr>
          <t xml:space="preserve">
属于什么类型的装扮
</t>
        </r>
      </text>
    </comment>
    <comment ref="F7" authorId="0" shapeId="0">
      <text>
        <r>
          <rPr>
            <b/>
            <sz val="9"/>
            <rFont val="宋体"/>
            <family val="3"/>
            <charset val="134"/>
          </rPr>
          <t>zouyang:</t>
        </r>
        <r>
          <rPr>
            <sz val="9"/>
            <rFont val="宋体"/>
            <family val="3"/>
            <charset val="134"/>
          </rPr>
          <t xml:space="preserve">
1：凉亭
2：草地
3：盆栽</t>
        </r>
      </text>
    </comment>
  </commentList>
</comments>
</file>

<file path=xl/comments2.xml><?xml version="1.0" encoding="utf-8"?>
<comments xmlns="http://schemas.openxmlformats.org/spreadsheetml/2006/main">
  <authors>
    <author>zouyang</author>
  </authors>
  <commentList>
    <comment ref="F7" authorId="0" shapeId="0">
      <text>
        <r>
          <rPr>
            <b/>
            <sz val="9"/>
            <rFont val="宋体"/>
            <family val="3"/>
            <charset val="134"/>
          </rPr>
          <t>zouyang:</t>
        </r>
        <r>
          <rPr>
            <sz val="9"/>
            <rFont val="宋体"/>
            <family val="3"/>
            <charset val="134"/>
          </rPr>
          <t xml:space="preserve">
对应BackHintType</t>
        </r>
      </text>
    </comment>
  </commentList>
</comments>
</file>

<file path=xl/sharedStrings.xml><?xml version="1.0" encoding="utf-8"?>
<sst xmlns="http://schemas.openxmlformats.org/spreadsheetml/2006/main" count="4002" uniqueCount="1233">
  <si>
    <t>1至100之和：</t>
  </si>
  <si>
    <t>全部导出</t>
  </si>
  <si>
    <t>导出者</t>
  </si>
  <si>
    <t>Count</t>
  </si>
  <si>
    <t>SheetName</t>
  </si>
  <si>
    <t>TargetDIR</t>
  </si>
  <si>
    <t>StringDIR</t>
  </si>
  <si>
    <t>注释</t>
  </si>
  <si>
    <t>Default</t>
  </si>
  <si>
    <t>Storage</t>
  </si>
  <si>
    <t>..\..\DataServer\China\</t>
  </si>
  <si>
    <t>仓库</t>
  </si>
  <si>
    <t>Decorated</t>
  </si>
  <si>
    <t>装饰类</t>
  </si>
  <si>
    <t>PetShopCfg</t>
  </si>
  <si>
    <t>商店</t>
  </si>
  <si>
    <t>WorkListDilatation</t>
  </si>
  <si>
    <t>工作队列扩容</t>
  </si>
  <si>
    <t>WharfLvl</t>
  </si>
  <si>
    <t>码头升级</t>
  </si>
  <si>
    <t>Ship</t>
  </si>
  <si>
    <t>货船</t>
  </si>
  <si>
    <t>ProductBuild</t>
  </si>
  <si>
    <t>所有生产建筑生产信息</t>
  </si>
  <si>
    <t>ProductCapacity</t>
  </si>
  <si>
    <t>所有生产建筑子建筑容量</t>
  </si>
  <si>
    <t>BuildBaseCfg</t>
  </si>
  <si>
    <t>所有建筑的基本信息</t>
  </si>
  <si>
    <t>ProductLog</t>
  </si>
  <si>
    <t>生产建筑日志</t>
  </si>
  <si>
    <t>BuyItemCfg</t>
  </si>
  <si>
    <t>购买物品道具表</t>
  </si>
  <si>
    <t>Formulation</t>
  </si>
  <si>
    <t>配方</t>
  </si>
  <si>
    <t>MapLock</t>
  </si>
  <si>
    <t>后院地图解锁</t>
  </si>
  <si>
    <t>WorkPlantCfg</t>
  </si>
  <si>
    <t>工作台属性要求</t>
  </si>
  <si>
    <t>BuildingUnlock</t>
  </si>
  <si>
    <t>建筑解锁配置</t>
  </si>
  <si>
    <t>导出/server</t>
  </si>
  <si>
    <t>*</t>
  </si>
  <si>
    <t>client</t>
  </si>
  <si>
    <t>INT</t>
  </si>
  <si>
    <t>STRING</t>
  </si>
  <si>
    <t>ID</t>
  </si>
  <si>
    <t>BuildingID</t>
  </si>
  <si>
    <t>BuildingType</t>
  </si>
  <si>
    <t>Level</t>
  </si>
  <si>
    <t>Capability</t>
  </si>
  <si>
    <t>Name</t>
  </si>
  <si>
    <t>Cost</t>
  </si>
  <si>
    <t>索引</t>
  </si>
  <si>
    <t>建筑道具ID</t>
  </si>
  <si>
    <t>建筑类型</t>
  </si>
  <si>
    <t>建筑等级</t>
  </si>
  <si>
    <t>存储容量</t>
  </si>
  <si>
    <t>建筑物名称</t>
  </si>
  <si>
    <t>扩容消耗</t>
  </si>
  <si>
    <t>默认值</t>
  </si>
  <si>
    <t>1;100</t>
  </si>
  <si>
    <t>1;200</t>
  </si>
  <si>
    <t>1;300</t>
  </si>
  <si>
    <t>1;400</t>
  </si>
  <si>
    <t>1;500</t>
  </si>
  <si>
    <t>1;600</t>
  </si>
  <si>
    <t>1;700</t>
  </si>
  <si>
    <t>1;800</t>
  </si>
  <si>
    <t>1;900</t>
  </si>
  <si>
    <t>1;1000</t>
  </si>
  <si>
    <t>1;1100</t>
  </si>
  <si>
    <t>1;1200</t>
  </si>
  <si>
    <t>1;1300</t>
  </si>
  <si>
    <t>1;1400</t>
  </si>
  <si>
    <t>1;1500</t>
  </si>
  <si>
    <t>1;1600</t>
  </si>
  <si>
    <t>1;1700</t>
  </si>
  <si>
    <t>1;1800</t>
  </si>
  <si>
    <t>1;1900</t>
  </si>
  <si>
    <t>1;2000</t>
  </si>
  <si>
    <t>1;2100</t>
  </si>
  <si>
    <t>1;2200</t>
  </si>
  <si>
    <t>1;2300</t>
  </si>
  <si>
    <t>1;2400</t>
  </si>
  <si>
    <t>1;2500</t>
  </si>
  <si>
    <t>1;2600</t>
  </si>
  <si>
    <t>1;2700</t>
  </si>
  <si>
    <t>1;2800</t>
  </si>
  <si>
    <t>1;2900</t>
  </si>
  <si>
    <t>1;3000</t>
  </si>
  <si>
    <t>1;3100</t>
  </si>
  <si>
    <t>1;3200</t>
  </si>
  <si>
    <t>1;3300</t>
  </si>
  <si>
    <t>1;3400</t>
  </si>
  <si>
    <t>1;3500</t>
  </si>
  <si>
    <t>1;3600</t>
  </si>
  <si>
    <t>1;3700</t>
  </si>
  <si>
    <t>1;3800</t>
  </si>
  <si>
    <t>1;3900</t>
  </si>
  <si>
    <t>1;4000</t>
  </si>
  <si>
    <t>1;4100</t>
  </si>
  <si>
    <t>1;4200</t>
  </si>
  <si>
    <t>1;4300</t>
  </si>
  <si>
    <t>1;4400</t>
  </si>
  <si>
    <t>1;4500</t>
  </si>
  <si>
    <t>1;4600</t>
  </si>
  <si>
    <t>1;4700</t>
  </si>
  <si>
    <t>1;4800</t>
  </si>
  <si>
    <t>1;4900</t>
  </si>
  <si>
    <t>1;5000</t>
  </si>
  <si>
    <t>1;5100</t>
  </si>
  <si>
    <t>1;5200</t>
  </si>
  <si>
    <t>1;5300</t>
  </si>
  <si>
    <t>1;5400</t>
  </si>
  <si>
    <t>1;5500</t>
  </si>
  <si>
    <t>1;5600</t>
  </si>
  <si>
    <t>1;5700</t>
  </si>
  <si>
    <t>1;5800</t>
  </si>
  <si>
    <t>1;5900</t>
  </si>
  <si>
    <t>1;6000</t>
  </si>
  <si>
    <t>1;6100</t>
  </si>
  <si>
    <t>1;6200</t>
  </si>
  <si>
    <t>1;6300</t>
  </si>
  <si>
    <t>1;6400</t>
  </si>
  <si>
    <t>1;6500</t>
  </si>
  <si>
    <t>1;6600</t>
  </si>
  <si>
    <t>1;6700</t>
  </si>
  <si>
    <t>1;6800</t>
  </si>
  <si>
    <t>1;6900</t>
  </si>
  <si>
    <t>1;7000</t>
  </si>
  <si>
    <t>1;7100</t>
  </si>
  <si>
    <t>1;7200</t>
  </si>
  <si>
    <t>1;7300</t>
  </si>
  <si>
    <t>1;7400</t>
  </si>
  <si>
    <t>1;7500</t>
  </si>
  <si>
    <t>1;7600</t>
  </si>
  <si>
    <t>1;7700</t>
  </si>
  <si>
    <t>1;7800</t>
  </si>
  <si>
    <t>1;7900</t>
  </si>
  <si>
    <t>1;8000</t>
  </si>
  <si>
    <t>1;8100</t>
  </si>
  <si>
    <t>1;8200</t>
  </si>
  <si>
    <t>1;8300</t>
  </si>
  <si>
    <t>1;8400</t>
  </si>
  <si>
    <t>1;8500</t>
  </si>
  <si>
    <t>1;8600</t>
  </si>
  <si>
    <t>1;8700</t>
  </si>
  <si>
    <t>1;8800</t>
  </si>
  <si>
    <t>1;8900</t>
  </si>
  <si>
    <t>1;9000</t>
  </si>
  <si>
    <t>1;9100</t>
  </si>
  <si>
    <t>1;9200</t>
  </si>
  <si>
    <t>1;9300</t>
  </si>
  <si>
    <t>1;9400</t>
  </si>
  <si>
    <t>1;9500</t>
  </si>
  <si>
    <t>1;9600</t>
  </si>
  <si>
    <t>1;9700</t>
  </si>
  <si>
    <t>1;9800</t>
  </si>
  <si>
    <t>1;9900</t>
  </si>
  <si>
    <t>1;10000</t>
  </si>
  <si>
    <t>1;10100</t>
  </si>
  <si>
    <t>1;10200</t>
  </si>
  <si>
    <t>1;10300</t>
  </si>
  <si>
    <t>1;10400</t>
  </si>
  <si>
    <t>1;10500</t>
  </si>
  <si>
    <t>1;10600</t>
  </si>
  <si>
    <t>1;10700</t>
  </si>
  <si>
    <t>1;10800</t>
  </si>
  <si>
    <t>1;10900</t>
  </si>
  <si>
    <t>1;11000</t>
  </si>
  <si>
    <t>1;11100</t>
  </si>
  <si>
    <t>1;11200</t>
  </si>
  <si>
    <t>1;11300</t>
  </si>
  <si>
    <t>1;11400</t>
  </si>
  <si>
    <t>1;11500</t>
  </si>
  <si>
    <t>1;11600</t>
  </si>
  <si>
    <t>1;11700</t>
  </si>
  <si>
    <t>1;11800</t>
  </si>
  <si>
    <t>1;11900</t>
  </si>
  <si>
    <t>1;12000</t>
  </si>
  <si>
    <t>SubID</t>
  </si>
  <si>
    <t>Lvl</t>
  </si>
  <si>
    <t>Capacity</t>
  </si>
  <si>
    <t>CostItem</t>
  </si>
  <si>
    <t>子id</t>
  </si>
  <si>
    <t>等级</t>
  </si>
  <si>
    <t>容量</t>
  </si>
  <si>
    <t>升级消耗道具</t>
  </si>
  <si>
    <t>UnlockCost</t>
  </si>
  <si>
    <t>UnlockLevel</t>
  </si>
  <si>
    <t>UnLockItemType</t>
  </si>
  <si>
    <t>TypeSort</t>
  </si>
  <si>
    <t>建筑id</t>
  </si>
  <si>
    <t>解锁消耗</t>
  </si>
  <si>
    <t>解锁需要等级</t>
  </si>
  <si>
    <t>建筑名字</t>
  </si>
  <si>
    <t>获取Item类型</t>
  </si>
  <si>
    <t>1;1;1000</t>
  </si>
  <si>
    <t>织染坊</t>
  </si>
  <si>
    <t>1;1;5000</t>
  </si>
  <si>
    <t>妆品坊</t>
  </si>
  <si>
    <t>1;1;10000</t>
  </si>
  <si>
    <t>珠宝坊</t>
  </si>
  <si>
    <t>1;1;500</t>
  </si>
  <si>
    <t>浮光麻</t>
  </si>
  <si>
    <t>1;1;1500</t>
  </si>
  <si>
    <t>绒绒绵</t>
  </si>
  <si>
    <t>千色堇</t>
  </si>
  <si>
    <t>薄荷果</t>
  </si>
  <si>
    <t>1;1;50000</t>
  </si>
  <si>
    <t>皮皮竹</t>
  </si>
  <si>
    <t>1;1;100000</t>
  </si>
  <si>
    <t>玲珑胶</t>
  </si>
  <si>
    <t>冰蚕丝</t>
  </si>
  <si>
    <t>仙禽羽</t>
  </si>
  <si>
    <t>玉莹脂</t>
  </si>
  <si>
    <t>泡泡球</t>
  </si>
  <si>
    <t>水韵珠</t>
  </si>
  <si>
    <t>沙貂绒</t>
  </si>
  <si>
    <t>山林矿</t>
  </si>
  <si>
    <t>香木屑</t>
  </si>
  <si>
    <t>水晶晶</t>
  </si>
  <si>
    <t>天人泪</t>
  </si>
  <si>
    <t>琼林石</t>
  </si>
  <si>
    <t>夜明砂</t>
  </si>
  <si>
    <t>小花园</t>
  </si>
  <si>
    <t>喂食</t>
  </si>
  <si>
    <t>探险</t>
  </si>
  <si>
    <t>奶猫屋</t>
  </si>
  <si>
    <t>UnlockLvl</t>
  </si>
  <si>
    <t>ProductItem</t>
  </si>
  <si>
    <t>UnlockPrice</t>
  </si>
  <si>
    <t>SpeedRate</t>
  </si>
  <si>
    <t>InitSpeed</t>
  </si>
  <si>
    <t>OffsetPos</t>
  </si>
  <si>
    <t>BuildName</t>
  </si>
  <si>
    <t>BuildPos</t>
  </si>
  <si>
    <t>NormalBg</t>
  </si>
  <si>
    <t>ScreenID</t>
  </si>
  <si>
    <t>SpeedProp</t>
  </si>
  <si>
    <t>s</t>
  </si>
  <si>
    <t>sOffsetPos</t>
  </si>
  <si>
    <t>sBuildPos</t>
  </si>
  <si>
    <t>解锁等级</t>
  </si>
  <si>
    <t>产出道具</t>
  </si>
  <si>
    <t>解锁价格</t>
  </si>
  <si>
    <t>速度比（万分）</t>
  </si>
  <si>
    <t>初始速度（多少个0.1秒生产一个）</t>
  </si>
  <si>
    <t>相对位置</t>
  </si>
  <si>
    <t>子建筑位置</t>
  </si>
  <si>
    <t>建筑生产底图</t>
  </si>
  <si>
    <t>地图id</t>
  </si>
  <si>
    <t>速度需要的属性</t>
  </si>
  <si>
    <t>属性*速度比/10000</t>
  </si>
  <si>
    <t>1; //智慧
2; //速度
 3; //力量</t>
  </si>
  <si>
    <t>21001;1</t>
  </si>
  <si>
    <t>99;-213</t>
  </si>
  <si>
    <t>tian1</t>
  </si>
  <si>
    <t>21002;1</t>
  </si>
  <si>
    <t>-192;-82.99</t>
  </si>
  <si>
    <t>90;65</t>
  </si>
  <si>
    <t>21004;1</t>
  </si>
  <si>
    <t>-192;213</t>
  </si>
  <si>
    <t>21005;1</t>
  </si>
  <si>
    <t>90;328</t>
  </si>
  <si>
    <t>21006;1</t>
  </si>
  <si>
    <t>-184;476</t>
  </si>
  <si>
    <t>22001;1</t>
  </si>
  <si>
    <t>-253.7;-131</t>
  </si>
  <si>
    <t>bingchansi</t>
  </si>
  <si>
    <t>22002;1</t>
  </si>
  <si>
    <t>124.2;-134.8</t>
  </si>
  <si>
    <t>xianqinyu</t>
  </si>
  <si>
    <t>22003;1</t>
  </si>
  <si>
    <t>-249.5;171</t>
  </si>
  <si>
    <t xml:space="preserve">yuyingzhi </t>
  </si>
  <si>
    <t>22004;1</t>
  </si>
  <si>
    <t>126.4;218</t>
  </si>
  <si>
    <t>paopaoqiu</t>
  </si>
  <si>
    <t>22005;1</t>
  </si>
  <si>
    <t>155;531</t>
  </si>
  <si>
    <t>shuiyunzhu</t>
  </si>
  <si>
    <t>22006;1</t>
  </si>
  <si>
    <t>-241.6;537</t>
  </si>
  <si>
    <t xml:space="preserve">shadiaorong </t>
  </si>
  <si>
    <t>23001;1</t>
  </si>
  <si>
    <t>-246;-217</t>
  </si>
  <si>
    <t>23002;1</t>
  </si>
  <si>
    <t>127.9;-105</t>
  </si>
  <si>
    <t>kuangchang2</t>
  </si>
  <si>
    <t>23003;1</t>
  </si>
  <si>
    <t>-246.2;138</t>
  </si>
  <si>
    <t>kuangchang3</t>
  </si>
  <si>
    <t>23004;1</t>
  </si>
  <si>
    <t>1;227</t>
  </si>
  <si>
    <t>kuangchang4</t>
  </si>
  <si>
    <t>23005;1</t>
  </si>
  <si>
    <t>-237;455</t>
  </si>
  <si>
    <t>kuangchang5</t>
  </si>
  <si>
    <t>23006;1</t>
  </si>
  <si>
    <t>127.9;550</t>
  </si>
  <si>
    <t>kuangchang6</t>
  </si>
  <si>
    <t>Effect</t>
  </si>
  <si>
    <t>SubType</t>
  </si>
  <si>
    <t>GridType</t>
  </si>
  <si>
    <t>GridNum</t>
  </si>
  <si>
    <t>LimitCnt</t>
  </si>
  <si>
    <t>i</t>
  </si>
  <si>
    <t>装饰物ID</t>
  </si>
  <si>
    <t>可建筑的数量</t>
  </si>
  <si>
    <t>消耗道具</t>
  </si>
  <si>
    <t>装饰物效果</t>
  </si>
  <si>
    <t>装饰物名称</t>
  </si>
  <si>
    <t>建筑子类型</t>
  </si>
  <si>
    <t>占用格子类型</t>
  </si>
  <si>
    <t>占用格子数量</t>
  </si>
  <si>
    <t>堆叠上限</t>
  </si>
  <si>
    <t>篮子</t>
  </si>
  <si>
    <t>花草</t>
  </si>
  <si>
    <t>秋千</t>
  </si>
  <si>
    <t>箱子</t>
  </si>
  <si>
    <t>工作队列数量扩容</t>
  </si>
  <si>
    <t>1;50000</t>
  </si>
  <si>
    <t>1;100000</t>
  </si>
  <si>
    <t>1;150000</t>
  </si>
  <si>
    <t>1;200000</t>
  </si>
  <si>
    <t>1;250000</t>
  </si>
  <si>
    <t>1;300000</t>
  </si>
  <si>
    <t>FromulationID</t>
  </si>
  <si>
    <t>MakeTime</t>
  </si>
  <si>
    <t>FormType</t>
  </si>
  <si>
    <t>Exp</t>
  </si>
  <si>
    <t>Product</t>
  </si>
  <si>
    <t>EffectStr</t>
  </si>
  <si>
    <t>PreForm</t>
  </si>
  <si>
    <t>weight</t>
  </si>
  <si>
    <t>Low</t>
  </si>
  <si>
    <t>Up</t>
  </si>
  <si>
    <t>CostItemInfo</t>
  </si>
  <si>
    <t>Require</t>
  </si>
  <si>
    <t>Icon</t>
  </si>
  <si>
    <t>NeedPropNum</t>
  </si>
  <si>
    <t>ItemQuality</t>
  </si>
  <si>
    <t>OderParamS</t>
  </si>
  <si>
    <t>iPreForm</t>
  </si>
  <si>
    <t>序列</t>
  </si>
  <si>
    <t>配方ID</t>
  </si>
  <si>
    <t>配方名字</t>
  </si>
  <si>
    <t>制作消耗时间(秒)</t>
  </si>
  <si>
    <t>配方类型(属性)</t>
  </si>
  <si>
    <t>配方熟练度</t>
  </si>
  <si>
    <t>配方等级</t>
  </si>
  <si>
    <t>产出物ID</t>
  </si>
  <si>
    <t>效果描述</t>
  </si>
  <si>
    <t>前置配方id</t>
  </si>
  <si>
    <t>探讨权重</t>
  </si>
  <si>
    <t>品质等级下限</t>
  </si>
  <si>
    <t>品质等级上限</t>
  </si>
  <si>
    <t>配方效果（效果类型；参数1；参数2）</t>
  </si>
  <si>
    <t>消耗物品列表</t>
  </si>
  <si>
    <t>制作难度</t>
  </si>
  <si>
    <t>配方子类型</t>
  </si>
  <si>
    <t>配方Icon</t>
  </si>
  <si>
    <t>需要达到的属性值</t>
  </si>
  <si>
    <t>品质底框</t>
  </si>
  <si>
    <t>订单参数S</t>
  </si>
  <si>
    <t>凡星绢</t>
  </si>
  <si>
    <t>icon_prop_31011_fanxingjuan</t>
  </si>
  <si>
    <t>bg_prop_lv1</t>
  </si>
  <si>
    <t>精致凡星绢</t>
  </si>
  <si>
    <t>bg_prop_lv2</t>
  </si>
  <si>
    <t>极品凡星绢</t>
  </si>
  <si>
    <t>bg_prop_lv3</t>
  </si>
  <si>
    <t>柔云织</t>
  </si>
  <si>
    <t>icon_prop_31021_rouyunzhi</t>
  </si>
  <si>
    <t>精致柔云织</t>
  </si>
  <si>
    <t>极品柔云织</t>
  </si>
  <si>
    <t>星云帛</t>
  </si>
  <si>
    <t>21001;1|21002;1</t>
  </si>
  <si>
    <t>icon_prop_31061_xingyunbo</t>
  </si>
  <si>
    <t>精致星云帛</t>
  </si>
  <si>
    <t>极品星云帛</t>
  </si>
  <si>
    <t>清凉纱</t>
  </si>
  <si>
    <t>icon_prop_31031_qingliangsha</t>
  </si>
  <si>
    <t>精致清凉纱</t>
  </si>
  <si>
    <t>极品清凉纱</t>
  </si>
  <si>
    <t>极光缎</t>
  </si>
  <si>
    <t>icon_prop_31041_jiguangduan</t>
  </si>
  <si>
    <t>精致极光缎</t>
  </si>
  <si>
    <t>极品极光缎</t>
  </si>
  <si>
    <t>冬夏锦</t>
  </si>
  <si>
    <t>icon_prop_31051_dongxiajin</t>
  </si>
  <si>
    <t>精致冬夏锦</t>
  </si>
  <si>
    <t>极品冬夏锦</t>
  </si>
  <si>
    <t>轻巧荷包</t>
  </si>
  <si>
    <t>31011;4|31041;2</t>
  </si>
  <si>
    <t>icon_prop_32041_hebao</t>
  </si>
  <si>
    <t>精致轻巧荷包</t>
  </si>
  <si>
    <t>31012;4|31042;2</t>
  </si>
  <si>
    <t>极品轻巧荷包</t>
  </si>
  <si>
    <t>31013;4|31043;2</t>
  </si>
  <si>
    <t>芊羽扇</t>
  </si>
  <si>
    <t>icon_prop_32021_qianyushan</t>
  </si>
  <si>
    <t>精致芊羽扇</t>
  </si>
  <si>
    <t>极品芊羽扇</t>
  </si>
  <si>
    <t>细画绢扇</t>
  </si>
  <si>
    <t>icon_prop_32021_xihuajuanshan</t>
  </si>
  <si>
    <t>精致细画绢扇</t>
  </si>
  <si>
    <t>极品细画绢扇</t>
  </si>
  <si>
    <t>公主包</t>
  </si>
  <si>
    <t>icon_prop_gongzhubao</t>
  </si>
  <si>
    <t>精致公主包</t>
  </si>
  <si>
    <t>极品公主包</t>
  </si>
  <si>
    <t>曼妙束腰</t>
  </si>
  <si>
    <t>icon_prop_32051_yaofeng</t>
  </si>
  <si>
    <t>精致曼妙束腰</t>
  </si>
  <si>
    <t>极品曼妙束腰</t>
  </si>
  <si>
    <t>云纹革带</t>
  </si>
  <si>
    <t>icon_prop_32061_yaodai</t>
  </si>
  <si>
    <t>精致云纹革带</t>
  </si>
  <si>
    <t>极品云纹革带</t>
  </si>
  <si>
    <t>竹皮编腕</t>
  </si>
  <si>
    <t>icon_prop_32071</t>
  </si>
  <si>
    <t>精致竹皮编腕</t>
  </si>
  <si>
    <t>极品竹皮编腕</t>
  </si>
  <si>
    <t>星帛竹皮笠</t>
  </si>
  <si>
    <t>icon_prop_32081</t>
  </si>
  <si>
    <t>精致星帛竹皮笠</t>
  </si>
  <si>
    <t>极品星帛竹皮笠</t>
  </si>
  <si>
    <t>异色影花扇</t>
  </si>
  <si>
    <t>icon_prop_32091</t>
  </si>
  <si>
    <t>精致异色影花扇</t>
  </si>
  <si>
    <t>极品异色影花扇</t>
  </si>
  <si>
    <t>貂绒坐垫</t>
  </si>
  <si>
    <t>icon_prop_32101</t>
  </si>
  <si>
    <t>精致貂绒坐垫</t>
  </si>
  <si>
    <t>极品貂绒坐垫</t>
  </si>
  <si>
    <t>貂绒披肩</t>
  </si>
  <si>
    <t>icon_prop_32111</t>
  </si>
  <si>
    <t>精致貂绒披肩</t>
  </si>
  <si>
    <t>极品貂绒披肩</t>
  </si>
  <si>
    <t>神锦被衾</t>
  </si>
  <si>
    <t>icon_prop_666</t>
  </si>
  <si>
    <t>精致神锦被衾</t>
  </si>
  <si>
    <t>极品神锦被衾</t>
  </si>
  <si>
    <t>柳枝襦裙</t>
  </si>
  <si>
    <t>icon_prop_liuzhiruqun</t>
  </si>
  <si>
    <t>精致柳枝襦裙</t>
  </si>
  <si>
    <t>极品柳枝襦裙</t>
  </si>
  <si>
    <t>银星落罗裙</t>
  </si>
  <si>
    <t>icon_prop_yinxingluoluoqun</t>
  </si>
  <si>
    <t>精致银星落罗裙</t>
  </si>
  <si>
    <t>极品银星落罗裙</t>
  </si>
  <si>
    <t>百花时褶裙</t>
  </si>
  <si>
    <t>icon_prop_baihuashizhequn</t>
  </si>
  <si>
    <t>精致百花时褶裙</t>
  </si>
  <si>
    <t>极品百花时褶裙</t>
  </si>
  <si>
    <t>仙娥锦袍</t>
  </si>
  <si>
    <t>icon_prop_xianejinpao</t>
  </si>
  <si>
    <t>精致仙娥锦袍</t>
  </si>
  <si>
    <t>极品仙娥锦袍</t>
  </si>
  <si>
    <t>凤冠霞帔</t>
  </si>
  <si>
    <t>icon_prop_fengguanxiapei</t>
  </si>
  <si>
    <t>精致凤冠霞帔</t>
  </si>
  <si>
    <t>极品凤冠霞帔</t>
  </si>
  <si>
    <t>惹香罗衫</t>
  </si>
  <si>
    <t>icon_prop_rexiangluoshan</t>
  </si>
  <si>
    <t>精致惹香罗衫</t>
  </si>
  <si>
    <t>极品惹香罗衫</t>
  </si>
  <si>
    <t>锦霞云裘</t>
  </si>
  <si>
    <t>icon_prop_jinxiayunqiu</t>
  </si>
  <si>
    <t>精致锦霞云裘</t>
  </si>
  <si>
    <t>极品锦霞云裘</t>
  </si>
  <si>
    <t>梦醒时</t>
  </si>
  <si>
    <t>icon_prop_34011_mengxingshi</t>
  </si>
  <si>
    <t>精致梦醒时</t>
  </si>
  <si>
    <t>极品梦醒时</t>
  </si>
  <si>
    <t>好奇喵</t>
  </si>
  <si>
    <t>icon_prop_34021_xiangfen</t>
  </si>
  <si>
    <t>精致好奇喵</t>
  </si>
  <si>
    <t>极品好奇喵</t>
  </si>
  <si>
    <t>藏香</t>
  </si>
  <si>
    <t>32011;1|34011;1</t>
  </si>
  <si>
    <t>icon_prop_34031_cangxiang</t>
  </si>
  <si>
    <t>精致藏香</t>
  </si>
  <si>
    <t>32012;1|34012;1</t>
  </si>
  <si>
    <t>极品藏香</t>
  </si>
  <si>
    <t>32013;1|34013;1</t>
  </si>
  <si>
    <t>狸儿诱</t>
  </si>
  <si>
    <t>32011;1|34021;1</t>
  </si>
  <si>
    <t>icon_prop_34041_lieryou</t>
  </si>
  <si>
    <t>精致狸儿诱</t>
  </si>
  <si>
    <t>32012;1|34022;1</t>
  </si>
  <si>
    <t>极品狸儿诱</t>
  </si>
  <si>
    <t>32013;1|34023;1</t>
  </si>
  <si>
    <t>水风清</t>
  </si>
  <si>
    <t>icon_prop_34051</t>
  </si>
  <si>
    <t>精致水风清</t>
  </si>
  <si>
    <t>极品水风清</t>
  </si>
  <si>
    <t>落霞明</t>
  </si>
  <si>
    <t>icon_prop_34061</t>
  </si>
  <si>
    <t>精致落霞明</t>
  </si>
  <si>
    <t>极品落霞明</t>
  </si>
  <si>
    <t>甜豆沙</t>
  </si>
  <si>
    <t>icon_prop_35011</t>
  </si>
  <si>
    <t>精致甜豆沙</t>
  </si>
  <si>
    <t>极品甜豆沙</t>
  </si>
  <si>
    <t>桃花红</t>
  </si>
  <si>
    <t>icon_prop_35021</t>
  </si>
  <si>
    <t>精致桃花红</t>
  </si>
  <si>
    <t>极品桃花红</t>
  </si>
  <si>
    <t>若凝脂粉霜</t>
  </si>
  <si>
    <t>22006;1|34021;1</t>
  </si>
  <si>
    <t>icon_prop_35031</t>
  </si>
  <si>
    <t>精致若凝脂粉霜</t>
  </si>
  <si>
    <t>极品若凝脂粉霜</t>
  </si>
  <si>
    <t>若桃花粉霜</t>
  </si>
  <si>
    <t>icon_prop_35041</t>
  </si>
  <si>
    <t>精致若桃花粉霜</t>
  </si>
  <si>
    <t>极品若桃花粉霜</t>
  </si>
  <si>
    <t>青山黛</t>
  </si>
  <si>
    <t>解锁花钿配方</t>
  </si>
  <si>
    <t>icon_prop_35051</t>
  </si>
  <si>
    <t>精致青山黛</t>
  </si>
  <si>
    <t>极品青山黛</t>
  </si>
  <si>
    <t>花钿</t>
  </si>
  <si>
    <t>icon_prop_35061</t>
  </si>
  <si>
    <t>精致花钿</t>
  </si>
  <si>
    <t>极品花钿</t>
  </si>
  <si>
    <t>梅子酒</t>
  </si>
  <si>
    <t>icon_prop_35071</t>
  </si>
  <si>
    <t>精致梅子酒</t>
  </si>
  <si>
    <t>极品梅子酒</t>
  </si>
  <si>
    <t>正宫红</t>
  </si>
  <si>
    <t>icon_prop_35081</t>
  </si>
  <si>
    <t>精致正宫红</t>
  </si>
  <si>
    <t>极品正宫红</t>
  </si>
  <si>
    <t>香浴清露</t>
  </si>
  <si>
    <t>icon_prop_36011</t>
  </si>
  <si>
    <t>精致香浴清露</t>
  </si>
  <si>
    <t>极品香浴清露</t>
  </si>
  <si>
    <t>洗颜泡沫</t>
  </si>
  <si>
    <t>icon_prop_34061_qingshuangpaomo</t>
  </si>
  <si>
    <t>精致洗颜泡沫</t>
  </si>
  <si>
    <t>极品洗颜泡沫</t>
  </si>
  <si>
    <t>玉肌霜</t>
  </si>
  <si>
    <t>icon_prop_34051_ningfushuang</t>
  </si>
  <si>
    <t>精致玉肌霜</t>
  </si>
  <si>
    <t>极品玉肌霜</t>
  </si>
  <si>
    <t>焕肤面膜</t>
  </si>
  <si>
    <t>解锁素银簪配方</t>
  </si>
  <si>
    <t>icon_prop_huanfumianmo</t>
  </si>
  <si>
    <t>精致焕肤面膜</t>
  </si>
  <si>
    <t>极品焕肤面膜</t>
  </si>
  <si>
    <t>净妆膏脂</t>
  </si>
  <si>
    <t>icon_prop_36051</t>
  </si>
  <si>
    <t>精致净妆膏脂</t>
  </si>
  <si>
    <t>极品净妆膏脂</t>
  </si>
  <si>
    <t>冰肌水</t>
  </si>
  <si>
    <t>精致冰肌水</t>
  </si>
  <si>
    <t>极品冰肌水</t>
  </si>
  <si>
    <t>去痕凝胶</t>
  </si>
  <si>
    <t>icon_prop_36071</t>
  </si>
  <si>
    <t>精致去痕凝胶</t>
  </si>
  <si>
    <t>极品去痕凝胶</t>
  </si>
  <si>
    <t>素银簪</t>
  </si>
  <si>
    <t>解锁鎏金簪配方</t>
  </si>
  <si>
    <t>icon_prop_37011</t>
  </si>
  <si>
    <t>精致素银簪</t>
  </si>
  <si>
    <t>23001;5</t>
  </si>
  <si>
    <t>极品素银簪</t>
  </si>
  <si>
    <t>23001;15</t>
  </si>
  <si>
    <t>鎏金簪</t>
  </si>
  <si>
    <t>icon_prop_37021</t>
  </si>
  <si>
    <t>精致鎏金簪</t>
  </si>
  <si>
    <t>极品鎏金簪</t>
  </si>
  <si>
    <t>溪涧曲</t>
  </si>
  <si>
    <t>icon_prop_37031</t>
  </si>
  <si>
    <t>精致溪涧曲</t>
  </si>
  <si>
    <t>极品溪涧曲</t>
  </si>
  <si>
    <t>胧月簪</t>
  </si>
  <si>
    <t>icon_prop_37041</t>
  </si>
  <si>
    <t>精致胧月簪</t>
  </si>
  <si>
    <t>极品胧月簪</t>
  </si>
  <si>
    <t>月宫桂</t>
  </si>
  <si>
    <t>icon_prop_37051_yuegonggui</t>
  </si>
  <si>
    <t>精致月宫桂</t>
  </si>
  <si>
    <t>极品月宫桂</t>
  </si>
  <si>
    <t>花满枝</t>
  </si>
  <si>
    <t>icon_prop_36031_liulihuazan</t>
  </si>
  <si>
    <t>精致花满枝</t>
  </si>
  <si>
    <t>极品花满枝</t>
  </si>
  <si>
    <t>金卉纹镯</t>
  </si>
  <si>
    <t>解锁十里桃花配方</t>
  </si>
  <si>
    <t>icon_prop_38011</t>
  </si>
  <si>
    <t>精致金卉纹镯</t>
  </si>
  <si>
    <t>极品金卉纹镯</t>
  </si>
  <si>
    <t>十里桃花</t>
  </si>
  <si>
    <t>icon_prop_38021</t>
  </si>
  <si>
    <t>精致十里桃花</t>
  </si>
  <si>
    <t>极品十里桃花</t>
  </si>
  <si>
    <t>离人泪</t>
  </si>
  <si>
    <t>icon_prop_38031</t>
  </si>
  <si>
    <t>精致离人泪</t>
  </si>
  <si>
    <t>极品离人泪</t>
  </si>
  <si>
    <t>玉狸笔搁</t>
  </si>
  <si>
    <t>icon_prop_39011</t>
  </si>
  <si>
    <t>精致玉狸笔搁</t>
  </si>
  <si>
    <t>极品玉狸笔搁</t>
  </si>
  <si>
    <t>玉兔腰佩</t>
  </si>
  <si>
    <t>icon_prop_39021</t>
  </si>
  <si>
    <t>精致玉兔腰佩</t>
  </si>
  <si>
    <t>极品玉兔腰佩</t>
  </si>
  <si>
    <t>朱雀剑穗</t>
  </si>
  <si>
    <t>icon_prop_39031</t>
  </si>
  <si>
    <t>精致朱雀剑穗</t>
  </si>
  <si>
    <t>极品朱雀剑穗</t>
  </si>
  <si>
    <t>白莲玉香插</t>
  </si>
  <si>
    <t>icon_prop_39041</t>
  </si>
  <si>
    <t>精致白莲玉香插</t>
  </si>
  <si>
    <t>极品白莲玉香插</t>
  </si>
  <si>
    <t>Price</t>
  </si>
  <si>
    <t>道具ID</t>
  </si>
  <si>
    <t>单价</t>
  </si>
  <si>
    <t>解锁所需建筑等级</t>
  </si>
  <si>
    <t>NavigateTime</t>
  </si>
  <si>
    <t>UpgradePrice</t>
  </si>
  <si>
    <t>码头等级</t>
  </si>
  <si>
    <t>航行时间秒</t>
  </si>
  <si>
    <t>升级价格</t>
  </si>
  <si>
    <t>1;17000</t>
  </si>
  <si>
    <t>1;24000</t>
  </si>
  <si>
    <t>ReduceTime</t>
  </si>
  <si>
    <t>extraCapacity</t>
  </si>
  <si>
    <t>description</t>
  </si>
  <si>
    <t>船道具ID</t>
  </si>
  <si>
    <t>船名字</t>
  </si>
  <si>
    <t>价格</t>
  </si>
  <si>
    <t>减少时间秒</t>
  </si>
  <si>
    <t>附加容量</t>
  </si>
  <si>
    <t>船只描述</t>
  </si>
  <si>
    <t>小木筏</t>
  </si>
  <si>
    <t>用长条乔木捆成的小木排，轻便，但是不易于载物</t>
  </si>
  <si>
    <t>扁舟</t>
  </si>
  <si>
    <t>一叶扁舟，所向随风。船体轻巧，行船灵便。</t>
  </si>
  <si>
    <t>帆船</t>
  </si>
  <si>
    <t>船帆使得驾驶更省力，船舱有了专门储物的空间。</t>
  </si>
  <si>
    <t>小货船</t>
  </si>
  <si>
    <t>船体用于载物的空间十分大，完全靠帆行驶，速度缓慢</t>
  </si>
  <si>
    <t>Position</t>
  </si>
  <si>
    <t>BigType</t>
  </si>
  <si>
    <t>Photo</t>
  </si>
  <si>
    <t>Offset</t>
  </si>
  <si>
    <t>iBigType</t>
  </si>
  <si>
    <t>sPhoto</t>
  </si>
  <si>
    <t>位置</t>
  </si>
  <si>
    <t>大类</t>
  </si>
  <si>
    <t>图片</t>
  </si>
  <si>
    <t>对应图标</t>
  </si>
  <si>
    <t>backhint0</t>
  </si>
  <si>
    <t>凡星阁</t>
  </si>
  <si>
    <t>1000;690</t>
  </si>
  <si>
    <t>织染坊;妆品坊;珠宝坊</t>
  </si>
  <si>
    <t>plat1;plat2;plat3</t>
  </si>
  <si>
    <t>-200;-30</t>
  </si>
  <si>
    <t>3;4;5</t>
  </si>
  <si>
    <t>workPlat_1_icon|workPlat_2_icon|workPlat_3_icon</t>
  </si>
  <si>
    <t>-640;-231</t>
  </si>
  <si>
    <t>160;-8</t>
  </si>
  <si>
    <t>fuguangma_1|rongrongmian_1|qiansejin_1|boheguo_1|pipizhu_1|linglongjiao_1</t>
  </si>
  <si>
    <t>牧场</t>
  </si>
  <si>
    <t>-20;650</t>
  </si>
  <si>
    <t>-291;-193</t>
  </si>
  <si>
    <t>bingchansi|xianqinyu|yuyingzhi|paopaoqiu|shuiyunzhu|shadiaorong</t>
  </si>
  <si>
    <t>矿洞</t>
  </si>
  <si>
    <t>600;600</t>
  </si>
  <si>
    <t>-231;220</t>
  </si>
  <si>
    <r>
      <rPr>
        <sz val="11"/>
        <color indexed="8"/>
        <rFont val="宋体"/>
        <family val="3"/>
        <charset val="134"/>
      </rPr>
      <t>-</t>
    </r>
    <r>
      <rPr>
        <sz val="11"/>
        <color indexed="8"/>
        <rFont val="宋体"/>
        <family val="3"/>
        <charset val="134"/>
      </rPr>
      <t>600;605</t>
    </r>
  </si>
  <si>
    <t>-450;605</t>
  </si>
  <si>
    <t>330;330</t>
  </si>
  <si>
    <t>500;100</t>
  </si>
  <si>
    <t>货郎猫</t>
  </si>
  <si>
    <t>920;512</t>
  </si>
  <si>
    <t>0;0</t>
  </si>
  <si>
    <t>350;700</t>
  </si>
  <si>
    <t>-43;-108</t>
  </si>
  <si>
    <t>155;475</t>
  </si>
  <si>
    <t>70;-94</t>
  </si>
  <si>
    <t>-100;-47</t>
  </si>
  <si>
    <t>后花园</t>
  </si>
  <si>
    <t>398;-241</t>
  </si>
  <si>
    <t>LogType</t>
  </si>
  <si>
    <t>LogContent</t>
  </si>
  <si>
    <t>日志类型</t>
  </si>
  <si>
    <t>日志内容</t>
  </si>
  <si>
    <t>当前没有工作日志</t>
  </si>
  <si>
    <t>[%s]里的[%s]大丰收已经种不下更多的[%s]了</t>
  </si>
  <si>
    <t>收获了[%s]里的[%s]</t>
  </si>
  <si>
    <t>凡星阁等级达到[%s]级[%s]各作物存储量获得提升</t>
  </si>
  <si>
    <t>[%s]达到[%s][%s][%s]提升为[%s]</t>
  </si>
  <si>
    <t>[%s]使用了[%s][%s]</t>
  </si>
  <si>
    <t>成功制作[%s]，%s熟练度提升%s</t>
  </si>
  <si>
    <t>制作失败，获得一堆[%s]</t>
  </si>
  <si>
    <t>无</t>
  </si>
  <si>
    <t>达到建筑存贮容量上限</t>
  </si>
  <si>
    <t>收获</t>
  </si>
  <si>
    <t>凡星阁升级建筑容量提升</t>
  </si>
  <si>
    <t>生产速度发生变化</t>
  </si>
  <si>
    <t>猫技能触发</t>
  </si>
  <si>
    <t>工作台</t>
  </si>
  <si>
    <t>工作台制作失败</t>
  </si>
  <si>
    <t>currencyID</t>
  </si>
  <si>
    <t>buyPrice</t>
  </si>
  <si>
    <t>ItemTypeMark</t>
  </si>
  <si>
    <t>ItemType</t>
  </si>
  <si>
    <t>购买货币ID</t>
  </si>
  <si>
    <t>购买价格</t>
  </si>
  <si>
    <t>道具类型描述</t>
  </si>
  <si>
    <t>道具对应场景中的类型</t>
  </si>
  <si>
    <t>凉亭</t>
  </si>
  <si>
    <t>草地</t>
  </si>
  <si>
    <t>盆栽</t>
  </si>
  <si>
    <t>MapID</t>
  </si>
  <si>
    <t>UnlockLev</t>
  </si>
  <si>
    <t>TabName</t>
  </si>
  <si>
    <t>EventTriggerType</t>
  </si>
  <si>
    <t>地图ID</t>
  </si>
  <si>
    <t>当前屏幕引导栏名称</t>
  </si>
  <si>
    <t>触发当前屏红点事件类型</t>
  </si>
  <si>
    <t>露庭</t>
  </si>
  <si>
    <t>1|2|5</t>
  </si>
  <si>
    <r>
      <rPr>
        <sz val="13"/>
        <color indexed="49"/>
        <rFont val="华文细黑"/>
        <family val="3"/>
        <charset val="134"/>
      </rPr>
      <t>导出</t>
    </r>
    <r>
      <rPr>
        <b/>
        <sz val="8"/>
        <rFont val="微软雅黑"/>
        <family val="2"/>
        <charset val="134"/>
      </rPr>
      <t>/server</t>
    </r>
  </si>
  <si>
    <t>BuildID</t>
  </si>
  <si>
    <t>SubBuildID</t>
  </si>
  <si>
    <t>AttrType</t>
  </si>
  <si>
    <t>AttrValue</t>
  </si>
  <si>
    <t>BuildIcon</t>
  </si>
  <si>
    <r>
      <rPr>
        <sz val="13"/>
        <color indexed="49"/>
        <rFont val="华文细黑"/>
        <family val="3"/>
        <charset val="134"/>
      </rPr>
      <t>建筑</t>
    </r>
    <r>
      <rPr>
        <b/>
        <sz val="9"/>
        <color theme="0"/>
        <rFont val="微软雅黑"/>
        <family val="2"/>
        <charset val="134"/>
      </rPr>
      <t>id</t>
    </r>
  </si>
  <si>
    <r>
      <rPr>
        <sz val="13"/>
        <color indexed="49"/>
        <rFont val="华文细黑"/>
        <family val="3"/>
        <charset val="134"/>
      </rPr>
      <t>子</t>
    </r>
    <r>
      <rPr>
        <b/>
        <sz val="9"/>
        <color theme="0"/>
        <rFont val="微软雅黑"/>
        <family val="2"/>
        <charset val="134"/>
      </rPr>
      <t>id</t>
    </r>
  </si>
  <si>
    <t>属性类型</t>
  </si>
  <si>
    <t>属性值</t>
  </si>
  <si>
    <r>
      <rPr>
        <sz val="13"/>
        <color indexed="49"/>
        <rFont val="华文细黑"/>
        <family val="3"/>
        <charset val="134"/>
      </rPr>
      <t>建筑</t>
    </r>
    <r>
      <rPr>
        <b/>
        <sz val="9"/>
        <color theme="0"/>
        <rFont val="微软雅黑"/>
        <family val="2"/>
        <charset val="134"/>
      </rPr>
      <t>Icon</t>
    </r>
  </si>
  <si>
    <r>
      <rPr>
        <b/>
        <sz val="9"/>
        <color theme="0"/>
        <rFont val="微软雅黑"/>
        <family val="2"/>
        <charset val="134"/>
      </rPr>
      <t xml:space="preserve">1 </t>
    </r>
    <r>
      <rPr>
        <sz val="13"/>
        <color indexed="49"/>
        <rFont val="华文细黑"/>
        <family val="3"/>
        <charset val="134"/>
      </rPr>
      <t>智力</t>
    </r>
    <r>
      <rPr>
        <b/>
        <sz val="9"/>
        <color theme="0"/>
        <rFont val="微软雅黑"/>
        <family val="2"/>
        <charset val="134"/>
      </rPr>
      <t xml:space="preserve">
2 </t>
    </r>
    <r>
      <rPr>
        <sz val="13"/>
        <color indexed="49"/>
        <rFont val="华文细黑"/>
        <family val="3"/>
        <charset val="134"/>
      </rPr>
      <t>速度</t>
    </r>
    <r>
      <rPr>
        <b/>
        <sz val="9"/>
        <color theme="0"/>
        <rFont val="微软雅黑"/>
        <family val="2"/>
        <charset val="134"/>
      </rPr>
      <t xml:space="preserve">
3 </t>
    </r>
    <r>
      <rPr>
        <sz val="13"/>
        <color indexed="49"/>
        <rFont val="华文细黑"/>
        <family val="3"/>
        <charset val="134"/>
      </rPr>
      <t>力量</t>
    </r>
  </si>
  <si>
    <t>workPlat_1_icon</t>
  </si>
  <si>
    <t>workPlat_2_icon</t>
  </si>
  <si>
    <t>workPlat_3_icon</t>
  </si>
  <si>
    <t>解锁凡星绢配方</t>
  </si>
  <si>
    <t>解锁精致凡星绢配方</t>
  </si>
  <si>
    <t>解锁极品凡星绢配方</t>
  </si>
  <si>
    <t>解锁柔云织配方</t>
  </si>
  <si>
    <t>解锁精致柔云织配方</t>
  </si>
  <si>
    <t>解锁极品柔云织配方</t>
  </si>
  <si>
    <t>解锁星云帛配方</t>
  </si>
  <si>
    <t>解锁精致星云帛配方</t>
  </si>
  <si>
    <t>解锁极品星云帛配方</t>
  </si>
  <si>
    <t>解锁清凉纱配方</t>
  </si>
  <si>
    <t>解锁精致清凉纱配方</t>
  </si>
  <si>
    <t>解锁极品清凉纱配方</t>
  </si>
  <si>
    <t>解锁极光缎配方</t>
  </si>
  <si>
    <t>解锁精致极光缎配方</t>
  </si>
  <si>
    <t>解锁极品极光缎配方</t>
  </si>
  <si>
    <t>解锁冬夏锦配方</t>
  </si>
  <si>
    <t>解锁精致冬夏锦配方</t>
  </si>
  <si>
    <t>解锁极品冬夏锦配方</t>
  </si>
  <si>
    <t>解锁轻巧荷包配方</t>
  </si>
  <si>
    <t>解锁精致轻巧荷包配方</t>
  </si>
  <si>
    <t>解锁极品轻巧荷包配方</t>
  </si>
  <si>
    <t>解锁芊羽扇配方</t>
  </si>
  <si>
    <t>解锁精致芊羽扇配方</t>
  </si>
  <si>
    <t>解锁极品芊羽扇配方</t>
  </si>
  <si>
    <t>解锁细画绢扇配方</t>
  </si>
  <si>
    <t>解锁精致细画绢扇配方</t>
  </si>
  <si>
    <t>解锁极品细画绢扇配方</t>
  </si>
  <si>
    <t>解锁公主包配方</t>
  </si>
  <si>
    <t>解锁精致公主包配方</t>
  </si>
  <si>
    <t>解锁极品公主包配方</t>
  </si>
  <si>
    <t>解锁曼妙束腰配方</t>
  </si>
  <si>
    <t>解锁精致曼妙束腰配方</t>
  </si>
  <si>
    <t>解锁极品曼妙束腰配方</t>
  </si>
  <si>
    <t>解锁云纹革带配方</t>
  </si>
  <si>
    <t>解锁精致云纹革带配方</t>
  </si>
  <si>
    <t>解锁极品云纹革带配方</t>
  </si>
  <si>
    <t>解锁竹皮编腕配方</t>
  </si>
  <si>
    <t>解锁精致竹皮编腕配方</t>
  </si>
  <si>
    <t>解锁极品竹皮编腕配方</t>
  </si>
  <si>
    <t>解锁星帛竹皮笠配方</t>
  </si>
  <si>
    <t>解锁精致星帛竹皮笠配方</t>
  </si>
  <si>
    <t>解锁极品星帛竹皮笠配方</t>
  </si>
  <si>
    <t>解锁异色影花扇配方</t>
  </si>
  <si>
    <t>解锁精致异色影花扇配方</t>
  </si>
  <si>
    <t>解锁极品异色影花扇配方</t>
  </si>
  <si>
    <t>解锁貂绒坐垫配方</t>
  </si>
  <si>
    <t>解锁精致貂绒坐垫配方</t>
  </si>
  <si>
    <t>解锁极品貂绒坐垫配方</t>
  </si>
  <si>
    <t>解锁貂绒披肩配方</t>
  </si>
  <si>
    <t>解锁精致貂绒披肩配方</t>
  </si>
  <si>
    <t>解锁极品貂绒披肩配方</t>
  </si>
  <si>
    <t>解锁神锦被衾配方</t>
  </si>
  <si>
    <t>解锁精致神锦被衾配方</t>
  </si>
  <si>
    <t>解锁极品神锦被衾配方</t>
  </si>
  <si>
    <t>解锁柳枝襦裙配方</t>
  </si>
  <si>
    <t>解锁精致柳枝襦裙配方</t>
  </si>
  <si>
    <t>解锁极品柳枝襦裙配方</t>
  </si>
  <si>
    <t>解锁银星落罗裙配方</t>
  </si>
  <si>
    <t>解锁精致银星落罗裙配方</t>
  </si>
  <si>
    <t>解锁极品银星落罗裙配方</t>
  </si>
  <si>
    <t>解锁百花时褶裙配方</t>
  </si>
  <si>
    <t>解锁精致百花时褶裙配方</t>
  </si>
  <si>
    <t>解锁极品百花时褶裙配方</t>
  </si>
  <si>
    <t>解锁仙娥锦袍配方</t>
  </si>
  <si>
    <t>解锁精致仙娥锦袍配方</t>
  </si>
  <si>
    <t>解锁极品仙娥锦袍配方</t>
  </si>
  <si>
    <t>解锁凤冠霞帔配方</t>
  </si>
  <si>
    <t>解锁精致凤冠霞帔配方</t>
  </si>
  <si>
    <t>解锁极品凤冠霞帔配方</t>
  </si>
  <si>
    <t>解锁惹香罗衫配方</t>
  </si>
  <si>
    <t>解锁精致惹香罗衫配方</t>
  </si>
  <si>
    <t>解锁极品惹香罗衫配方</t>
  </si>
  <si>
    <t>解锁锦霞云裘配方</t>
  </si>
  <si>
    <t>解锁精致锦霞云裘配方</t>
  </si>
  <si>
    <t>解锁极品锦霞云裘配方</t>
  </si>
  <si>
    <t>解锁梦醒时配方</t>
  </si>
  <si>
    <t>解锁精致梦醒时配方</t>
  </si>
  <si>
    <t>解锁极品梦醒时配方</t>
  </si>
  <si>
    <t>解锁好奇喵配方</t>
  </si>
  <si>
    <t>解锁精致好奇喵配方</t>
  </si>
  <si>
    <t>解锁极品好奇喵配方</t>
  </si>
  <si>
    <t>解锁藏香配方</t>
  </si>
  <si>
    <t>解锁精致藏香配方</t>
  </si>
  <si>
    <t>解锁极品藏香配方</t>
  </si>
  <si>
    <t>解锁狸儿诱配方</t>
  </si>
  <si>
    <t>解锁精致狸儿诱配方</t>
  </si>
  <si>
    <t>解锁极品狸儿诱配方</t>
  </si>
  <si>
    <t>解锁水风清配方</t>
  </si>
  <si>
    <t>解锁精致水风清配方</t>
  </si>
  <si>
    <t>解锁极品水风清配方</t>
  </si>
  <si>
    <t>解锁落霞明配方</t>
  </si>
  <si>
    <t>解锁精致落霞明配方</t>
  </si>
  <si>
    <t>解锁极品落霞明配方</t>
  </si>
  <si>
    <t>解锁甜豆沙配方</t>
  </si>
  <si>
    <t>解锁精致甜豆沙配方</t>
  </si>
  <si>
    <t>解锁极品甜豆沙配方</t>
  </si>
  <si>
    <t>解锁桃花红配方</t>
  </si>
  <si>
    <t>解锁精致桃花红配方</t>
  </si>
  <si>
    <t>解锁极品桃花红配方</t>
  </si>
  <si>
    <t>解锁若凝脂粉霜配方</t>
  </si>
  <si>
    <t>解锁精致若凝脂粉霜配方</t>
  </si>
  <si>
    <t>解锁极品若凝脂粉霜配方</t>
  </si>
  <si>
    <t>解锁若桃花粉霜配方</t>
  </si>
  <si>
    <t>解锁精致若桃花粉霜配方</t>
  </si>
  <si>
    <t>解锁极品若桃花粉霜配方</t>
  </si>
  <si>
    <t>解锁青山黛配方</t>
  </si>
  <si>
    <t>解锁精致青山黛配方</t>
  </si>
  <si>
    <t>解锁极品青山黛配方</t>
  </si>
  <si>
    <t>解锁精致花钿配方</t>
  </si>
  <si>
    <t>解锁极品花钿配方</t>
  </si>
  <si>
    <t>解锁梅子酒配方</t>
  </si>
  <si>
    <t>解锁精致梅子酒配方</t>
  </si>
  <si>
    <t>解锁极品梅子酒配方</t>
  </si>
  <si>
    <t>解锁正宫红配方</t>
  </si>
  <si>
    <t>解锁精致正宫红配方</t>
  </si>
  <si>
    <t>解锁极品正宫红配方</t>
  </si>
  <si>
    <t>解锁香浴清露配方</t>
  </si>
  <si>
    <t>解锁精致香浴清露配方</t>
  </si>
  <si>
    <t>解锁极品香浴清露配方</t>
  </si>
  <si>
    <t>解锁洗颜泡沫配方</t>
  </si>
  <si>
    <t>解锁精致洗颜泡沫配方</t>
  </si>
  <si>
    <t>解锁极品洗颜泡沫配方</t>
  </si>
  <si>
    <t>解锁玉肌霜配方</t>
  </si>
  <si>
    <t>解锁精致玉肌霜配方</t>
  </si>
  <si>
    <t>解锁极品玉肌霜配方</t>
  </si>
  <si>
    <t>解锁焕肤面膜配方</t>
  </si>
  <si>
    <t>解锁精致焕肤面膜配方</t>
  </si>
  <si>
    <t>解锁极品焕肤面膜配方</t>
  </si>
  <si>
    <t>解锁净妆膏脂配方</t>
  </si>
  <si>
    <t>解锁精致净妆膏脂配方</t>
  </si>
  <si>
    <t>解锁极品净妆膏脂配方</t>
  </si>
  <si>
    <t>解锁冰肌水配方</t>
  </si>
  <si>
    <t>解锁精致冰肌水配方</t>
  </si>
  <si>
    <t>解锁极品冰肌水配方</t>
  </si>
  <si>
    <t>解锁去痕凝胶配方</t>
  </si>
  <si>
    <t>解锁精致去痕凝胶配方</t>
  </si>
  <si>
    <t>解锁极品去痕凝胶配方</t>
  </si>
  <si>
    <t>解锁精致素银簪配方</t>
  </si>
  <si>
    <t>解锁极品素银簪配方</t>
  </si>
  <si>
    <t>解锁精致鎏金簪配方</t>
  </si>
  <si>
    <t>解锁极品鎏金簪配方</t>
  </si>
  <si>
    <t>解锁溪涧曲配方</t>
  </si>
  <si>
    <t>解锁精致溪涧曲配方</t>
  </si>
  <si>
    <t>解锁极品溪涧曲配方</t>
  </si>
  <si>
    <t>解锁胧月簪配方</t>
  </si>
  <si>
    <t>解锁精致胧月簪配方</t>
  </si>
  <si>
    <t>解锁极品胧月簪配方</t>
  </si>
  <si>
    <t>解锁月宫桂配方</t>
  </si>
  <si>
    <t>解锁精致月宫桂配方</t>
  </si>
  <si>
    <t>解锁极品月宫桂配方</t>
  </si>
  <si>
    <t>解锁花满枝配方</t>
  </si>
  <si>
    <t>解锁精致花满枝配方</t>
  </si>
  <si>
    <t>解锁极品花满枝配方</t>
  </si>
  <si>
    <t>解锁金卉纹镯配方</t>
  </si>
  <si>
    <t>解锁精致金卉纹镯配方</t>
  </si>
  <si>
    <t>解锁极品金卉纹镯配方</t>
  </si>
  <si>
    <t>解锁精致十里桃花配方</t>
  </si>
  <si>
    <t>解锁极品十里桃花配方</t>
  </si>
  <si>
    <t>解锁离人泪配方</t>
  </si>
  <si>
    <t>解锁精致离人泪配方</t>
  </si>
  <si>
    <t>解锁极品离人泪配方</t>
  </si>
  <si>
    <t>解锁玉狸笔搁配方</t>
  </si>
  <si>
    <t>解锁精致玉狸笔搁配方</t>
  </si>
  <si>
    <t>解锁极品玉狸笔搁配方</t>
  </si>
  <si>
    <t>解锁玉兔腰佩配方</t>
  </si>
  <si>
    <t>解锁精致玉兔腰佩配方</t>
  </si>
  <si>
    <t>解锁极品玉兔腰佩配方</t>
  </si>
  <si>
    <t>解锁朱雀剑穗配方</t>
  </si>
  <si>
    <t>解锁精致朱雀剑穗配方</t>
  </si>
  <si>
    <t>解锁极品朱雀剑穗配方</t>
  </si>
  <si>
    <t>解锁白莲玉香插配方</t>
  </si>
  <si>
    <t>解锁精致白莲玉香插配方</t>
  </si>
  <si>
    <t>解锁极品白莲玉香插配方</t>
  </si>
  <si>
    <t/>
  </si>
  <si>
    <t>21001;3</t>
  </si>
  <si>
    <t>21001;9</t>
  </si>
  <si>
    <t>21002;3</t>
  </si>
  <si>
    <t>21002;9</t>
  </si>
  <si>
    <t>21001;3|21002;3</t>
  </si>
  <si>
    <t>21001;9|21002;9</t>
  </si>
  <si>
    <t>22001;3</t>
  </si>
  <si>
    <t>22001;9</t>
  </si>
  <si>
    <t>22001;27</t>
  </si>
  <si>
    <t>21001;3|22001;1</t>
  </si>
  <si>
    <t>21001;9|22001;3</t>
  </si>
  <si>
    <t>21001;27|22001;9</t>
  </si>
  <si>
    <t>21002;3|22001;1</t>
  </si>
  <si>
    <t>21002;9|22001;3</t>
  </si>
  <si>
    <t>21002;27|22001;9</t>
  </si>
  <si>
    <t>22002;6</t>
  </si>
  <si>
    <t>22002;18</t>
  </si>
  <si>
    <t>22002;54</t>
  </si>
  <si>
    <t>31011;3|21003;2</t>
  </si>
  <si>
    <t>31012;3|21003;6</t>
  </si>
  <si>
    <t>31013;4|21003;18</t>
  </si>
  <si>
    <t>21005;1|31031;5</t>
  </si>
  <si>
    <t>21005;3|31032;5</t>
  </si>
  <si>
    <t>21005;9|31033;1</t>
  </si>
  <si>
    <t>31021;5|23003;2</t>
  </si>
  <si>
    <t>31022;5|23003;6</t>
  </si>
  <si>
    <t>31023;1|23003;18</t>
  </si>
  <si>
    <t>21005;2|22005;1</t>
  </si>
  <si>
    <t>21005;6|22005;3</t>
  </si>
  <si>
    <t>21005;18|22005;9</t>
  </si>
  <si>
    <t>21005;2</t>
  </si>
  <si>
    <t>21005;6</t>
  </si>
  <si>
    <t>21005;18</t>
  </si>
  <si>
    <t>21005;2|31031;1</t>
  </si>
  <si>
    <t>21005;6|31032;1</t>
  </si>
  <si>
    <t>21005;18|31033;1</t>
  </si>
  <si>
    <t>31021;4|21003;1</t>
  </si>
  <si>
    <t>31022;4|21003;3</t>
  </si>
  <si>
    <t>31023;1|21003;9</t>
  </si>
  <si>
    <t>21002;3|22005;2</t>
  </si>
  <si>
    <t>21002;9|22005;6</t>
  </si>
  <si>
    <t>21002;27|22005;18</t>
  </si>
  <si>
    <t>22005;2|21002;5|21003;1</t>
  </si>
  <si>
    <t>22005;6|21002;15|21003;3</t>
  </si>
  <si>
    <t>22005;18|21002;45|21003;9</t>
  </si>
  <si>
    <t>31061;3|21002;5|22005;1</t>
  </si>
  <si>
    <t>31062;3|21002;15|22005;3</t>
  </si>
  <si>
    <t>31063;1|21002;45|22005;9</t>
  </si>
  <si>
    <t>31041;5|21003;3</t>
  </si>
  <si>
    <t>31042;5|21003;9</t>
  </si>
  <si>
    <t>31043;1|21003;27</t>
  </si>
  <si>
    <t>31011;10|21003;4</t>
  </si>
  <si>
    <t>31012;10|21003;12</t>
  </si>
  <si>
    <t>31013;1|21003;36</t>
  </si>
  <si>
    <t>31051;8|21003;1</t>
  </si>
  <si>
    <t>31052;8|21003;3</t>
  </si>
  <si>
    <t>31053;1|21003;9</t>
  </si>
  <si>
    <t>31021;5|21003;2|22002;5|22005;3</t>
  </si>
  <si>
    <t>31022;5|21003;6|22002;15|22005;9</t>
  </si>
  <si>
    <t>31023;1|21003;18|22002;45|22005;27</t>
  </si>
  <si>
    <t>31061;5|22001;5|21003;3|22005;3</t>
  </si>
  <si>
    <t>31062;5|22001;15|21003;9|22005;9</t>
  </si>
  <si>
    <t>31063;1|22001;45|21003;27|22005;27</t>
  </si>
  <si>
    <t>31051;8|22001;1|21003;1|34011;1</t>
  </si>
  <si>
    <t>31052;8|22001;3|21003;3|34012;1</t>
  </si>
  <si>
    <t>31053;1|22001;9|21003;9|34013;1</t>
  </si>
  <si>
    <t>31021;5|22001;5|21003;2|22002;15</t>
  </si>
  <si>
    <t>31022;5|22001;15|21003;6|22002;45</t>
  </si>
  <si>
    <t>31023;1|22001;45|21003;18|22002;135</t>
  </si>
  <si>
    <t>21003;2</t>
  </si>
  <si>
    <t>21003;6</t>
  </si>
  <si>
    <t>21003;18</t>
  </si>
  <si>
    <t>21004;2</t>
  </si>
  <si>
    <t>21004;6</t>
  </si>
  <si>
    <t>21004;18</t>
  </si>
  <si>
    <t>23002;2|21004;1</t>
  </si>
  <si>
    <t>23002;6|21004;3</t>
  </si>
  <si>
    <t>23002;18|21004;9</t>
  </si>
  <si>
    <t>23002;2|21003;2</t>
  </si>
  <si>
    <t>23002;6|21003;6</t>
  </si>
  <si>
    <t>23002;18|21003;18</t>
  </si>
  <si>
    <t>21003;2|22003;1</t>
  </si>
  <si>
    <t>21003;6|22003;3</t>
  </si>
  <si>
    <t>21003;18|22003;9</t>
  </si>
  <si>
    <t>21003;4|22003;4|34021;2</t>
  </si>
  <si>
    <t>21003;12|22003;12|34022;2</t>
  </si>
  <si>
    <t>21003;36|22003;36|34023;1</t>
  </si>
  <si>
    <t>22006;3|34022;1</t>
  </si>
  <si>
    <t>22006;9|34023;1</t>
  </si>
  <si>
    <t>22006;3|34011;1|21003;1</t>
  </si>
  <si>
    <t>22006;9|34012;1|21003;3</t>
  </si>
  <si>
    <t>22006;27|34013;1|21003;9</t>
  </si>
  <si>
    <t>23001;5|21003;2|23002;5</t>
  </si>
  <si>
    <t>23001;15|21003;6|23002;15</t>
  </si>
  <si>
    <t>23001;45|21003;18|23002;45</t>
  </si>
  <si>
    <t>23001;2|34021;1|22001;3</t>
  </si>
  <si>
    <t>23001;6|34022;1|22001;9</t>
  </si>
  <si>
    <t>23001;18|34023;1|22001;27</t>
  </si>
  <si>
    <t>21003;2|22003;3|23001;2</t>
  </si>
  <si>
    <t>21003;6|22003;9|23001;6</t>
  </si>
  <si>
    <t>21003;18|22003;27|23001;18</t>
  </si>
  <si>
    <t>21003;1|22003;1|34011;2</t>
  </si>
  <si>
    <t>21003;3|22003;3|34012;2</t>
  </si>
  <si>
    <t>21003;9|22003;9|34013;1</t>
  </si>
  <si>
    <t>22004;3|34011;1</t>
  </si>
  <si>
    <t>22004;9|34012;1</t>
  </si>
  <si>
    <t>22004;27|34013;1</t>
  </si>
  <si>
    <t>22004;2|23002;3</t>
  </si>
  <si>
    <t>22004;6|23002;9</t>
  </si>
  <si>
    <t>22004;18|23002;27</t>
  </si>
  <si>
    <t>22003;3|21004;1</t>
  </si>
  <si>
    <t>22003;9|21004;3</t>
  </si>
  <si>
    <t>22003;27|21004;9</t>
  </si>
  <si>
    <t>21006;2|22006;1|31041;1</t>
  </si>
  <si>
    <t>21006;6|22006;3|31042;1</t>
  </si>
  <si>
    <t>21006;18|22006;9|31043;1</t>
  </si>
  <si>
    <t>22004;3|22003;1</t>
  </si>
  <si>
    <t>22004;9|22003;3</t>
  </si>
  <si>
    <t>22004;27|22003;9</t>
  </si>
  <si>
    <t>21006;1|34011;2</t>
  </si>
  <si>
    <t>21006;3|34012;2</t>
  </si>
  <si>
    <t>21006;9|34013;1</t>
  </si>
  <si>
    <t>21006;1|22006;1|21004;1</t>
  </si>
  <si>
    <t>21006;3|22006;3|21004;3</t>
  </si>
  <si>
    <t>21006;9|22006;9|21004;9</t>
  </si>
  <si>
    <t>23001;45</t>
  </si>
  <si>
    <t>23001;10</t>
  </si>
  <si>
    <t>23001;30</t>
  </si>
  <si>
    <t>23001;90</t>
  </si>
  <si>
    <t>23001;15|23003;1</t>
  </si>
  <si>
    <t>23001;45|23003;3</t>
  </si>
  <si>
    <t>23001;135|23003;9</t>
  </si>
  <si>
    <t>23001;5|23005;2</t>
  </si>
  <si>
    <t>23001;15|23005;6</t>
  </si>
  <si>
    <t>23001;45|23005;18</t>
  </si>
  <si>
    <t>37021;1|23004;2|23006;3</t>
  </si>
  <si>
    <t>37022;1|23004;6|23006;9</t>
  </si>
  <si>
    <t>37023;1|23004;18|23006;27</t>
  </si>
  <si>
    <t>37011;1|23003;1|23004;2</t>
  </si>
  <si>
    <t>37012;1|23003;3|23004;6</t>
  </si>
  <si>
    <t>37013;1|23003;9|23004;18</t>
  </si>
  <si>
    <t>23001;15|23006;2</t>
  </si>
  <si>
    <t>23001;45|23006;6</t>
  </si>
  <si>
    <t>23001;135|23006;18</t>
  </si>
  <si>
    <t>23001;5|23003;2|23004;1</t>
  </si>
  <si>
    <t>23001;15|23003;6|23004;3</t>
  </si>
  <si>
    <t>23001;45|23003;18|23004;9</t>
  </si>
  <si>
    <t>23001;5|22006;2</t>
  </si>
  <si>
    <t>23001;15|22006;6</t>
  </si>
  <si>
    <t>23001;45|22006;18</t>
  </si>
  <si>
    <t>23005;2|23002;4</t>
  </si>
  <si>
    <t>23005;6|23002;12</t>
  </si>
  <si>
    <t>23005;18|23002;36</t>
  </si>
  <si>
    <t>23005;2|22001;4|23006;2</t>
  </si>
  <si>
    <t>23005;6|22001;12|23006;6</t>
  </si>
  <si>
    <t>23005;18|22001;36|23006;18</t>
  </si>
  <si>
    <t>23004;2|22001;5</t>
  </si>
  <si>
    <t>23004;6|22001;15</t>
  </si>
  <si>
    <t>23004;18|22001;45</t>
  </si>
  <si>
    <t>23004;2|23005;1|22006;1</t>
  </si>
  <si>
    <t>23004;6|23005;3|22006;3</t>
  </si>
  <si>
    <t>23004;18|23005;9|22006;9</t>
  </si>
  <si>
    <t>1;500</t>
    <phoneticPr fontId="34" type="noConversion"/>
  </si>
  <si>
    <t>1;1000</t>
    <phoneticPr fontId="34" type="noConversion"/>
  </si>
  <si>
    <t>1;750</t>
    <phoneticPr fontId="34" type="noConversion"/>
  </si>
  <si>
    <t>1;1250</t>
  </si>
  <si>
    <t>1;1750</t>
  </si>
  <si>
    <t>1;2250</t>
  </si>
  <si>
    <t>1;2750</t>
  </si>
  <si>
    <t>1;3250</t>
  </si>
  <si>
    <t>1;3750</t>
  </si>
  <si>
    <t>1;4250</t>
  </si>
  <si>
    <t>1;4750</t>
  </si>
  <si>
    <t>1;5300</t>
    <phoneticPr fontId="34" type="noConversion"/>
  </si>
  <si>
    <t>1;8500</t>
    <phoneticPr fontId="34" type="noConversion"/>
  </si>
  <si>
    <t>1;12500</t>
  </si>
  <si>
    <t>1;13000</t>
  </si>
  <si>
    <t>1;13500</t>
  </si>
  <si>
    <t>1;14000</t>
  </si>
  <si>
    <t>1;14500</t>
  </si>
  <si>
    <t>1;15000</t>
  </si>
  <si>
    <t>1;15500</t>
  </si>
  <si>
    <t>1;16000</t>
  </si>
  <si>
    <t>1;16500</t>
  </si>
  <si>
    <t>1;17500</t>
  </si>
  <si>
    <t>1;18000</t>
  </si>
  <si>
    <t>1;18500</t>
  </si>
  <si>
    <t>1;19000</t>
  </si>
  <si>
    <t>1;19500</t>
  </si>
  <si>
    <t>1;20000</t>
  </si>
  <si>
    <t>1;21000</t>
    <phoneticPr fontId="34" type="noConversion"/>
  </si>
  <si>
    <t>1;22000</t>
  </si>
  <si>
    <t>1;23000</t>
  </si>
  <si>
    <t>1;25000</t>
  </si>
  <si>
    <t>1;26000</t>
  </si>
  <si>
    <t>1;27000</t>
  </si>
  <si>
    <t>1;28000</t>
  </si>
  <si>
    <t>1;29000</t>
  </si>
  <si>
    <t>1;30000</t>
  </si>
  <si>
    <t>1;31000</t>
  </si>
  <si>
    <t>1;32000</t>
  </si>
  <si>
    <t>1;33000</t>
  </si>
  <si>
    <t>1;34000</t>
  </si>
  <si>
    <t>1;35000</t>
  </si>
  <si>
    <t>1;36000</t>
  </si>
  <si>
    <t>1;37000</t>
  </si>
  <si>
    <t>1;38000</t>
  </si>
  <si>
    <t>1;39000</t>
  </si>
  <si>
    <t>1;40000</t>
  </si>
  <si>
    <t>1;41000</t>
  </si>
  <si>
    <t>1;42000</t>
  </si>
  <si>
    <t>1;43000</t>
  </si>
  <si>
    <t>1;44000</t>
  </si>
  <si>
    <t>1;45000</t>
  </si>
  <si>
    <t>1;46000</t>
  </si>
  <si>
    <t>1;47000</t>
  </si>
  <si>
    <t>1;48000</t>
  </si>
  <si>
    <t>1;49000</t>
  </si>
  <si>
    <t>1;52000</t>
    <phoneticPr fontId="34" type="noConversion"/>
  </si>
  <si>
    <t>1;54000</t>
  </si>
  <si>
    <t>1;56000</t>
  </si>
  <si>
    <t>1;58000</t>
  </si>
  <si>
    <t>1;60000</t>
  </si>
  <si>
    <t>1;62000</t>
  </si>
  <si>
    <t>1;64000</t>
  </si>
  <si>
    <t>1;66000</t>
  </si>
  <si>
    <t>1;68000</t>
  </si>
  <si>
    <t>1;70000</t>
  </si>
  <si>
    <t>1;72000</t>
  </si>
  <si>
    <t>1;74000</t>
  </si>
  <si>
    <t>1;76000</t>
  </si>
  <si>
    <t>1;78000</t>
  </si>
  <si>
    <t>1;80000</t>
  </si>
  <si>
    <t>1;82500</t>
    <phoneticPr fontId="34" type="noConversion"/>
  </si>
  <si>
    <t>1;85000</t>
  </si>
  <si>
    <t>1;87500</t>
  </si>
  <si>
    <t>1;90000</t>
  </si>
  <si>
    <t>1;92500</t>
  </si>
  <si>
    <t>1;95000</t>
  </si>
  <si>
    <t>1;97500</t>
  </si>
  <si>
    <t>1;102500</t>
  </si>
  <si>
    <t>1;105000</t>
  </si>
  <si>
    <t>1;107500</t>
  </si>
  <si>
    <t>1;110000</t>
  </si>
  <si>
    <t>1;120000</t>
  </si>
  <si>
    <t>1;125000</t>
  </si>
  <si>
    <t>1;115000</t>
    <phoneticPr fontId="34" type="noConversion"/>
  </si>
  <si>
    <t>1;130000</t>
  </si>
  <si>
    <t>1;135000</t>
  </si>
  <si>
    <t>1;140000</t>
  </si>
  <si>
    <t>1;145000</t>
  </si>
  <si>
    <t>1;1;2000</t>
    <phoneticPr fontId="34" type="noConversion"/>
  </si>
  <si>
    <t>1;1;3000</t>
  </si>
  <si>
    <t>1;1;3000</t>
    <phoneticPr fontId="34" type="noConversion"/>
  </si>
  <si>
    <t>1;1;5000</t>
    <phoneticPr fontId="34" type="noConversion"/>
  </si>
  <si>
    <t>1;1;10000</t>
    <phoneticPr fontId="34" type="noConversion"/>
  </si>
  <si>
    <t>1;1;50000</t>
    <phoneticPr fontId="34" type="noConversion"/>
  </si>
  <si>
    <t>1;1;100</t>
    <phoneticPr fontId="34" type="noConversion"/>
  </si>
  <si>
    <t>64;-220</t>
    <phoneticPr fontId="34" type="noConversion"/>
  </si>
  <si>
    <t>21001;1</t>
    <phoneticPr fontId="34" type="noConversion"/>
  </si>
  <si>
    <t>21003;1</t>
    <phoneticPr fontId="34" type="noConversion"/>
  </si>
  <si>
    <t>261;651</t>
    <phoneticPr fontId="34" type="noConversion"/>
  </si>
  <si>
    <t>460;651</t>
    <phoneticPr fontId="34" type="noConversion"/>
  </si>
  <si>
    <t>258;512</t>
    <phoneticPr fontId="34" type="noConversion"/>
  </si>
  <si>
    <t>468;512</t>
    <phoneticPr fontId="34" type="noConversion"/>
  </si>
  <si>
    <t>252;364</t>
    <phoneticPr fontId="34" type="noConversion"/>
  </si>
  <si>
    <t>475;364</t>
    <phoneticPr fontId="34" type="noConversion"/>
  </si>
  <si>
    <t>*</t>
    <phoneticPr fontId="34" type="noConversion"/>
  </si>
  <si>
    <t>271;643</t>
    <phoneticPr fontId="34" type="noConversion"/>
  </si>
  <si>
    <t>468;654</t>
    <phoneticPr fontId="34" type="noConversion"/>
  </si>
  <si>
    <t>264;519</t>
    <phoneticPr fontId="34" type="noConversion"/>
  </si>
  <si>
    <t>269;371</t>
    <phoneticPr fontId="34" type="noConversion"/>
  </si>
  <si>
    <t>480;375</t>
    <phoneticPr fontId="34" type="noConversion"/>
  </si>
  <si>
    <t>468;519</t>
    <phoneticPr fontId="34" type="noConversion"/>
  </si>
  <si>
    <t>490;640</t>
    <phoneticPr fontId="34" type="noConversion"/>
  </si>
  <si>
    <t>262;640</t>
    <phoneticPr fontId="34" type="noConversion"/>
  </si>
  <si>
    <t>270;512</t>
    <phoneticPr fontId="34" type="noConversion"/>
  </si>
  <si>
    <t>486;512</t>
    <phoneticPr fontId="34" type="noConversion"/>
  </si>
  <si>
    <t>278;363</t>
    <phoneticPr fontId="34" type="noConversion"/>
  </si>
  <si>
    <t>495;363</t>
    <phoneticPr fontId="34" type="noConversion"/>
  </si>
  <si>
    <t>320;920</t>
    <phoneticPr fontId="34" type="noConversion"/>
  </si>
  <si>
    <t>262;958|302;873|303;896</t>
    <phoneticPr fontId="34" type="noConversion"/>
  </si>
  <si>
    <t>kuangchang1</t>
    <phoneticPr fontId="34" type="noConversion"/>
  </si>
  <si>
    <t>默认icon</t>
    <phoneticPr fontId="34" type="noConversion"/>
  </si>
  <si>
    <t>icon_gazebo_active</t>
    <phoneticPr fontId="34" type="noConversion"/>
  </si>
  <si>
    <t>icon_anim_active</t>
    <phoneticPr fontId="34" type="noConversion"/>
  </si>
  <si>
    <t>icon_plant_active</t>
    <phoneticPr fontId="34" type="noConversion"/>
  </si>
  <si>
    <t>icon_treasure_active</t>
    <phoneticPr fontId="34" type="noConversion"/>
  </si>
  <si>
    <t>TabDefultIcon</t>
    <phoneticPr fontId="34" type="noConversion"/>
  </si>
  <si>
    <t>icon_expedition_active</t>
    <phoneticPr fontId="34" type="noConversion"/>
  </si>
  <si>
    <t>TabSelectIcon</t>
    <phoneticPr fontId="34" type="noConversion"/>
  </si>
  <si>
    <t>选中icon</t>
    <phoneticPr fontId="34" type="noConversion"/>
  </si>
  <si>
    <t>icon_expedition_pressed</t>
    <phoneticPr fontId="34" type="noConversion"/>
  </si>
  <si>
    <t>icon_gazebo_pressed</t>
    <phoneticPr fontId="34" type="noConversion"/>
  </si>
  <si>
    <t>icon_plant_pressed</t>
    <phoneticPr fontId="34" type="noConversion"/>
  </si>
  <si>
    <t>icon_anim_pressed</t>
    <phoneticPr fontId="34" type="noConversion"/>
  </si>
  <si>
    <t>icon_treasure_pressed</t>
    <phoneticPr fontId="34" type="noConversion"/>
  </si>
  <si>
    <t>猫探险</t>
    <phoneticPr fontId="34" type="noConversion"/>
  </si>
  <si>
    <t>育苗</t>
    <phoneticPr fontId="34" type="noConversion"/>
  </si>
  <si>
    <t>农田</t>
    <phoneticPr fontId="34" type="noConversion"/>
  </si>
  <si>
    <t>背包</t>
    <phoneticPr fontId="34" type="noConversion"/>
  </si>
  <si>
    <t>奶猫窝1</t>
    <phoneticPr fontId="34" type="noConversion"/>
  </si>
  <si>
    <t>奶猫窝2</t>
  </si>
  <si>
    <t>奶猫窝3</t>
  </si>
  <si>
    <t>奶猫窝4</t>
  </si>
  <si>
    <t>奶猫窝5</t>
  </si>
  <si>
    <t>奶猫窝6</t>
  </si>
  <si>
    <t>牧灵</t>
    <phoneticPr fontId="34" type="noConversion"/>
  </si>
  <si>
    <t>鉴宝</t>
    <phoneticPr fontId="34" type="noConversion"/>
  </si>
  <si>
    <t>backhint0</t>
    <phoneticPr fontId="34" type="noConversion"/>
  </si>
  <si>
    <t>backhint4</t>
  </si>
  <si>
    <t>shanlinkuang1|xiangmuxie1|shuijingjing1|tianrenlei1|qionglingshi1|yemingsha1</t>
    <phoneticPr fontId="34" type="noConversion"/>
  </si>
  <si>
    <t>0|4|5|6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</si>
</sst>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36" x14ac:knownFonts="1">
    <font>
      <sz val="11"/>
      <color indexed="8"/>
      <name val="宋体"/>
      <charset val="134"/>
    </font>
    <font>
      <sz val="13"/>
      <color indexed="49"/>
      <name val="华文细黑"/>
      <family val="3"/>
      <charset val="134"/>
    </font>
    <font>
      <b/>
      <sz val="8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sz val="9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9"/>
      <color indexed="9"/>
      <name val="微软雅黑"/>
      <family val="2"/>
      <charset val="134"/>
    </font>
    <font>
      <sz val="9"/>
      <color theme="4"/>
      <name val="微软雅黑"/>
      <family val="2"/>
      <charset val="134"/>
    </font>
    <font>
      <sz val="9"/>
      <color theme="1" tint="0.249977111117893"/>
      <name val="微软雅黑"/>
      <family val="2"/>
      <charset val="134"/>
    </font>
    <font>
      <sz val="9"/>
      <color theme="2" tint="-0.749992370372631"/>
      <name val="微软雅黑"/>
      <family val="2"/>
      <charset val="134"/>
    </font>
    <font>
      <sz val="9"/>
      <color theme="3" tint="0.39988402966399123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9"/>
      <color indexed="4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52"/>
      <name val="微软雅黑"/>
      <family val="2"/>
      <charset val="134"/>
    </font>
    <font>
      <i/>
      <sz val="9"/>
      <color indexed="23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b/>
      <sz val="9"/>
      <color indexed="42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318">
    <xf numFmtId="176" fontId="0" fillId="0" borderId="0">
      <alignment vertical="center"/>
    </xf>
    <xf numFmtId="0" fontId="20" fillId="0" borderId="7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3" fillId="19" borderId="8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176" fontId="8" fillId="0" borderId="0">
      <alignment vertical="center"/>
    </xf>
    <xf numFmtId="0" fontId="18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0" fontId="18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3" fillId="19" borderId="8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176" fontId="8" fillId="0" borderId="0">
      <alignment vertical="center"/>
    </xf>
    <xf numFmtId="0" fontId="28" fillId="26" borderId="11" applyNumberForma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23" fillId="19" borderId="8" applyNumberFormat="0" applyAlignment="0" applyProtection="0">
      <alignment vertical="center"/>
    </xf>
    <xf numFmtId="0" fontId="23" fillId="19" borderId="8" applyNumberFormat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9" fillId="19" borderId="6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176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8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176" fontId="8" fillId="0" borderId="0">
      <alignment vertical="center"/>
    </xf>
    <xf numFmtId="0" fontId="18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8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176" fontId="8" fillId="0" borderId="0">
      <alignment vertical="center"/>
    </xf>
    <xf numFmtId="0" fontId="18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176" fontId="8" fillId="0" borderId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3" fillId="19" borderId="8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8" fillId="26" borderId="1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8" fillId="26" borderId="11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8" fillId="26" borderId="11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176" fontId="8" fillId="0" borderId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176" fontId="15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29" fillId="23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22" fillId="28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18" fillId="30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15" fillId="0" borderId="0">
      <alignment vertical="center"/>
    </xf>
    <xf numFmtId="176" fontId="8" fillId="0" borderId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0" fontId="33" fillId="22" borderId="8" applyNumberFormat="0" applyAlignment="0" applyProtection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176" fontId="15" fillId="0" borderId="0">
      <alignment vertical="center"/>
    </xf>
    <xf numFmtId="176" fontId="8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30" fillId="0" borderId="13" applyNumberFormat="0" applyFill="0" applyAlignment="0" applyProtection="0">
      <alignment vertical="center"/>
    </xf>
    <xf numFmtId="0" fontId="28" fillId="26" borderId="1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3" fillId="22" borderId="8" applyNumberFormat="0" applyAlignment="0" applyProtection="0">
      <alignment vertical="center"/>
    </xf>
    <xf numFmtId="0" fontId="33" fillId="22" borderId="8" applyNumberFormat="0" applyAlignment="0" applyProtection="0">
      <alignment vertical="center"/>
    </xf>
    <xf numFmtId="0" fontId="33" fillId="22" borderId="8" applyNumberFormat="0" applyAlignment="0" applyProtection="0">
      <alignment vertical="center"/>
    </xf>
    <xf numFmtId="0" fontId="33" fillId="22" borderId="8" applyNumberFormat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8" fillId="18" borderId="5" applyNumberFormat="0" applyFont="0" applyAlignment="0" applyProtection="0">
      <alignment vertical="center"/>
    </xf>
    <xf numFmtId="0" fontId="8" fillId="18" borderId="5" applyNumberFormat="0" applyFont="0" applyAlignment="0" applyProtection="0">
      <alignment vertical="center"/>
    </xf>
  </cellStyleXfs>
  <cellXfs count="69">
    <xf numFmtId="176" fontId="0" fillId="0" borderId="0" xfId="0">
      <alignment vertical="center"/>
    </xf>
    <xf numFmtId="176" fontId="0" fillId="2" borderId="0" xfId="0" applyFill="1">
      <alignment vertical="center"/>
    </xf>
    <xf numFmtId="0" fontId="1" fillId="3" borderId="1" xfId="237" applyNumberFormat="1" applyFont="1" applyFill="1" applyBorder="1" applyAlignment="1">
      <alignment horizontal="center" vertical="center"/>
    </xf>
    <xf numFmtId="0" fontId="2" fillId="0" borderId="1" xfId="237" applyNumberFormat="1" applyFont="1" applyFill="1" applyBorder="1" applyAlignment="1">
      <alignment horizontal="center" vertical="center"/>
    </xf>
    <xf numFmtId="0" fontId="2" fillId="3" borderId="1" xfId="237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3" fillId="4" borderId="1" xfId="237" applyNumberFormat="1" applyFont="1" applyFill="1" applyBorder="1" applyAlignment="1">
      <alignment horizontal="center" vertical="center" shrinkToFit="1"/>
    </xf>
    <xf numFmtId="0" fontId="4" fillId="5" borderId="1" xfId="237" applyNumberFormat="1" applyFont="1" applyFill="1" applyBorder="1" applyAlignment="1">
      <alignment horizontal="center" vertical="center"/>
    </xf>
    <xf numFmtId="0" fontId="1" fillId="4" borderId="1" xfId="237" applyNumberFormat="1" applyFont="1" applyFill="1" applyBorder="1" applyAlignment="1">
      <alignment horizontal="center" vertical="center" shrinkToFit="1"/>
    </xf>
    <xf numFmtId="0" fontId="1" fillId="5" borderId="1" xfId="237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0" fontId="5" fillId="5" borderId="1" xfId="237" applyNumberFormat="1" applyFont="1" applyFill="1" applyBorder="1" applyAlignment="1">
      <alignment horizontal="center" vertical="center"/>
    </xf>
    <xf numFmtId="0" fontId="3" fillId="2" borderId="1" xfId="237" applyNumberFormat="1" applyFont="1" applyFill="1" applyBorder="1" applyAlignment="1">
      <alignment horizontal="center" vertical="center" shrinkToFit="1"/>
    </xf>
    <xf numFmtId="0" fontId="3" fillId="2" borderId="2" xfId="237" applyNumberFormat="1" applyFont="1" applyFill="1" applyBorder="1" applyAlignment="1">
      <alignment horizontal="center" vertical="center" shrinkToFit="1"/>
    </xf>
    <xf numFmtId="0" fontId="3" fillId="2" borderId="2" xfId="237" applyNumberFormat="1" applyFont="1" applyFill="1" applyBorder="1" applyAlignment="1">
      <alignment horizontal="center" vertical="center" wrapText="1" shrinkToFit="1"/>
    </xf>
    <xf numFmtId="0" fontId="5" fillId="2" borderId="2" xfId="237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7" fillId="0" borderId="1" xfId="237" applyNumberFormat="1" applyFont="1" applyBorder="1" applyAlignment="1">
      <alignment horizontal="center" vertical="center" shrinkToFit="1"/>
    </xf>
    <xf numFmtId="0" fontId="6" fillId="0" borderId="2" xfId="237" applyNumberFormat="1" applyFont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0" fontId="6" fillId="0" borderId="3" xfId="237" applyNumberFormat="1" applyFont="1" applyFill="1" applyBorder="1" applyAlignment="1">
      <alignment horizontal="center" vertical="center"/>
    </xf>
    <xf numFmtId="176" fontId="8" fillId="0" borderId="0" xfId="237">
      <alignment vertical="center"/>
    </xf>
    <xf numFmtId="0" fontId="6" fillId="6" borderId="1" xfId="237" applyNumberFormat="1" applyFont="1" applyFill="1" applyBorder="1" applyAlignment="1">
      <alignment horizontal="center" vertical="center"/>
    </xf>
    <xf numFmtId="0" fontId="6" fillId="0" borderId="1" xfId="237" applyNumberFormat="1" applyFont="1" applyFill="1" applyBorder="1" applyAlignment="1">
      <alignment horizontal="center" vertical="center"/>
    </xf>
    <xf numFmtId="0" fontId="9" fillId="5" borderId="1" xfId="237" applyNumberFormat="1" applyFont="1" applyFill="1" applyBorder="1" applyAlignment="1">
      <alignment horizontal="center" vertical="center" shrinkToFit="1"/>
    </xf>
    <xf numFmtId="0" fontId="7" fillId="0" borderId="1" xfId="237" applyNumberFormat="1" applyFont="1" applyFill="1" applyBorder="1" applyAlignment="1">
      <alignment horizontal="center" vertical="center" shrinkToFit="1"/>
    </xf>
    <xf numFmtId="0" fontId="2" fillId="3" borderId="1" xfId="0" applyNumberFormat="1" applyFont="1" applyFill="1" applyBorder="1" applyAlignment="1">
      <alignment horizontal="center" vertical="center"/>
    </xf>
    <xf numFmtId="0" fontId="9" fillId="5" borderId="1" xfId="0" applyNumberFormat="1" applyFont="1" applyFill="1" applyBorder="1" applyAlignment="1">
      <alignment horizontal="center" vertical="center" shrinkToFit="1"/>
    </xf>
    <xf numFmtId="0" fontId="3" fillId="4" borderId="4" xfId="237" applyNumberFormat="1" applyFont="1" applyFill="1" applyBorder="1" applyAlignment="1">
      <alignment horizontal="center" vertical="center" shrinkToFit="1"/>
    </xf>
    <xf numFmtId="49" fontId="8" fillId="0" borderId="0" xfId="0" applyNumberFormat="1" applyFont="1">
      <alignment vertical="center"/>
    </xf>
    <xf numFmtId="0" fontId="7" fillId="6" borderId="1" xfId="237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0" fontId="10" fillId="0" borderId="1" xfId="237" applyNumberFormat="1" applyFont="1" applyFill="1" applyBorder="1" applyAlignment="1">
      <alignment horizontal="center" vertical="center" shrinkToFit="1"/>
    </xf>
    <xf numFmtId="0" fontId="10" fillId="6" borderId="1" xfId="237" applyNumberFormat="1" applyFont="1" applyFill="1" applyBorder="1" applyAlignment="1">
      <alignment horizontal="center" vertical="center" shrinkToFit="1"/>
    </xf>
    <xf numFmtId="21" fontId="7" fillId="7" borderId="1" xfId="237" applyNumberFormat="1" applyFont="1" applyFill="1" applyBorder="1" applyAlignment="1">
      <alignment horizontal="center" vertical="center" shrinkToFit="1"/>
    </xf>
    <xf numFmtId="0" fontId="6" fillId="0" borderId="2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8" borderId="1" xfId="237" applyNumberFormat="1" applyFont="1" applyFill="1" applyBorder="1" applyAlignment="1">
      <alignment horizontal="center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21" fontId="7" fillId="0" borderId="1" xfId="237" applyNumberFormat="1" applyFont="1" applyFill="1" applyBorder="1" applyAlignment="1">
      <alignment horizontal="center" vertical="center" shrinkToFit="1"/>
    </xf>
    <xf numFmtId="21" fontId="7" fillId="6" borderId="1" xfId="237" applyNumberFormat="1" applyFont="1" applyFill="1" applyBorder="1" applyAlignment="1">
      <alignment horizontal="center" vertical="center" shrinkToFit="1"/>
    </xf>
    <xf numFmtId="0" fontId="11" fillId="0" borderId="2" xfId="0" applyNumberFormat="1" applyFont="1" applyFill="1" applyBorder="1" applyAlignment="1">
      <alignment horizontal="center" vertical="center" shrinkToFit="1"/>
    </xf>
    <xf numFmtId="0" fontId="12" fillId="0" borderId="1" xfId="237" applyNumberFormat="1" applyFont="1" applyFill="1" applyBorder="1" applyAlignment="1">
      <alignment horizontal="center" vertical="center" shrinkToFi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3" fillId="0" borderId="2" xfId="0" applyNumberFormat="1" applyFont="1" applyFill="1" applyBorder="1" applyAlignment="1">
      <alignment horizontal="center" vertical="center" shrinkToFit="1"/>
    </xf>
    <xf numFmtId="0" fontId="13" fillId="0" borderId="1" xfId="237" applyNumberFormat="1" applyFont="1" applyFill="1" applyBorder="1" applyAlignment="1">
      <alignment horizontal="center" vertical="center" shrinkToFit="1"/>
    </xf>
    <xf numFmtId="0" fontId="14" fillId="0" borderId="2" xfId="0" applyNumberFormat="1" applyFont="1" applyFill="1" applyBorder="1" applyAlignment="1">
      <alignment horizontal="center" vertical="center" shrinkToFit="1"/>
    </xf>
    <xf numFmtId="0" fontId="5" fillId="9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0" fontId="6" fillId="10" borderId="1" xfId="0" applyNumberFormat="1" applyFont="1" applyFill="1" applyBorder="1" applyAlignment="1">
      <alignment horizontal="center" vertical="center"/>
    </xf>
    <xf numFmtId="0" fontId="6" fillId="11" borderId="1" xfId="0" applyNumberFormat="1" applyFont="1" applyFill="1" applyBorder="1" applyAlignment="1">
      <alignment horizontal="center" vertical="center"/>
    </xf>
    <xf numFmtId="0" fontId="6" fillId="12" borderId="1" xfId="0" applyNumberFormat="1" applyFont="1" applyFill="1" applyBorder="1" applyAlignment="1">
      <alignment horizontal="center" vertical="center"/>
    </xf>
    <xf numFmtId="0" fontId="6" fillId="13" borderId="1" xfId="0" applyNumberFormat="1" applyFont="1" applyFill="1" applyBorder="1" applyAlignment="1">
      <alignment horizontal="center" vertical="center"/>
    </xf>
    <xf numFmtId="0" fontId="15" fillId="7" borderId="1" xfId="0" applyNumberFormat="1" applyFont="1" applyFill="1" applyBorder="1" applyAlignment="1">
      <alignment horizontal="center" vertical="center"/>
    </xf>
    <xf numFmtId="0" fontId="15" fillId="14" borderId="1" xfId="0" applyNumberFormat="1" applyFont="1" applyFill="1" applyBorder="1" applyAlignment="1">
      <alignment horizontal="center" vertical="center"/>
    </xf>
    <xf numFmtId="0" fontId="7" fillId="15" borderId="1" xfId="237" applyNumberFormat="1" applyFont="1" applyFill="1" applyBorder="1" applyAlignment="1">
      <alignment horizontal="center" vertical="center" shrinkToFit="1"/>
    </xf>
    <xf numFmtId="0" fontId="3" fillId="2" borderId="1" xfId="237" applyNumberFormat="1" applyFont="1" applyFill="1" applyBorder="1" applyAlignment="1">
      <alignment horizontal="center" vertical="center" wrapText="1" shrinkToFit="1"/>
    </xf>
    <xf numFmtId="49" fontId="6" fillId="0" borderId="1" xfId="0" applyNumberFormat="1" applyFont="1" applyFill="1" applyBorder="1" applyAlignment="1">
      <alignment horizontal="center" vertical="center"/>
    </xf>
    <xf numFmtId="49" fontId="7" fillId="0" borderId="1" xfId="237" applyNumberFormat="1" applyFont="1" applyFill="1" applyBorder="1" applyAlignment="1">
      <alignment horizontal="center" vertical="center" shrinkToFit="1"/>
    </xf>
    <xf numFmtId="49" fontId="6" fillId="6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0" fontId="6" fillId="15" borderId="1" xfId="0" applyNumberFormat="1" applyFont="1" applyFill="1" applyBorder="1" applyAlignment="1">
      <alignment horizontal="center" vertical="center"/>
    </xf>
    <xf numFmtId="0" fontId="16" fillId="0" borderId="1" xfId="0" applyNumberFormat="1" applyFont="1" applyBorder="1" applyAlignment="1">
      <alignment horizontal="center" vertical="center"/>
    </xf>
    <xf numFmtId="0" fontId="17" fillId="5" borderId="1" xfId="0" applyNumberFormat="1" applyFont="1" applyFill="1" applyBorder="1" applyAlignment="1">
      <alignment horizontal="center" vertical="center"/>
    </xf>
    <xf numFmtId="0" fontId="16" fillId="16" borderId="1" xfId="0" applyNumberFormat="1" applyFont="1" applyFill="1" applyBorder="1" applyAlignment="1">
      <alignment horizontal="left" vertical="center" shrinkToFit="1"/>
    </xf>
    <xf numFmtId="0" fontId="6" fillId="6" borderId="1" xfId="0" quotePrefix="1" applyNumberFormat="1" applyFont="1" applyFill="1" applyBorder="1" applyAlignment="1">
      <alignment horizontal="center" vertical="center"/>
    </xf>
    <xf numFmtId="0" fontId="6" fillId="0" borderId="1" xfId="0" quotePrefix="1" applyNumberFormat="1" applyFont="1" applyFill="1" applyBorder="1" applyAlignment="1">
      <alignment horizontal="center" vertical="center"/>
    </xf>
    <xf numFmtId="0" fontId="17" fillId="5" borderId="1" xfId="0" applyNumberFormat="1" applyFont="1" applyFill="1" applyBorder="1" applyAlignment="1">
      <alignment horizontal="center" vertical="center"/>
    </xf>
  </cellXfs>
  <cellStyles count="318">
    <cellStyle name="20% - 强调文字颜色 1 2" xfId="2"/>
    <cellStyle name="20% - 强调文字颜色 1 2 2" xfId="44"/>
    <cellStyle name="20% - 强调文字颜色 1 2 2 2" xfId="7"/>
    <cellStyle name="20% - 强调文字颜色 1 2 3" xfId="27"/>
    <cellStyle name="20% - 强调文字颜色 1 3" xfId="38"/>
    <cellStyle name="20% - 强调文字颜色 1 3 2" xfId="45"/>
    <cellStyle name="20% - 强调文字颜色 1 4" xfId="29"/>
    <cellStyle name="20% - 强调文字颜色 1 4 2" xfId="47"/>
    <cellStyle name="20% - 强调文字颜色 1 5" xfId="22"/>
    <cellStyle name="20% - 强调文字颜色 1 5 2" xfId="49"/>
    <cellStyle name="20% - 强调文字颜色 1 6" xfId="37"/>
    <cellStyle name="20% - 强调文字颜色 2 2" xfId="51"/>
    <cellStyle name="20% - 强调文字颜色 2 2 2" xfId="9"/>
    <cellStyle name="20% - 强调文字颜色 2 2 2 2" xfId="53"/>
    <cellStyle name="20% - 强调文字颜色 2 2 3" xfId="46"/>
    <cellStyle name="20% - 强调文字颜色 2 3" xfId="24"/>
    <cellStyle name="20% - 强调文字颜色 2 3 2" xfId="54"/>
    <cellStyle name="20% - 强调文字颜色 2 4" xfId="55"/>
    <cellStyle name="20% - 强调文字颜色 2 4 2" xfId="18"/>
    <cellStyle name="20% - 强调文字颜色 2 5" xfId="56"/>
    <cellStyle name="20% - 强调文字颜色 2 5 2" xfId="57"/>
    <cellStyle name="20% - 强调文字颜色 2 6" xfId="52"/>
    <cellStyle name="20% - 强调文字颜色 3 2" xfId="59"/>
    <cellStyle name="20% - 强调文字颜色 3 2 2" xfId="60"/>
    <cellStyle name="20% - 强调文字颜色 3 2 2 2" xfId="61"/>
    <cellStyle name="20% - 强调文字颜色 3 2 3" xfId="62"/>
    <cellStyle name="20% - 强调文字颜色 3 3" xfId="28"/>
    <cellStyle name="20% - 强调文字颜色 3 3 2" xfId="43"/>
    <cellStyle name="20% - 强调文字颜色 3 4" xfId="64"/>
    <cellStyle name="20% - 强调文字颜色 3 4 2" xfId="66"/>
    <cellStyle name="20% - 强调文字颜色 3 5" xfId="68"/>
    <cellStyle name="20% - 强调文字颜色 3 5 2" xfId="70"/>
    <cellStyle name="20% - 强调文字颜色 3 6" xfId="72"/>
    <cellStyle name="20% - 强调文字颜色 4 2" xfId="74"/>
    <cellStyle name="20% - 强调文字颜色 4 2 2" xfId="76"/>
    <cellStyle name="20% - 强调文字颜色 4 2 2 2" xfId="78"/>
    <cellStyle name="20% - 强调文字颜色 4 2 3" xfId="79"/>
    <cellStyle name="20% - 强调文字颜色 4 3" xfId="81"/>
    <cellStyle name="20% - 强调文字颜色 4 3 2" xfId="83"/>
    <cellStyle name="20% - 强调文字颜色 4 4" xfId="86"/>
    <cellStyle name="20% - 强调文字颜色 4 4 2" xfId="17"/>
    <cellStyle name="20% - 强调文字颜色 4 5" xfId="13"/>
    <cellStyle name="20% - 强调文字颜色 4 5 2" xfId="90"/>
    <cellStyle name="20% - 强调文字颜色 4 6" xfId="93"/>
    <cellStyle name="20% - 强调文字颜色 5 2" xfId="94"/>
    <cellStyle name="20% - 强调文字颜色 5 2 2" xfId="95"/>
    <cellStyle name="20% - 强调文字颜色 5 2 2 2" xfId="96"/>
    <cellStyle name="20% - 强调文字颜色 5 2 3" xfId="97"/>
    <cellStyle name="20% - 强调文字颜色 5 3" xfId="98"/>
    <cellStyle name="20% - 强调文字颜色 5 3 2" xfId="99"/>
    <cellStyle name="20% - 强调文字颜色 5 4" xfId="101"/>
    <cellStyle name="20% - 强调文字颜色 5 4 2" xfId="103"/>
    <cellStyle name="20% - 强调文字颜色 5 5" xfId="105"/>
    <cellStyle name="20% - 强调文字颜色 5 5 2" xfId="107"/>
    <cellStyle name="20% - 强调文字颜色 5 6" xfId="109"/>
    <cellStyle name="20% - 强调文字颜色 6 2" xfId="110"/>
    <cellStyle name="20% - 强调文字颜色 6 2 2" xfId="112"/>
    <cellStyle name="20% - 强调文字颜色 6 2 2 2" xfId="114"/>
    <cellStyle name="20% - 强调文字颜色 6 2 3" xfId="116"/>
    <cellStyle name="20% - 强调文字颜色 6 3" xfId="117"/>
    <cellStyle name="20% - 强调文字颜色 6 3 2" xfId="119"/>
    <cellStyle name="20% - 强调文字颜色 6 4" xfId="121"/>
    <cellStyle name="20% - 强调文字颜色 6 4 2" xfId="124"/>
    <cellStyle name="20% - 强调文字颜色 6 5" xfId="127"/>
    <cellStyle name="20% - 强调文字颜色 6 5 2" xfId="131"/>
    <cellStyle name="20% - 强调文字颜色 6 6" xfId="134"/>
    <cellStyle name="40% - 强调文字颜色 1 2" xfId="135"/>
    <cellStyle name="40% - 强调文字颜色 1 2 2" xfId="136"/>
    <cellStyle name="40% - 强调文字颜色 1 2 2 2" xfId="137"/>
    <cellStyle name="40% - 强调文字颜色 1 2 3" xfId="138"/>
    <cellStyle name="40% - 强调文字颜色 1 3" xfId="140"/>
    <cellStyle name="40% - 强调文字颜色 1 3 2" xfId="141"/>
    <cellStyle name="40% - 强调文字颜色 1 4" xfId="142"/>
    <cellStyle name="40% - 强调文字颜色 1 4 2" xfId="143"/>
    <cellStyle name="40% - 强调文字颜色 1 5" xfId="144"/>
    <cellStyle name="40% - 强调文字颜色 1 5 2" xfId="145"/>
    <cellStyle name="40% - 强调文字颜色 1 6" xfId="146"/>
    <cellStyle name="40% - 强调文字颜色 2 2" xfId="26"/>
    <cellStyle name="40% - 强调文字颜色 2 2 2" xfId="147"/>
    <cellStyle name="40% - 强调文字颜色 2 2 2 2" xfId="148"/>
    <cellStyle name="40% - 强调文字颜色 2 2 3" xfId="149"/>
    <cellStyle name="40% - 强调文字颜色 2 3" xfId="150"/>
    <cellStyle name="40% - 强调文字颜色 2 3 2" xfId="151"/>
    <cellStyle name="40% - 强调文字颜色 2 4" xfId="152"/>
    <cellStyle name="40% - 强调文字颜色 2 4 2" xfId="153"/>
    <cellStyle name="40% - 强调文字颜色 2 5" xfId="154"/>
    <cellStyle name="40% - 强调文字颜色 2 5 2" xfId="155"/>
    <cellStyle name="40% - 强调文字颜色 2 6" xfId="156"/>
    <cellStyle name="40% - 强调文字颜色 3 2" xfId="158"/>
    <cellStyle name="40% - 强调文字颜色 3 2 2" xfId="159"/>
    <cellStyle name="40% - 强调文字颜色 3 2 2 2" xfId="160"/>
    <cellStyle name="40% - 强调文字颜色 3 2 3" xfId="161"/>
    <cellStyle name="40% - 强调文字颜色 3 3" xfId="162"/>
    <cellStyle name="40% - 强调文字颜色 3 3 2" xfId="163"/>
    <cellStyle name="40% - 强调文字颜色 3 4" xfId="164"/>
    <cellStyle name="40% - 强调文字颜色 3 4 2" xfId="165"/>
    <cellStyle name="40% - 强调文字颜色 3 5" xfId="166"/>
    <cellStyle name="40% - 强调文字颜色 3 5 2" xfId="167"/>
    <cellStyle name="40% - 强调文字颜色 3 6" xfId="168"/>
    <cellStyle name="40% - 强调文字颜色 4 2" xfId="20"/>
    <cellStyle name="40% - 强调文字颜色 4 2 2" xfId="171"/>
    <cellStyle name="40% - 强调文字颜色 4 2 2 2" xfId="173"/>
    <cellStyle name="40% - 强调文字颜色 4 2 3" xfId="175"/>
    <cellStyle name="40% - 强调文字颜色 4 3" xfId="176"/>
    <cellStyle name="40% - 强调文字颜色 4 3 2" xfId="33"/>
    <cellStyle name="40% - 强调文字颜色 4 4" xfId="111"/>
    <cellStyle name="40% - 强调文字颜色 4 4 2" xfId="113"/>
    <cellStyle name="40% - 强调文字颜色 4 5" xfId="115"/>
    <cellStyle name="40% - 强调文字颜色 4 5 2" xfId="177"/>
    <cellStyle name="40% - 强调文字颜色 4 6" xfId="178"/>
    <cellStyle name="40% - 强调文字颜色 5 2" xfId="179"/>
    <cellStyle name="40% - 强调文字颜色 5 2 2" xfId="126"/>
    <cellStyle name="40% - 强调文字颜色 5 2 2 2" xfId="130"/>
    <cellStyle name="40% - 强调文字颜色 5 2 3" xfId="133"/>
    <cellStyle name="40% - 强调文字颜色 5 3" xfId="180"/>
    <cellStyle name="40% - 强调文字颜色 5 3 2" xfId="182"/>
    <cellStyle name="40% - 强调文字颜色 5 4" xfId="118"/>
    <cellStyle name="40% - 强调文字颜色 5 4 2" xfId="184"/>
    <cellStyle name="40% - 强调文字颜色 5 5" xfId="185"/>
    <cellStyle name="40% - 强调文字颜色 5 5 2" xfId="186"/>
    <cellStyle name="40% - 强调文字颜色 5 6" xfId="188"/>
    <cellStyle name="40% - 强调文字颜色 6 2" xfId="190"/>
    <cellStyle name="40% - 强调文字颜色 6 2 2" xfId="191"/>
    <cellStyle name="40% - 强调文字颜色 6 2 2 2" xfId="192"/>
    <cellStyle name="40% - 强调文字颜色 6 2 3" xfId="193"/>
    <cellStyle name="40% - 强调文字颜色 6 3" xfId="195"/>
    <cellStyle name="40% - 强调文字颜色 6 3 2" xfId="197"/>
    <cellStyle name="40% - 强调文字颜色 6 4" xfId="123"/>
    <cellStyle name="40% - 强调文字颜色 6 4 2" xfId="10"/>
    <cellStyle name="40% - 强调文字颜色 6 5" xfId="25"/>
    <cellStyle name="40% - 强调文字颜色 6 5 2" xfId="199"/>
    <cellStyle name="40% - 强调文字颜色 6 6" xfId="201"/>
    <cellStyle name="60% - 强调文字颜色 1 2" xfId="63"/>
    <cellStyle name="60% - 强调文字颜色 1 2 2" xfId="65"/>
    <cellStyle name="60% - 强调文字颜色 1 3" xfId="67"/>
    <cellStyle name="60% - 强调文字颜色 1 3 2" xfId="69"/>
    <cellStyle name="60% - 强调文字颜色 1 4" xfId="71"/>
    <cellStyle name="60% - 强调文字颜色 2 2" xfId="85"/>
    <cellStyle name="60% - 强调文字颜色 2 2 2" xfId="16"/>
    <cellStyle name="60% - 强调文字颜色 2 3" xfId="12"/>
    <cellStyle name="60% - 强调文字颜色 2 3 2" xfId="89"/>
    <cellStyle name="60% - 强调文字颜色 2 4" xfId="92"/>
    <cellStyle name="60% - 强调文字颜色 3 2" xfId="100"/>
    <cellStyle name="60% - 强调文字颜色 3 2 2" xfId="102"/>
    <cellStyle name="60% - 强调文字颜色 3 3" xfId="104"/>
    <cellStyle name="60% - 强调文字颜色 3 3 2" xfId="106"/>
    <cellStyle name="60% - 强调文字颜色 3 4" xfId="108"/>
    <cellStyle name="60% - 强调文字颜色 4 2" xfId="120"/>
    <cellStyle name="60% - 强调文字颜色 4 2 2" xfId="122"/>
    <cellStyle name="60% - 强调文字颜色 4 3" xfId="125"/>
    <cellStyle name="60% - 强调文字颜色 4 3 2" xfId="129"/>
    <cellStyle name="60% - 强调文字颜色 4 4" xfId="132"/>
    <cellStyle name="60% - 强调文字颜色 5 2" xfId="202"/>
    <cellStyle name="60% - 强调文字颜色 5 2 2" xfId="203"/>
    <cellStyle name="60% - 强调文字颜色 5 3" xfId="181"/>
    <cellStyle name="60% - 强调文字颜色 5 3 2" xfId="204"/>
    <cellStyle name="60% - 强调文字颜色 5 4" xfId="205"/>
    <cellStyle name="60% - 强调文字颜色 6 2" xfId="206"/>
    <cellStyle name="60% - 强调文字颜色 6 2 2" xfId="207"/>
    <cellStyle name="60% - 强调文字颜色 6 3" xfId="183"/>
    <cellStyle name="60% - 强调文字颜色 6 3 2" xfId="8"/>
    <cellStyle name="60% - 强调文字颜色 6 4" xfId="208"/>
    <cellStyle name="标题 1 2" xfId="209"/>
    <cellStyle name="标题 1 2 2" xfId="210"/>
    <cellStyle name="标题 1 3" xfId="211"/>
    <cellStyle name="标题 1 3 2" xfId="213"/>
    <cellStyle name="标题 1 4" xfId="214"/>
    <cellStyle name="标题 2 2" xfId="215"/>
    <cellStyle name="标题 2 2 2" xfId="216"/>
    <cellStyle name="标题 2 3" xfId="217"/>
    <cellStyle name="标题 2 3 2" xfId="219"/>
    <cellStyle name="标题 2 4" xfId="220"/>
    <cellStyle name="标题 3 2" xfId="221"/>
    <cellStyle name="标题 3 2 2" xfId="222"/>
    <cellStyle name="标题 3 3" xfId="223"/>
    <cellStyle name="标题 3 3 2" xfId="224"/>
    <cellStyle name="标题 3 4" xfId="225"/>
    <cellStyle name="标题 4 2" xfId="226"/>
    <cellStyle name="标题 4 2 2" xfId="227"/>
    <cellStyle name="标题 4 3" xfId="229"/>
    <cellStyle name="标题 4 3 2" xfId="230"/>
    <cellStyle name="标题 4 4" xfId="170"/>
    <cellStyle name="标题 5" xfId="6"/>
    <cellStyle name="差 2" xfId="231"/>
    <cellStyle name="差 2 2" xfId="232"/>
    <cellStyle name="差 3" xfId="233"/>
    <cellStyle name="差 3 2" xfId="234"/>
    <cellStyle name="差 4" xfId="235"/>
    <cellStyle name="常规" xfId="0" builtinId="0"/>
    <cellStyle name="常规 10" xfId="237"/>
    <cellStyle name="常规 10 2" xfId="238"/>
    <cellStyle name="常规 11" xfId="218"/>
    <cellStyle name="常规 11 2" xfId="239"/>
    <cellStyle name="常规 12" xfId="241"/>
    <cellStyle name="常规 12 2" xfId="242"/>
    <cellStyle name="常规 13" xfId="244"/>
    <cellStyle name="常规 13 2" xfId="245"/>
    <cellStyle name="常规 14" xfId="247"/>
    <cellStyle name="常规 14 2" xfId="248"/>
    <cellStyle name="常规 15" xfId="128"/>
    <cellStyle name="常规 15 2" xfId="249"/>
    <cellStyle name="常规 16" xfId="250"/>
    <cellStyle name="常规 16 2" xfId="236"/>
    <cellStyle name="常规 17" xfId="251"/>
    <cellStyle name="常规 2" xfId="252"/>
    <cellStyle name="常规 2 2" xfId="253"/>
    <cellStyle name="常规 2 2 2" xfId="254"/>
    <cellStyle name="常规 2 2 2 2" xfId="255"/>
    <cellStyle name="常规 2 2 3" xfId="256"/>
    <cellStyle name="常规 2 3" xfId="258"/>
    <cellStyle name="常规 2 3 2" xfId="259"/>
    <cellStyle name="常规 2 4" xfId="260"/>
    <cellStyle name="常规 3" xfId="73"/>
    <cellStyle name="常规 3 2" xfId="75"/>
    <cellStyle name="常规 4" xfId="80"/>
    <cellStyle name="常规 4 2" xfId="82"/>
    <cellStyle name="常规 5" xfId="84"/>
    <cellStyle name="常规 5 2" xfId="15"/>
    <cellStyle name="常规 6" xfId="11"/>
    <cellStyle name="常规 6 2" xfId="88"/>
    <cellStyle name="常规 7" xfId="91"/>
    <cellStyle name="常规 7 2" xfId="261"/>
    <cellStyle name="常规 8" xfId="263"/>
    <cellStyle name="常规 8 2" xfId="30"/>
    <cellStyle name="常规 9" xfId="264"/>
    <cellStyle name="常规 9 2" xfId="139"/>
    <cellStyle name="超链接 2" xfId="265"/>
    <cellStyle name="好 2" xfId="21"/>
    <cellStyle name="好 2 2" xfId="48"/>
    <cellStyle name="好 3" xfId="36"/>
    <cellStyle name="好 3 2" xfId="266"/>
    <cellStyle name="好 4" xfId="267"/>
    <cellStyle name="好 4 2" xfId="240"/>
    <cellStyle name="汇总 2" xfId="198"/>
    <cellStyle name="汇总 2 2" xfId="228"/>
    <cellStyle name="汇总 3" xfId="212"/>
    <cellStyle name="汇总 3 2" xfId="268"/>
    <cellStyle name="汇总 4" xfId="269"/>
    <cellStyle name="计算 2" xfId="5"/>
    <cellStyle name="计算 2 2" xfId="157"/>
    <cellStyle name="计算 3" xfId="40"/>
    <cellStyle name="计算 3 2" xfId="19"/>
    <cellStyle name="计算 4" xfId="41"/>
    <cellStyle name="检查单元格 2" xfId="169"/>
    <cellStyle name="检查单元格 2 2" xfId="172"/>
    <cellStyle name="检查单元格 3" xfId="174"/>
    <cellStyle name="检查单元格 3 2" xfId="31"/>
    <cellStyle name="检查单元格 4" xfId="270"/>
    <cellStyle name="解释性文本 2" xfId="271"/>
    <cellStyle name="解释性文本 2 2" xfId="14"/>
    <cellStyle name="解释性文本 3" xfId="196"/>
    <cellStyle name="解释性文本 3 2" xfId="272"/>
    <cellStyle name="解释性文本 4" xfId="273"/>
    <cellStyle name="警告文本 2" xfId="274"/>
    <cellStyle name="警告文本 2 2" xfId="275"/>
    <cellStyle name="警告文本 3" xfId="276"/>
    <cellStyle name="警告文本 3 2" xfId="262"/>
    <cellStyle name="警告文本 4" xfId="277"/>
    <cellStyle name="链接单元格 2" xfId="279"/>
    <cellStyle name="链接单元格 2 2" xfId="280"/>
    <cellStyle name="链接单元格 3" xfId="32"/>
    <cellStyle name="链接单元格 3 2" xfId="1"/>
    <cellStyle name="链接单元格 4" xfId="35"/>
    <cellStyle name="强调文字颜色 1 2" xfId="281"/>
    <cellStyle name="强调文字颜色 1 2 2" xfId="282"/>
    <cellStyle name="强调文字颜色 1 3" xfId="283"/>
    <cellStyle name="强调文字颜色 1 3 2" xfId="284"/>
    <cellStyle name="强调文字颜色 1 4" xfId="285"/>
    <cellStyle name="强调文字颜色 2 2" xfId="286"/>
    <cellStyle name="强调文字颜色 2 2 2" xfId="287"/>
    <cellStyle name="强调文字颜色 2 3" xfId="288"/>
    <cellStyle name="强调文字颜色 2 3 2" xfId="4"/>
    <cellStyle name="强调文字颜色 2 4" xfId="289"/>
    <cellStyle name="强调文字颜色 3 2" xfId="290"/>
    <cellStyle name="强调文字颜色 3 2 2" xfId="194"/>
    <cellStyle name="强调文字颜色 3 3" xfId="291"/>
    <cellStyle name="强调文字颜色 3 3 2" xfId="246"/>
    <cellStyle name="强调文字颜色 3 4" xfId="292"/>
    <cellStyle name="强调文字颜色 4 2" xfId="293"/>
    <cellStyle name="强调文字颜色 4 2 2" xfId="294"/>
    <cellStyle name="强调文字颜色 4 3" xfId="295"/>
    <cellStyle name="强调文字颜色 4 3 2" xfId="296"/>
    <cellStyle name="强调文字颜色 4 4" xfId="297"/>
    <cellStyle name="强调文字颜色 5 2" xfId="298"/>
    <cellStyle name="强调文字颜色 5 2 2" xfId="299"/>
    <cellStyle name="强调文字颜色 5 3" xfId="300"/>
    <cellStyle name="强调文字颜色 5 3 2" xfId="301"/>
    <cellStyle name="强调文字颜色 5 4" xfId="302"/>
    <cellStyle name="强调文字颜色 6 2" xfId="303"/>
    <cellStyle name="强调文字颜色 6 2 2" xfId="304"/>
    <cellStyle name="强调文字颜色 6 3" xfId="305"/>
    <cellStyle name="强调文字颜色 6 3 2" xfId="306"/>
    <cellStyle name="强调文字颜色 6 4" xfId="307"/>
    <cellStyle name="适中 2" xfId="42"/>
    <cellStyle name="适中 2 2" xfId="189"/>
    <cellStyle name="适中 3" xfId="308"/>
    <cellStyle name="适中 3 2" xfId="243"/>
    <cellStyle name="适中 4" xfId="77"/>
    <cellStyle name="输出 2" xfId="34"/>
    <cellStyle name="输出 2 2" xfId="50"/>
    <cellStyle name="输出 3" xfId="3"/>
    <cellStyle name="输出 3 2" xfId="58"/>
    <cellStyle name="输出 4" xfId="39"/>
    <cellStyle name="输入 2" xfId="309"/>
    <cellStyle name="输入 2 2" xfId="310"/>
    <cellStyle name="输入 3" xfId="311"/>
    <cellStyle name="输入 3 2" xfId="257"/>
    <cellStyle name="输入 4" xfId="312"/>
    <cellStyle name="注释 2" xfId="87"/>
    <cellStyle name="注释 2 2" xfId="187"/>
    <cellStyle name="注释 2 2 2" xfId="313"/>
    <cellStyle name="注释 2 2 2 2" xfId="314"/>
    <cellStyle name="注释 2 2 3" xfId="315"/>
    <cellStyle name="注释 2 3" xfId="23"/>
    <cellStyle name="注释 2 3 2" xfId="278"/>
    <cellStyle name="注释 2 4" xfId="316"/>
    <cellStyle name="注释 3" xfId="317"/>
    <cellStyle name="注释 3 2" xfId="200"/>
  </cellStyles>
  <dxfs count="2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63" customWidth="1"/>
    <col min="2" max="2" width="11.5" style="63" customWidth="1"/>
    <col min="3" max="3" width="24" style="63" customWidth="1"/>
    <col min="4" max="4" width="39.25" style="63" customWidth="1"/>
    <col min="5" max="5" width="29.625" style="63" customWidth="1"/>
    <col min="6" max="6" width="23.75" style="63" customWidth="1"/>
    <col min="7" max="16384" width="9" style="63"/>
  </cols>
  <sheetData>
    <row r="1" spans="1:7" x14ac:dyDescent="0.15">
      <c r="A1" s="68" t="s">
        <v>0</v>
      </c>
      <c r="B1" s="68"/>
      <c r="C1" s="68"/>
      <c r="D1" s="68"/>
      <c r="E1" s="68"/>
      <c r="F1" s="64" t="s">
        <v>1</v>
      </c>
      <c r="G1" s="63">
        <v>0</v>
      </c>
    </row>
    <row r="2" spans="1:7" x14ac:dyDescent="0.15">
      <c r="A2" s="64" t="s">
        <v>2</v>
      </c>
      <c r="B2" s="64" t="s">
        <v>3</v>
      </c>
      <c r="C2" s="64" t="s">
        <v>4</v>
      </c>
      <c r="D2" s="64" t="s">
        <v>5</v>
      </c>
      <c r="E2" s="64" t="s">
        <v>6</v>
      </c>
      <c r="F2" s="64" t="s">
        <v>7</v>
      </c>
      <c r="G2" s="63">
        <v>0</v>
      </c>
    </row>
    <row r="3" spans="1:7" x14ac:dyDescent="0.15">
      <c r="A3" s="63" t="s">
        <v>8</v>
      </c>
      <c r="B3" s="63">
        <v>1</v>
      </c>
      <c r="C3" s="63" t="s">
        <v>9</v>
      </c>
      <c r="D3" s="65" t="s">
        <v>10</v>
      </c>
      <c r="E3" s="65"/>
      <c r="F3" s="63" t="s">
        <v>11</v>
      </c>
      <c r="G3" s="63">
        <v>1</v>
      </c>
    </row>
    <row r="4" spans="1:7" x14ac:dyDescent="0.15">
      <c r="A4" s="63" t="s">
        <v>8</v>
      </c>
      <c r="B4" s="63">
        <v>1</v>
      </c>
      <c r="C4" s="63" t="s">
        <v>12</v>
      </c>
      <c r="D4" s="65" t="s">
        <v>10</v>
      </c>
      <c r="E4" s="65"/>
      <c r="F4" s="63" t="s">
        <v>13</v>
      </c>
      <c r="G4" s="63">
        <v>1</v>
      </c>
    </row>
    <row r="5" spans="1:7" x14ac:dyDescent="0.15">
      <c r="A5" s="63" t="s">
        <v>8</v>
      </c>
      <c r="B5" s="63">
        <v>1</v>
      </c>
      <c r="C5" s="63" t="s">
        <v>14</v>
      </c>
      <c r="D5" s="65" t="s">
        <v>10</v>
      </c>
      <c r="E5" s="65"/>
      <c r="F5" s="63" t="s">
        <v>15</v>
      </c>
      <c r="G5" s="63">
        <v>1</v>
      </c>
    </row>
    <row r="6" spans="1:7" x14ac:dyDescent="0.15">
      <c r="A6" s="63" t="s">
        <v>8</v>
      </c>
      <c r="B6" s="63">
        <v>1</v>
      </c>
      <c r="C6" s="63" t="s">
        <v>16</v>
      </c>
      <c r="D6" s="65" t="s">
        <v>10</v>
      </c>
      <c r="E6" s="65"/>
      <c r="F6" s="63" t="s">
        <v>17</v>
      </c>
      <c r="G6" s="63">
        <v>1</v>
      </c>
    </row>
    <row r="7" spans="1:7" x14ac:dyDescent="0.15">
      <c r="A7" s="63" t="s">
        <v>8</v>
      </c>
      <c r="B7" s="63">
        <v>1</v>
      </c>
      <c r="C7" s="63" t="s">
        <v>18</v>
      </c>
      <c r="D7" s="65" t="s">
        <v>10</v>
      </c>
      <c r="E7" s="65"/>
      <c r="F7" s="63" t="s">
        <v>19</v>
      </c>
      <c r="G7" s="63">
        <v>1</v>
      </c>
    </row>
    <row r="8" spans="1:7" x14ac:dyDescent="0.15">
      <c r="A8" s="63" t="s">
        <v>8</v>
      </c>
      <c r="B8" s="63">
        <v>1</v>
      </c>
      <c r="C8" s="63" t="s">
        <v>20</v>
      </c>
      <c r="D8" s="65" t="s">
        <v>10</v>
      </c>
      <c r="E8" s="65"/>
      <c r="F8" s="63" t="s">
        <v>21</v>
      </c>
      <c r="G8" s="63">
        <v>1</v>
      </c>
    </row>
    <row r="9" spans="1:7" x14ac:dyDescent="0.15">
      <c r="A9" s="63" t="s">
        <v>8</v>
      </c>
      <c r="B9" s="63">
        <v>1</v>
      </c>
      <c r="C9" s="63" t="s">
        <v>22</v>
      </c>
      <c r="D9" s="65" t="s">
        <v>10</v>
      </c>
      <c r="E9" s="65"/>
      <c r="F9" s="63" t="s">
        <v>23</v>
      </c>
      <c r="G9" s="63">
        <v>1</v>
      </c>
    </row>
    <row r="10" spans="1:7" x14ac:dyDescent="0.15">
      <c r="A10" s="63" t="s">
        <v>8</v>
      </c>
      <c r="B10" s="63">
        <v>1</v>
      </c>
      <c r="C10" s="63" t="s">
        <v>24</v>
      </c>
      <c r="D10" s="65" t="s">
        <v>10</v>
      </c>
      <c r="E10" s="65"/>
      <c r="F10" s="63" t="s">
        <v>25</v>
      </c>
      <c r="G10" s="63">
        <v>1</v>
      </c>
    </row>
    <row r="11" spans="1:7" x14ac:dyDescent="0.15">
      <c r="A11" s="63" t="s">
        <v>8</v>
      </c>
      <c r="B11" s="63">
        <v>1</v>
      </c>
      <c r="C11" s="63" t="s">
        <v>26</v>
      </c>
      <c r="D11" s="65" t="s">
        <v>10</v>
      </c>
      <c r="E11" s="65"/>
      <c r="F11" s="63" t="s">
        <v>27</v>
      </c>
      <c r="G11" s="63">
        <v>1</v>
      </c>
    </row>
    <row r="12" spans="1:7" x14ac:dyDescent="0.15">
      <c r="A12" s="63" t="s">
        <v>8</v>
      </c>
      <c r="B12" s="63">
        <v>1</v>
      </c>
      <c r="C12" s="63" t="s">
        <v>28</v>
      </c>
      <c r="D12" s="65" t="s">
        <v>10</v>
      </c>
      <c r="E12" s="65"/>
      <c r="F12" s="63" t="s">
        <v>29</v>
      </c>
      <c r="G12" s="63">
        <v>1</v>
      </c>
    </row>
    <row r="13" spans="1:7" x14ac:dyDescent="0.15">
      <c r="A13" s="63" t="s">
        <v>8</v>
      </c>
      <c r="B13" s="63">
        <v>1</v>
      </c>
      <c r="C13" s="63" t="s">
        <v>30</v>
      </c>
      <c r="D13" s="65" t="s">
        <v>10</v>
      </c>
      <c r="E13" s="65"/>
      <c r="F13" s="63" t="s">
        <v>31</v>
      </c>
      <c r="G13" s="63">
        <v>1</v>
      </c>
    </row>
    <row r="14" spans="1:7" x14ac:dyDescent="0.15">
      <c r="A14" s="63" t="s">
        <v>8</v>
      </c>
      <c r="B14" s="63">
        <v>1</v>
      </c>
      <c r="C14" s="63" t="s">
        <v>32</v>
      </c>
      <c r="D14" s="65" t="s">
        <v>10</v>
      </c>
      <c r="E14" s="65"/>
      <c r="F14" s="63" t="s">
        <v>33</v>
      </c>
      <c r="G14" s="63">
        <v>1</v>
      </c>
    </row>
    <row r="15" spans="1:7" x14ac:dyDescent="0.15">
      <c r="A15" s="63" t="s">
        <v>8</v>
      </c>
      <c r="B15" s="63">
        <v>1</v>
      </c>
      <c r="C15" s="63" t="s">
        <v>34</v>
      </c>
      <c r="D15" s="65" t="s">
        <v>10</v>
      </c>
      <c r="E15" s="65"/>
      <c r="F15" s="63" t="s">
        <v>35</v>
      </c>
      <c r="G15" s="63">
        <v>1</v>
      </c>
    </row>
    <row r="16" spans="1:7" x14ac:dyDescent="0.15">
      <c r="A16" s="63" t="s">
        <v>8</v>
      </c>
      <c r="B16" s="63">
        <v>1</v>
      </c>
      <c r="C16" s="63" t="s">
        <v>36</v>
      </c>
      <c r="D16" s="65" t="s">
        <v>10</v>
      </c>
      <c r="E16" s="65"/>
      <c r="F16" s="63" t="s">
        <v>37</v>
      </c>
      <c r="G16" s="63">
        <v>1</v>
      </c>
    </row>
    <row r="17" spans="1:7" x14ac:dyDescent="0.15">
      <c r="A17" s="63" t="s">
        <v>8</v>
      </c>
      <c r="B17" s="63">
        <v>1</v>
      </c>
      <c r="C17" s="63" t="s">
        <v>38</v>
      </c>
      <c r="D17" s="65" t="s">
        <v>10</v>
      </c>
      <c r="E17" s="65"/>
      <c r="F17" s="63" t="s">
        <v>39</v>
      </c>
      <c r="G17" s="63">
        <v>1</v>
      </c>
    </row>
  </sheetData>
  <autoFilter ref="A2:F17"/>
  <mergeCells count="1">
    <mergeCell ref="A1:E1"/>
  </mergeCells>
  <phoneticPr fontId="34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128"/>
  <sheetViews>
    <sheetView workbookViewId="0">
      <pane ySplit="8" topLeftCell="A90" activePane="bottomLeft" state="frozen"/>
      <selection pane="bottomLeft" activeCell="F9" sqref="F9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4" width="12.5" style="16" customWidth="1"/>
    <col min="5" max="5" width="9" style="16"/>
    <col min="6" max="6" width="9.75" style="16" customWidth="1"/>
    <col min="7" max="7" width="10.5" style="16" customWidth="1"/>
    <col min="8" max="16384" width="9" style="16"/>
  </cols>
  <sheetData>
    <row r="1" spans="1:8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  <c r="F1" s="5" t="s">
        <v>41</v>
      </c>
      <c r="H1" s="5" t="s">
        <v>41</v>
      </c>
    </row>
    <row r="2" spans="1:8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</row>
    <row r="3" spans="1:8" s="6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43</v>
      </c>
      <c r="F3" s="6" t="s">
        <v>43</v>
      </c>
      <c r="G3" s="6" t="s">
        <v>44</v>
      </c>
      <c r="H3" s="6" t="s">
        <v>44</v>
      </c>
    </row>
    <row r="4" spans="1:8" s="6" customFormat="1" ht="14.25" x14ac:dyDescent="0.15">
      <c r="B4" s="6" t="s">
        <v>45</v>
      </c>
      <c r="C4" s="6" t="s">
        <v>46</v>
      </c>
      <c r="D4" s="6" t="s">
        <v>47</v>
      </c>
      <c r="E4" s="6" t="s">
        <v>48</v>
      </c>
      <c r="F4" s="6" t="s">
        <v>49</v>
      </c>
      <c r="G4" s="6" t="s">
        <v>50</v>
      </c>
      <c r="H4" s="6" t="s">
        <v>51</v>
      </c>
    </row>
    <row r="5" spans="1:8" s="6" customFormat="1" ht="14.25" x14ac:dyDescent="0.15">
      <c r="B5" s="6" t="str">
        <f t="shared" ref="B5:E5" si="0">IF(B3="","",IF(B3="INT","i",IF(B3="FLOAT","f",IF(B3="STRING","s"))))</f>
        <v>i</v>
      </c>
      <c r="C5" s="6" t="str">
        <f t="shared" si="0"/>
        <v>i</v>
      </c>
      <c r="D5" s="6" t="str">
        <f t="shared" si="0"/>
        <v>i</v>
      </c>
      <c r="E5" s="6" t="str">
        <f t="shared" si="0"/>
        <v>i</v>
      </c>
      <c r="F5" s="6" t="str">
        <f t="shared" ref="F5:H5" si="1">IF(F3="","",IF(F3="INT","i",IF(F3="FLOAT","f",IF(F3="STRING","s"))))</f>
        <v>i</v>
      </c>
      <c r="G5" s="6" t="str">
        <f t="shared" si="1"/>
        <v>s</v>
      </c>
      <c r="H5" s="6" t="str">
        <f t="shared" si="1"/>
        <v>s</v>
      </c>
    </row>
    <row r="6" spans="1:8" s="6" customFormat="1" ht="14.25" x14ac:dyDescent="0.15">
      <c r="A6" s="6" t="s">
        <v>41</v>
      </c>
      <c r="B6" s="6" t="str">
        <f t="shared" ref="B6:E6" si="2">B5&amp;B4</f>
        <v>iID</v>
      </c>
      <c r="C6" s="6" t="str">
        <f t="shared" si="2"/>
        <v>iBuildingID</v>
      </c>
      <c r="D6" s="6" t="str">
        <f t="shared" si="2"/>
        <v>iBuildingType</v>
      </c>
      <c r="E6" s="6" t="str">
        <f t="shared" si="2"/>
        <v>iLevel</v>
      </c>
      <c r="F6" s="6" t="str">
        <f t="shared" ref="F6:H6" si="3">F5&amp;F4</f>
        <v>iCapability</v>
      </c>
      <c r="G6" s="6" t="str">
        <f t="shared" si="3"/>
        <v>sName</v>
      </c>
      <c r="H6" s="6" t="str">
        <f t="shared" si="3"/>
        <v>sCost</v>
      </c>
    </row>
    <row r="7" spans="1:8" s="6" customFormat="1" ht="43.15" customHeight="1" x14ac:dyDescent="0.15">
      <c r="B7" s="6" t="s">
        <v>52</v>
      </c>
      <c r="C7" s="6" t="s">
        <v>53</v>
      </c>
      <c r="D7" s="6" t="s">
        <v>54</v>
      </c>
      <c r="E7" s="6" t="s">
        <v>55</v>
      </c>
      <c r="F7" s="6" t="s">
        <v>56</v>
      </c>
      <c r="G7" s="6" t="s">
        <v>57</v>
      </c>
      <c r="H7" s="6" t="s">
        <v>58</v>
      </c>
    </row>
    <row r="8" spans="1:8" s="6" customFormat="1" ht="14.25" x14ac:dyDescent="0.15">
      <c r="A8" s="6" t="s">
        <v>59</v>
      </c>
      <c r="B8" s="6" t="e">
        <f>MODE(B9:B985)</f>
        <v>#N/A</v>
      </c>
      <c r="C8" s="6">
        <v>90006</v>
      </c>
      <c r="D8" s="6">
        <v>6</v>
      </c>
      <c r="E8" s="6">
        <v>1</v>
      </c>
      <c r="F8" s="6">
        <v>100</v>
      </c>
      <c r="G8" s="6" t="s">
        <v>11</v>
      </c>
    </row>
    <row r="9" spans="1:8" ht="14.25" x14ac:dyDescent="0.15">
      <c r="A9" s="25" t="s">
        <v>41</v>
      </c>
      <c r="B9" s="25">
        <v>1</v>
      </c>
      <c r="C9" s="25"/>
      <c r="D9" s="25"/>
      <c r="E9" s="25">
        <v>1</v>
      </c>
      <c r="F9" s="25">
        <v>999999</v>
      </c>
      <c r="G9" s="32"/>
      <c r="H9" s="16" t="s">
        <v>60</v>
      </c>
    </row>
    <row r="10" spans="1:8" s="38" customFormat="1" ht="14.25" x14ac:dyDescent="0.15">
      <c r="A10" s="30" t="s">
        <v>41</v>
      </c>
      <c r="B10" s="30">
        <v>2</v>
      </c>
      <c r="C10" s="30"/>
      <c r="D10" s="30"/>
      <c r="E10" s="30">
        <v>2</v>
      </c>
      <c r="F10" s="30">
        <v>999999</v>
      </c>
      <c r="G10" s="33"/>
      <c r="H10" s="38" t="s">
        <v>61</v>
      </c>
    </row>
    <row r="11" spans="1:8" ht="14.25" x14ac:dyDescent="0.15">
      <c r="A11" s="25" t="s">
        <v>41</v>
      </c>
      <c r="B11" s="25">
        <v>3</v>
      </c>
      <c r="C11" s="25"/>
      <c r="D11" s="25"/>
      <c r="E11" s="25">
        <v>3</v>
      </c>
      <c r="F11" s="25">
        <v>999999</v>
      </c>
      <c r="G11" s="32"/>
      <c r="H11" s="16" t="s">
        <v>62</v>
      </c>
    </row>
    <row r="12" spans="1:8" s="38" customFormat="1" ht="14.25" x14ac:dyDescent="0.15">
      <c r="A12" s="30" t="s">
        <v>41</v>
      </c>
      <c r="B12" s="30">
        <v>4</v>
      </c>
      <c r="C12" s="30"/>
      <c r="D12" s="30"/>
      <c r="E12" s="30">
        <v>4</v>
      </c>
      <c r="F12" s="30">
        <v>999999</v>
      </c>
      <c r="G12" s="33"/>
      <c r="H12" s="38" t="s">
        <v>63</v>
      </c>
    </row>
    <row r="13" spans="1:8" ht="14.25" x14ac:dyDescent="0.15">
      <c r="A13" s="25" t="s">
        <v>41</v>
      </c>
      <c r="B13" s="25">
        <v>5</v>
      </c>
      <c r="C13" s="25"/>
      <c r="D13" s="25"/>
      <c r="E13" s="25">
        <v>5</v>
      </c>
      <c r="F13" s="25">
        <v>999999</v>
      </c>
      <c r="G13" s="32"/>
      <c r="H13" s="16" t="s">
        <v>64</v>
      </c>
    </row>
    <row r="14" spans="1:8" s="38" customFormat="1" ht="14.25" x14ac:dyDescent="0.15">
      <c r="A14" s="30" t="s">
        <v>41</v>
      </c>
      <c r="B14" s="30">
        <v>6</v>
      </c>
      <c r="C14" s="30"/>
      <c r="D14" s="30"/>
      <c r="E14" s="30">
        <v>6</v>
      </c>
      <c r="F14" s="30">
        <v>999999</v>
      </c>
      <c r="G14" s="33"/>
      <c r="H14" s="38" t="s">
        <v>65</v>
      </c>
    </row>
    <row r="15" spans="1:8" ht="14.25" x14ac:dyDescent="0.15">
      <c r="A15" s="25" t="s">
        <v>41</v>
      </c>
      <c r="B15" s="25">
        <v>7</v>
      </c>
      <c r="C15" s="25"/>
      <c r="D15" s="25"/>
      <c r="E15" s="25">
        <v>7</v>
      </c>
      <c r="F15" s="25">
        <v>999999</v>
      </c>
      <c r="G15" s="32"/>
      <c r="H15" s="16" t="s">
        <v>66</v>
      </c>
    </row>
    <row r="16" spans="1:8" s="38" customFormat="1" ht="14.25" x14ac:dyDescent="0.15">
      <c r="A16" s="30" t="s">
        <v>41</v>
      </c>
      <c r="B16" s="30">
        <v>8</v>
      </c>
      <c r="C16" s="30"/>
      <c r="D16" s="30"/>
      <c r="E16" s="30">
        <v>8</v>
      </c>
      <c r="F16" s="30">
        <v>999999</v>
      </c>
      <c r="G16" s="33"/>
      <c r="H16" s="38" t="s">
        <v>67</v>
      </c>
    </row>
    <row r="17" spans="1:8" ht="14.25" x14ac:dyDescent="0.15">
      <c r="A17" s="25" t="s">
        <v>41</v>
      </c>
      <c r="B17" s="25">
        <v>9</v>
      </c>
      <c r="C17" s="25"/>
      <c r="D17" s="25"/>
      <c r="E17" s="25">
        <v>9</v>
      </c>
      <c r="F17" s="25">
        <v>999999</v>
      </c>
      <c r="G17" s="32"/>
      <c r="H17" s="16" t="s">
        <v>68</v>
      </c>
    </row>
    <row r="18" spans="1:8" s="38" customFormat="1" ht="14.25" x14ac:dyDescent="0.15">
      <c r="A18" s="30" t="s">
        <v>41</v>
      </c>
      <c r="B18" s="30">
        <v>10</v>
      </c>
      <c r="C18" s="30"/>
      <c r="D18" s="30"/>
      <c r="E18" s="30">
        <v>10</v>
      </c>
      <c r="F18" s="30">
        <v>999999</v>
      </c>
      <c r="G18" s="33"/>
      <c r="H18" s="38" t="s">
        <v>69</v>
      </c>
    </row>
    <row r="19" spans="1:8" ht="14.25" x14ac:dyDescent="0.15">
      <c r="A19" s="25" t="s">
        <v>41</v>
      </c>
      <c r="B19" s="25">
        <v>11</v>
      </c>
      <c r="C19" s="25"/>
      <c r="D19" s="25"/>
      <c r="E19" s="25">
        <v>11</v>
      </c>
      <c r="F19" s="25">
        <v>999999</v>
      </c>
      <c r="G19" s="32"/>
      <c r="H19" s="16" t="s">
        <v>70</v>
      </c>
    </row>
    <row r="20" spans="1:8" s="38" customFormat="1" ht="14.25" x14ac:dyDescent="0.15">
      <c r="A20" s="30" t="s">
        <v>41</v>
      </c>
      <c r="B20" s="30">
        <v>12</v>
      </c>
      <c r="C20" s="30"/>
      <c r="D20" s="30"/>
      <c r="E20" s="30">
        <v>12</v>
      </c>
      <c r="F20" s="30">
        <v>999999</v>
      </c>
      <c r="G20" s="33"/>
      <c r="H20" s="38" t="s">
        <v>71</v>
      </c>
    </row>
    <row r="21" spans="1:8" ht="14.25" x14ac:dyDescent="0.15">
      <c r="A21" s="25" t="s">
        <v>41</v>
      </c>
      <c r="B21" s="25">
        <v>13</v>
      </c>
      <c r="C21" s="25"/>
      <c r="D21" s="25"/>
      <c r="E21" s="25">
        <v>13</v>
      </c>
      <c r="F21" s="25">
        <v>999999</v>
      </c>
      <c r="G21" s="32"/>
      <c r="H21" s="16" t="s">
        <v>72</v>
      </c>
    </row>
    <row r="22" spans="1:8" s="38" customFormat="1" ht="14.25" x14ac:dyDescent="0.15">
      <c r="A22" s="30" t="s">
        <v>41</v>
      </c>
      <c r="B22" s="30">
        <v>14</v>
      </c>
      <c r="C22" s="30"/>
      <c r="D22" s="30"/>
      <c r="E22" s="30">
        <v>14</v>
      </c>
      <c r="F22" s="30">
        <v>999999</v>
      </c>
      <c r="G22" s="33"/>
      <c r="H22" s="38" t="s">
        <v>73</v>
      </c>
    </row>
    <row r="23" spans="1:8" ht="14.25" x14ac:dyDescent="0.15">
      <c r="A23" s="25" t="s">
        <v>41</v>
      </c>
      <c r="B23" s="25">
        <v>15</v>
      </c>
      <c r="C23" s="25"/>
      <c r="D23" s="25"/>
      <c r="E23" s="25">
        <v>15</v>
      </c>
      <c r="F23" s="25">
        <v>999999</v>
      </c>
      <c r="G23" s="32"/>
      <c r="H23" s="16" t="s">
        <v>74</v>
      </c>
    </row>
    <row r="24" spans="1:8" s="38" customFormat="1" ht="14.25" x14ac:dyDescent="0.15">
      <c r="A24" s="30" t="s">
        <v>41</v>
      </c>
      <c r="B24" s="30">
        <v>16</v>
      </c>
      <c r="C24" s="30"/>
      <c r="D24" s="30"/>
      <c r="E24" s="30">
        <v>16</v>
      </c>
      <c r="F24" s="30">
        <v>999999</v>
      </c>
      <c r="G24" s="33"/>
      <c r="H24" s="38" t="s">
        <v>75</v>
      </c>
    </row>
    <row r="25" spans="1:8" ht="14.25" x14ac:dyDescent="0.15">
      <c r="A25" s="25" t="s">
        <v>41</v>
      </c>
      <c r="B25" s="25">
        <v>17</v>
      </c>
      <c r="C25" s="25"/>
      <c r="D25" s="25"/>
      <c r="E25" s="25">
        <v>17</v>
      </c>
      <c r="F25" s="25">
        <v>999999</v>
      </c>
      <c r="G25" s="32"/>
      <c r="H25" s="16" t="s">
        <v>76</v>
      </c>
    </row>
    <row r="26" spans="1:8" s="38" customFormat="1" ht="14.25" x14ac:dyDescent="0.15">
      <c r="A26" s="30" t="s">
        <v>41</v>
      </c>
      <c r="B26" s="30">
        <v>18</v>
      </c>
      <c r="C26" s="30"/>
      <c r="D26" s="30"/>
      <c r="E26" s="30">
        <v>18</v>
      </c>
      <c r="F26" s="30">
        <v>999999</v>
      </c>
      <c r="G26" s="33"/>
      <c r="H26" s="38" t="s">
        <v>77</v>
      </c>
    </row>
    <row r="27" spans="1:8" ht="14.25" x14ac:dyDescent="0.15">
      <c r="A27" s="25" t="s">
        <v>41</v>
      </c>
      <c r="B27" s="25">
        <v>19</v>
      </c>
      <c r="C27" s="25"/>
      <c r="D27" s="25"/>
      <c r="E27" s="25">
        <v>19</v>
      </c>
      <c r="F27" s="25">
        <v>999999</v>
      </c>
      <c r="G27" s="32"/>
      <c r="H27" s="16" t="s">
        <v>78</v>
      </c>
    </row>
    <row r="28" spans="1:8" s="38" customFormat="1" ht="14.25" x14ac:dyDescent="0.15">
      <c r="A28" s="30" t="s">
        <v>41</v>
      </c>
      <c r="B28" s="30">
        <v>20</v>
      </c>
      <c r="C28" s="30"/>
      <c r="D28" s="30"/>
      <c r="E28" s="30">
        <v>20</v>
      </c>
      <c r="F28" s="30">
        <v>999999</v>
      </c>
      <c r="G28" s="33"/>
      <c r="H28" s="38" t="s">
        <v>79</v>
      </c>
    </row>
    <row r="29" spans="1:8" ht="14.25" x14ac:dyDescent="0.15">
      <c r="A29" s="25" t="s">
        <v>41</v>
      </c>
      <c r="B29" s="25">
        <v>21</v>
      </c>
      <c r="C29" s="25"/>
      <c r="D29" s="25"/>
      <c r="E29" s="25">
        <v>21</v>
      </c>
      <c r="F29" s="25">
        <v>999999</v>
      </c>
      <c r="G29" s="32"/>
      <c r="H29" s="16" t="s">
        <v>80</v>
      </c>
    </row>
    <row r="30" spans="1:8" s="38" customFormat="1" ht="14.25" x14ac:dyDescent="0.15">
      <c r="A30" s="30" t="s">
        <v>41</v>
      </c>
      <c r="B30" s="30">
        <v>22</v>
      </c>
      <c r="C30" s="30"/>
      <c r="D30" s="30"/>
      <c r="E30" s="30">
        <v>22</v>
      </c>
      <c r="F30" s="30">
        <v>999999</v>
      </c>
      <c r="G30" s="33"/>
      <c r="H30" s="38" t="s">
        <v>81</v>
      </c>
    </row>
    <row r="31" spans="1:8" ht="14.25" x14ac:dyDescent="0.15">
      <c r="A31" s="25" t="s">
        <v>41</v>
      </c>
      <c r="B31" s="25">
        <v>23</v>
      </c>
      <c r="C31" s="25"/>
      <c r="D31" s="25"/>
      <c r="E31" s="25">
        <v>23</v>
      </c>
      <c r="F31" s="25">
        <v>999999</v>
      </c>
      <c r="G31" s="32"/>
      <c r="H31" s="16" t="s">
        <v>82</v>
      </c>
    </row>
    <row r="32" spans="1:8" s="38" customFormat="1" ht="14.25" x14ac:dyDescent="0.15">
      <c r="A32" s="30" t="s">
        <v>41</v>
      </c>
      <c r="B32" s="30">
        <v>24</v>
      </c>
      <c r="C32" s="30"/>
      <c r="D32" s="30"/>
      <c r="E32" s="30">
        <v>24</v>
      </c>
      <c r="F32" s="30">
        <v>999999</v>
      </c>
      <c r="G32" s="33"/>
      <c r="H32" s="38" t="s">
        <v>83</v>
      </c>
    </row>
    <row r="33" spans="1:8" ht="14.25" x14ac:dyDescent="0.15">
      <c r="A33" s="25" t="s">
        <v>41</v>
      </c>
      <c r="B33" s="25">
        <v>25</v>
      </c>
      <c r="C33" s="25"/>
      <c r="D33" s="25"/>
      <c r="E33" s="25">
        <v>25</v>
      </c>
      <c r="F33" s="25">
        <v>999999</v>
      </c>
      <c r="G33" s="32"/>
      <c r="H33" s="16" t="s">
        <v>84</v>
      </c>
    </row>
    <row r="34" spans="1:8" s="38" customFormat="1" ht="14.25" x14ac:dyDescent="0.15">
      <c r="A34" s="30" t="s">
        <v>41</v>
      </c>
      <c r="B34" s="30">
        <v>26</v>
      </c>
      <c r="C34" s="30"/>
      <c r="D34" s="30"/>
      <c r="E34" s="30">
        <v>26</v>
      </c>
      <c r="F34" s="30">
        <v>999999</v>
      </c>
      <c r="G34" s="33"/>
      <c r="H34" s="38" t="s">
        <v>85</v>
      </c>
    </row>
    <row r="35" spans="1:8" ht="14.25" x14ac:dyDescent="0.15">
      <c r="A35" s="25" t="s">
        <v>41</v>
      </c>
      <c r="B35" s="25">
        <v>27</v>
      </c>
      <c r="C35" s="25"/>
      <c r="D35" s="25"/>
      <c r="E35" s="25">
        <v>27</v>
      </c>
      <c r="F35" s="25">
        <v>999999</v>
      </c>
      <c r="G35" s="32"/>
      <c r="H35" s="16" t="s">
        <v>86</v>
      </c>
    </row>
    <row r="36" spans="1:8" s="38" customFormat="1" ht="14.25" x14ac:dyDescent="0.15">
      <c r="A36" s="30" t="s">
        <v>41</v>
      </c>
      <c r="B36" s="30">
        <v>28</v>
      </c>
      <c r="C36" s="30"/>
      <c r="D36" s="30"/>
      <c r="E36" s="30">
        <v>28</v>
      </c>
      <c r="F36" s="30">
        <v>999999</v>
      </c>
      <c r="G36" s="33"/>
      <c r="H36" s="38" t="s">
        <v>87</v>
      </c>
    </row>
    <row r="37" spans="1:8" ht="14.25" x14ac:dyDescent="0.15">
      <c r="A37" s="25" t="s">
        <v>41</v>
      </c>
      <c r="B37" s="25">
        <v>29</v>
      </c>
      <c r="C37" s="25"/>
      <c r="D37" s="25"/>
      <c r="E37" s="25">
        <v>29</v>
      </c>
      <c r="F37" s="25">
        <v>999999</v>
      </c>
      <c r="G37" s="32"/>
      <c r="H37" s="16" t="s">
        <v>88</v>
      </c>
    </row>
    <row r="38" spans="1:8" s="38" customFormat="1" ht="14.25" x14ac:dyDescent="0.15">
      <c r="A38" s="30" t="s">
        <v>41</v>
      </c>
      <c r="B38" s="30">
        <v>30</v>
      </c>
      <c r="C38" s="30"/>
      <c r="D38" s="30"/>
      <c r="E38" s="30">
        <v>30</v>
      </c>
      <c r="F38" s="30">
        <v>999999</v>
      </c>
      <c r="G38" s="33"/>
      <c r="H38" s="38" t="s">
        <v>89</v>
      </c>
    </row>
    <row r="39" spans="1:8" ht="14.25" x14ac:dyDescent="0.15">
      <c r="A39" s="25" t="s">
        <v>41</v>
      </c>
      <c r="B39" s="25">
        <v>31</v>
      </c>
      <c r="C39" s="25"/>
      <c r="D39" s="25"/>
      <c r="E39" s="25">
        <v>31</v>
      </c>
      <c r="F39" s="25">
        <v>999999</v>
      </c>
      <c r="G39" s="32"/>
      <c r="H39" s="16" t="s">
        <v>90</v>
      </c>
    </row>
    <row r="40" spans="1:8" s="38" customFormat="1" ht="14.25" x14ac:dyDescent="0.15">
      <c r="A40" s="30" t="s">
        <v>41</v>
      </c>
      <c r="B40" s="30">
        <v>32</v>
      </c>
      <c r="C40" s="30"/>
      <c r="D40" s="30"/>
      <c r="E40" s="30">
        <v>32</v>
      </c>
      <c r="F40" s="30">
        <v>999999</v>
      </c>
      <c r="G40" s="33"/>
      <c r="H40" s="38" t="s">
        <v>91</v>
      </c>
    </row>
    <row r="41" spans="1:8" ht="14.25" x14ac:dyDescent="0.15">
      <c r="A41" s="25" t="s">
        <v>41</v>
      </c>
      <c r="B41" s="25">
        <v>33</v>
      </c>
      <c r="C41" s="25"/>
      <c r="D41" s="25"/>
      <c r="E41" s="25">
        <v>33</v>
      </c>
      <c r="F41" s="25">
        <v>999999</v>
      </c>
      <c r="G41" s="32"/>
      <c r="H41" s="16" t="s">
        <v>92</v>
      </c>
    </row>
    <row r="42" spans="1:8" s="38" customFormat="1" ht="14.25" x14ac:dyDescent="0.15">
      <c r="A42" s="30" t="s">
        <v>41</v>
      </c>
      <c r="B42" s="30">
        <v>34</v>
      </c>
      <c r="C42" s="30"/>
      <c r="D42" s="30"/>
      <c r="E42" s="30">
        <v>34</v>
      </c>
      <c r="F42" s="30">
        <v>999999</v>
      </c>
      <c r="G42" s="33"/>
      <c r="H42" s="38" t="s">
        <v>93</v>
      </c>
    </row>
    <row r="43" spans="1:8" ht="14.25" x14ac:dyDescent="0.15">
      <c r="A43" s="25" t="s">
        <v>41</v>
      </c>
      <c r="B43" s="25">
        <v>35</v>
      </c>
      <c r="C43" s="25"/>
      <c r="D43" s="25"/>
      <c r="E43" s="25">
        <v>35</v>
      </c>
      <c r="F43" s="25">
        <v>999999</v>
      </c>
      <c r="G43" s="32"/>
      <c r="H43" s="16" t="s">
        <v>94</v>
      </c>
    </row>
    <row r="44" spans="1:8" s="38" customFormat="1" ht="14.25" x14ac:dyDescent="0.15">
      <c r="A44" s="30" t="s">
        <v>41</v>
      </c>
      <c r="B44" s="30">
        <v>36</v>
      </c>
      <c r="C44" s="30"/>
      <c r="D44" s="30"/>
      <c r="E44" s="30">
        <v>36</v>
      </c>
      <c r="F44" s="30">
        <v>999999</v>
      </c>
      <c r="G44" s="33"/>
      <c r="H44" s="38" t="s">
        <v>95</v>
      </c>
    </row>
    <row r="45" spans="1:8" ht="14.25" x14ac:dyDescent="0.15">
      <c r="A45" s="25" t="s">
        <v>41</v>
      </c>
      <c r="B45" s="25">
        <v>37</v>
      </c>
      <c r="C45" s="25"/>
      <c r="D45" s="25"/>
      <c r="E45" s="25">
        <v>37</v>
      </c>
      <c r="F45" s="25">
        <v>999999</v>
      </c>
      <c r="G45" s="32"/>
      <c r="H45" s="16" t="s">
        <v>96</v>
      </c>
    </row>
    <row r="46" spans="1:8" s="38" customFormat="1" ht="14.25" x14ac:dyDescent="0.15">
      <c r="A46" s="30" t="s">
        <v>41</v>
      </c>
      <c r="B46" s="30">
        <v>38</v>
      </c>
      <c r="C46" s="30"/>
      <c r="D46" s="30"/>
      <c r="E46" s="30">
        <v>38</v>
      </c>
      <c r="F46" s="30">
        <v>999999</v>
      </c>
      <c r="G46" s="33"/>
      <c r="H46" s="38" t="s">
        <v>97</v>
      </c>
    </row>
    <row r="47" spans="1:8" ht="14.25" x14ac:dyDescent="0.15">
      <c r="A47" s="25" t="s">
        <v>41</v>
      </c>
      <c r="B47" s="25">
        <v>39</v>
      </c>
      <c r="C47" s="25"/>
      <c r="D47" s="25"/>
      <c r="E47" s="25">
        <v>39</v>
      </c>
      <c r="F47" s="25">
        <v>999999</v>
      </c>
      <c r="G47" s="32"/>
      <c r="H47" s="16" t="s">
        <v>98</v>
      </c>
    </row>
    <row r="48" spans="1:8" s="38" customFormat="1" ht="14.25" x14ac:dyDescent="0.15">
      <c r="A48" s="30" t="s">
        <v>41</v>
      </c>
      <c r="B48" s="30">
        <v>40</v>
      </c>
      <c r="C48" s="30"/>
      <c r="D48" s="30"/>
      <c r="E48" s="30">
        <v>40</v>
      </c>
      <c r="F48" s="30">
        <v>999999</v>
      </c>
      <c r="G48" s="33"/>
      <c r="H48" s="38" t="s">
        <v>99</v>
      </c>
    </row>
    <row r="49" spans="1:8" ht="14.25" x14ac:dyDescent="0.15">
      <c r="A49" s="25" t="s">
        <v>41</v>
      </c>
      <c r="B49" s="25">
        <v>41</v>
      </c>
      <c r="C49" s="25"/>
      <c r="D49" s="25"/>
      <c r="E49" s="25">
        <v>41</v>
      </c>
      <c r="F49" s="25">
        <v>999999</v>
      </c>
      <c r="G49" s="32"/>
      <c r="H49" s="16" t="s">
        <v>100</v>
      </c>
    </row>
    <row r="50" spans="1:8" s="38" customFormat="1" ht="14.25" x14ac:dyDescent="0.15">
      <c r="A50" s="30" t="s">
        <v>41</v>
      </c>
      <c r="B50" s="30">
        <v>42</v>
      </c>
      <c r="C50" s="30"/>
      <c r="D50" s="30"/>
      <c r="E50" s="30">
        <v>42</v>
      </c>
      <c r="F50" s="30">
        <v>999999</v>
      </c>
      <c r="G50" s="33"/>
      <c r="H50" s="38" t="s">
        <v>101</v>
      </c>
    </row>
    <row r="51" spans="1:8" ht="14.25" x14ac:dyDescent="0.15">
      <c r="A51" s="25" t="s">
        <v>41</v>
      </c>
      <c r="B51" s="25">
        <v>43</v>
      </c>
      <c r="C51" s="25"/>
      <c r="D51" s="25"/>
      <c r="E51" s="25">
        <v>43</v>
      </c>
      <c r="F51" s="25">
        <v>999999</v>
      </c>
      <c r="G51" s="32"/>
      <c r="H51" s="16" t="s">
        <v>102</v>
      </c>
    </row>
    <row r="52" spans="1:8" s="38" customFormat="1" ht="14.25" x14ac:dyDescent="0.15">
      <c r="A52" s="30" t="s">
        <v>41</v>
      </c>
      <c r="B52" s="30">
        <v>44</v>
      </c>
      <c r="C52" s="30"/>
      <c r="D52" s="30"/>
      <c r="E52" s="30">
        <v>44</v>
      </c>
      <c r="F52" s="30">
        <v>999999</v>
      </c>
      <c r="G52" s="33"/>
      <c r="H52" s="38" t="s">
        <v>103</v>
      </c>
    </row>
    <row r="53" spans="1:8" ht="14.25" x14ac:dyDescent="0.15">
      <c r="A53" s="25" t="s">
        <v>41</v>
      </c>
      <c r="B53" s="25">
        <v>45</v>
      </c>
      <c r="C53" s="25"/>
      <c r="D53" s="25"/>
      <c r="E53" s="25">
        <v>45</v>
      </c>
      <c r="F53" s="25">
        <v>999999</v>
      </c>
      <c r="G53" s="32"/>
      <c r="H53" s="16" t="s">
        <v>104</v>
      </c>
    </row>
    <row r="54" spans="1:8" s="38" customFormat="1" ht="14.25" x14ac:dyDescent="0.15">
      <c r="A54" s="30" t="s">
        <v>41</v>
      </c>
      <c r="B54" s="30">
        <v>46</v>
      </c>
      <c r="C54" s="30"/>
      <c r="D54" s="30"/>
      <c r="E54" s="30">
        <v>46</v>
      </c>
      <c r="F54" s="30">
        <v>999999</v>
      </c>
      <c r="G54" s="33"/>
      <c r="H54" s="38" t="s">
        <v>105</v>
      </c>
    </row>
    <row r="55" spans="1:8" ht="14.25" x14ac:dyDescent="0.15">
      <c r="A55" s="25" t="s">
        <v>41</v>
      </c>
      <c r="B55" s="25">
        <v>47</v>
      </c>
      <c r="C55" s="25"/>
      <c r="D55" s="25"/>
      <c r="E55" s="25">
        <v>47</v>
      </c>
      <c r="F55" s="25">
        <v>999999</v>
      </c>
      <c r="G55" s="32"/>
      <c r="H55" s="16" t="s">
        <v>106</v>
      </c>
    </row>
    <row r="56" spans="1:8" s="38" customFormat="1" ht="14.25" x14ac:dyDescent="0.15">
      <c r="A56" s="30" t="s">
        <v>41</v>
      </c>
      <c r="B56" s="30">
        <v>48</v>
      </c>
      <c r="C56" s="30"/>
      <c r="D56" s="30"/>
      <c r="E56" s="30">
        <v>48</v>
      </c>
      <c r="F56" s="30">
        <v>999999</v>
      </c>
      <c r="G56" s="33"/>
      <c r="H56" s="38" t="s">
        <v>107</v>
      </c>
    </row>
    <row r="57" spans="1:8" ht="14.25" x14ac:dyDescent="0.15">
      <c r="A57" s="25" t="s">
        <v>41</v>
      </c>
      <c r="B57" s="25">
        <v>49</v>
      </c>
      <c r="C57" s="25"/>
      <c r="D57" s="25"/>
      <c r="E57" s="25">
        <v>49</v>
      </c>
      <c r="F57" s="25">
        <v>999999</v>
      </c>
      <c r="G57" s="32"/>
      <c r="H57" s="16" t="s">
        <v>108</v>
      </c>
    </row>
    <row r="58" spans="1:8" s="38" customFormat="1" ht="14.25" x14ac:dyDescent="0.15">
      <c r="A58" s="30" t="s">
        <v>41</v>
      </c>
      <c r="B58" s="30">
        <v>50</v>
      </c>
      <c r="C58" s="30"/>
      <c r="D58" s="30"/>
      <c r="E58" s="30">
        <v>50</v>
      </c>
      <c r="F58" s="30">
        <v>999999</v>
      </c>
      <c r="G58" s="33"/>
      <c r="H58" s="38" t="s">
        <v>109</v>
      </c>
    </row>
    <row r="59" spans="1:8" ht="14.25" x14ac:dyDescent="0.15">
      <c r="A59" s="25" t="s">
        <v>41</v>
      </c>
      <c r="B59" s="25">
        <v>51</v>
      </c>
      <c r="C59" s="25"/>
      <c r="D59" s="25"/>
      <c r="E59" s="25">
        <v>51</v>
      </c>
      <c r="F59" s="25">
        <v>999999</v>
      </c>
      <c r="G59" s="32"/>
      <c r="H59" s="16" t="s">
        <v>110</v>
      </c>
    </row>
    <row r="60" spans="1:8" s="38" customFormat="1" ht="14.25" x14ac:dyDescent="0.15">
      <c r="A60" s="30" t="s">
        <v>41</v>
      </c>
      <c r="B60" s="30">
        <v>52</v>
      </c>
      <c r="C60" s="30"/>
      <c r="D60" s="30"/>
      <c r="E60" s="30">
        <v>52</v>
      </c>
      <c r="F60" s="30">
        <v>999999</v>
      </c>
      <c r="G60" s="33"/>
      <c r="H60" s="38" t="s">
        <v>111</v>
      </c>
    </row>
    <row r="61" spans="1:8" ht="14.25" x14ac:dyDescent="0.15">
      <c r="A61" s="25" t="s">
        <v>41</v>
      </c>
      <c r="B61" s="25">
        <v>53</v>
      </c>
      <c r="C61" s="25"/>
      <c r="D61" s="25"/>
      <c r="E61" s="25">
        <v>53</v>
      </c>
      <c r="F61" s="25">
        <v>999999</v>
      </c>
      <c r="G61" s="32"/>
      <c r="H61" s="16" t="s">
        <v>112</v>
      </c>
    </row>
    <row r="62" spans="1:8" s="38" customFormat="1" ht="14.25" x14ac:dyDescent="0.15">
      <c r="A62" s="30" t="s">
        <v>41</v>
      </c>
      <c r="B62" s="30">
        <v>54</v>
      </c>
      <c r="C62" s="30"/>
      <c r="D62" s="30"/>
      <c r="E62" s="30">
        <v>54</v>
      </c>
      <c r="F62" s="30">
        <v>999999</v>
      </c>
      <c r="G62" s="33"/>
      <c r="H62" s="38" t="s">
        <v>113</v>
      </c>
    </row>
    <row r="63" spans="1:8" ht="14.25" x14ac:dyDescent="0.15">
      <c r="A63" s="25" t="s">
        <v>41</v>
      </c>
      <c r="B63" s="25">
        <v>55</v>
      </c>
      <c r="C63" s="25"/>
      <c r="D63" s="25"/>
      <c r="E63" s="25">
        <v>55</v>
      </c>
      <c r="F63" s="25">
        <v>999999</v>
      </c>
      <c r="G63" s="32"/>
      <c r="H63" s="16" t="s">
        <v>114</v>
      </c>
    </row>
    <row r="64" spans="1:8" s="38" customFormat="1" ht="14.25" x14ac:dyDescent="0.15">
      <c r="A64" s="30" t="s">
        <v>41</v>
      </c>
      <c r="B64" s="30">
        <v>56</v>
      </c>
      <c r="C64" s="30"/>
      <c r="D64" s="30"/>
      <c r="E64" s="30">
        <v>56</v>
      </c>
      <c r="F64" s="30">
        <v>999999</v>
      </c>
      <c r="G64" s="33"/>
      <c r="H64" s="38" t="s">
        <v>115</v>
      </c>
    </row>
    <row r="65" spans="1:8" ht="14.25" x14ac:dyDescent="0.15">
      <c r="A65" s="25" t="s">
        <v>41</v>
      </c>
      <c r="B65" s="25">
        <v>57</v>
      </c>
      <c r="C65" s="25"/>
      <c r="D65" s="25"/>
      <c r="E65" s="25">
        <v>57</v>
      </c>
      <c r="F65" s="25">
        <v>999999</v>
      </c>
      <c r="G65" s="32"/>
      <c r="H65" s="16" t="s">
        <v>116</v>
      </c>
    </row>
    <row r="66" spans="1:8" s="38" customFormat="1" ht="14.25" x14ac:dyDescent="0.15">
      <c r="A66" s="30" t="s">
        <v>41</v>
      </c>
      <c r="B66" s="30">
        <v>58</v>
      </c>
      <c r="C66" s="30"/>
      <c r="D66" s="30"/>
      <c r="E66" s="30">
        <v>58</v>
      </c>
      <c r="F66" s="30">
        <v>999999</v>
      </c>
      <c r="G66" s="33"/>
      <c r="H66" s="38" t="s">
        <v>117</v>
      </c>
    </row>
    <row r="67" spans="1:8" ht="14.25" x14ac:dyDescent="0.15">
      <c r="A67" s="25" t="s">
        <v>41</v>
      </c>
      <c r="B67" s="25">
        <v>59</v>
      </c>
      <c r="C67" s="25"/>
      <c r="D67" s="25"/>
      <c r="E67" s="25">
        <v>59</v>
      </c>
      <c r="F67" s="25">
        <v>999999</v>
      </c>
      <c r="G67" s="32"/>
      <c r="H67" s="16" t="s">
        <v>118</v>
      </c>
    </row>
    <row r="68" spans="1:8" s="38" customFormat="1" ht="14.25" x14ac:dyDescent="0.15">
      <c r="A68" s="30" t="s">
        <v>41</v>
      </c>
      <c r="B68" s="30">
        <v>60</v>
      </c>
      <c r="C68" s="30"/>
      <c r="D68" s="30"/>
      <c r="E68" s="30">
        <v>60</v>
      </c>
      <c r="F68" s="30">
        <v>999999</v>
      </c>
      <c r="G68" s="33"/>
      <c r="H68" s="38" t="s">
        <v>119</v>
      </c>
    </row>
    <row r="69" spans="1:8" ht="14.25" x14ac:dyDescent="0.15">
      <c r="A69" s="25" t="s">
        <v>41</v>
      </c>
      <c r="B69" s="25">
        <v>61</v>
      </c>
      <c r="C69" s="25"/>
      <c r="D69" s="25"/>
      <c r="E69" s="25">
        <v>61</v>
      </c>
      <c r="F69" s="25">
        <v>999999</v>
      </c>
      <c r="G69" s="32"/>
      <c r="H69" s="16" t="s">
        <v>120</v>
      </c>
    </row>
    <row r="70" spans="1:8" s="38" customFormat="1" ht="14.25" x14ac:dyDescent="0.15">
      <c r="A70" s="30" t="s">
        <v>41</v>
      </c>
      <c r="B70" s="30">
        <v>62</v>
      </c>
      <c r="C70" s="30"/>
      <c r="D70" s="30"/>
      <c r="E70" s="30">
        <v>62</v>
      </c>
      <c r="F70" s="30">
        <v>999999</v>
      </c>
      <c r="G70" s="33"/>
      <c r="H70" s="38" t="s">
        <v>121</v>
      </c>
    </row>
    <row r="71" spans="1:8" ht="14.25" x14ac:dyDescent="0.15">
      <c r="A71" s="25" t="s">
        <v>41</v>
      </c>
      <c r="B71" s="25">
        <v>63</v>
      </c>
      <c r="C71" s="25"/>
      <c r="D71" s="25"/>
      <c r="E71" s="25">
        <v>63</v>
      </c>
      <c r="F71" s="25">
        <v>999999</v>
      </c>
      <c r="G71" s="32"/>
      <c r="H71" s="16" t="s">
        <v>122</v>
      </c>
    </row>
    <row r="72" spans="1:8" s="38" customFormat="1" ht="14.25" x14ac:dyDescent="0.15">
      <c r="A72" s="30" t="s">
        <v>41</v>
      </c>
      <c r="B72" s="30">
        <v>64</v>
      </c>
      <c r="C72" s="30"/>
      <c r="D72" s="30"/>
      <c r="E72" s="30">
        <v>64</v>
      </c>
      <c r="F72" s="30">
        <v>999999</v>
      </c>
      <c r="G72" s="33"/>
      <c r="H72" s="38" t="s">
        <v>123</v>
      </c>
    </row>
    <row r="73" spans="1:8" ht="14.25" x14ac:dyDescent="0.15">
      <c r="A73" s="25" t="s">
        <v>41</v>
      </c>
      <c r="B73" s="25">
        <v>65</v>
      </c>
      <c r="C73" s="25"/>
      <c r="D73" s="25"/>
      <c r="E73" s="25">
        <v>65</v>
      </c>
      <c r="F73" s="25">
        <v>999999</v>
      </c>
      <c r="G73" s="32"/>
      <c r="H73" s="16" t="s">
        <v>124</v>
      </c>
    </row>
    <row r="74" spans="1:8" s="38" customFormat="1" ht="14.25" x14ac:dyDescent="0.15">
      <c r="A74" s="30" t="s">
        <v>41</v>
      </c>
      <c r="B74" s="30">
        <v>66</v>
      </c>
      <c r="C74" s="30"/>
      <c r="D74" s="30"/>
      <c r="E74" s="30">
        <v>66</v>
      </c>
      <c r="F74" s="30">
        <v>999999</v>
      </c>
      <c r="G74" s="33"/>
      <c r="H74" s="38" t="s">
        <v>125</v>
      </c>
    </row>
    <row r="75" spans="1:8" ht="14.25" x14ac:dyDescent="0.15">
      <c r="A75" s="25" t="s">
        <v>41</v>
      </c>
      <c r="B75" s="25">
        <v>67</v>
      </c>
      <c r="C75" s="25"/>
      <c r="D75" s="25"/>
      <c r="E75" s="25">
        <v>67</v>
      </c>
      <c r="F75" s="25">
        <v>999999</v>
      </c>
      <c r="G75" s="32"/>
      <c r="H75" s="16" t="s">
        <v>126</v>
      </c>
    </row>
    <row r="76" spans="1:8" s="38" customFormat="1" ht="14.25" x14ac:dyDescent="0.15">
      <c r="A76" s="30" t="s">
        <v>41</v>
      </c>
      <c r="B76" s="30">
        <v>68</v>
      </c>
      <c r="C76" s="30"/>
      <c r="D76" s="30"/>
      <c r="E76" s="30">
        <v>68</v>
      </c>
      <c r="F76" s="30">
        <v>999999</v>
      </c>
      <c r="G76" s="33"/>
      <c r="H76" s="38" t="s">
        <v>127</v>
      </c>
    </row>
    <row r="77" spans="1:8" ht="14.25" x14ac:dyDescent="0.15">
      <c r="A77" s="25" t="s">
        <v>41</v>
      </c>
      <c r="B77" s="25">
        <v>69</v>
      </c>
      <c r="C77" s="25"/>
      <c r="D77" s="25"/>
      <c r="E77" s="25">
        <v>69</v>
      </c>
      <c r="F77" s="25">
        <v>999999</v>
      </c>
      <c r="G77" s="32"/>
      <c r="H77" s="16" t="s">
        <v>128</v>
      </c>
    </row>
    <row r="78" spans="1:8" s="38" customFormat="1" ht="14.25" x14ac:dyDescent="0.15">
      <c r="A78" s="30" t="s">
        <v>41</v>
      </c>
      <c r="B78" s="30">
        <v>70</v>
      </c>
      <c r="C78" s="30"/>
      <c r="D78" s="30"/>
      <c r="E78" s="30">
        <v>70</v>
      </c>
      <c r="F78" s="30">
        <v>999999</v>
      </c>
      <c r="G78" s="33"/>
      <c r="H78" s="38" t="s">
        <v>129</v>
      </c>
    </row>
    <row r="79" spans="1:8" ht="14.25" x14ac:dyDescent="0.15">
      <c r="A79" s="25" t="s">
        <v>41</v>
      </c>
      <c r="B79" s="25">
        <v>71</v>
      </c>
      <c r="C79" s="25"/>
      <c r="D79" s="25"/>
      <c r="E79" s="25">
        <v>71</v>
      </c>
      <c r="F79" s="25">
        <v>999999</v>
      </c>
      <c r="G79" s="32"/>
      <c r="H79" s="16" t="s">
        <v>130</v>
      </c>
    </row>
    <row r="80" spans="1:8" s="38" customFormat="1" ht="14.25" x14ac:dyDescent="0.15">
      <c r="A80" s="30" t="s">
        <v>41</v>
      </c>
      <c r="B80" s="30">
        <v>72</v>
      </c>
      <c r="C80" s="30"/>
      <c r="D80" s="30"/>
      <c r="E80" s="30">
        <v>72</v>
      </c>
      <c r="F80" s="30">
        <v>999999</v>
      </c>
      <c r="G80" s="33"/>
      <c r="H80" s="38" t="s">
        <v>131</v>
      </c>
    </row>
    <row r="81" spans="1:8" ht="14.25" x14ac:dyDescent="0.15">
      <c r="A81" s="25" t="s">
        <v>41</v>
      </c>
      <c r="B81" s="25">
        <v>73</v>
      </c>
      <c r="C81" s="25"/>
      <c r="D81" s="25"/>
      <c r="E81" s="25">
        <v>73</v>
      </c>
      <c r="F81" s="25">
        <v>999999</v>
      </c>
      <c r="G81" s="32"/>
      <c r="H81" s="16" t="s">
        <v>132</v>
      </c>
    </row>
    <row r="82" spans="1:8" s="38" customFormat="1" ht="14.25" x14ac:dyDescent="0.15">
      <c r="A82" s="30" t="s">
        <v>41</v>
      </c>
      <c r="B82" s="30">
        <v>74</v>
      </c>
      <c r="C82" s="30"/>
      <c r="D82" s="30"/>
      <c r="E82" s="30">
        <v>74</v>
      </c>
      <c r="F82" s="30">
        <v>999999</v>
      </c>
      <c r="G82" s="33"/>
      <c r="H82" s="38" t="s">
        <v>133</v>
      </c>
    </row>
    <row r="83" spans="1:8" ht="14.25" x14ac:dyDescent="0.15">
      <c r="A83" s="25" t="s">
        <v>41</v>
      </c>
      <c r="B83" s="25">
        <v>75</v>
      </c>
      <c r="C83" s="25"/>
      <c r="D83" s="25"/>
      <c r="E83" s="25">
        <v>75</v>
      </c>
      <c r="F83" s="25">
        <v>999999</v>
      </c>
      <c r="G83" s="32"/>
      <c r="H83" s="16" t="s">
        <v>134</v>
      </c>
    </row>
    <row r="84" spans="1:8" s="38" customFormat="1" ht="14.25" x14ac:dyDescent="0.15">
      <c r="A84" s="30" t="s">
        <v>41</v>
      </c>
      <c r="B84" s="30">
        <v>76</v>
      </c>
      <c r="C84" s="30"/>
      <c r="D84" s="30"/>
      <c r="E84" s="30">
        <v>76</v>
      </c>
      <c r="F84" s="30">
        <v>999999</v>
      </c>
      <c r="G84" s="33"/>
      <c r="H84" s="38" t="s">
        <v>135</v>
      </c>
    </row>
    <row r="85" spans="1:8" ht="14.25" x14ac:dyDescent="0.15">
      <c r="A85" s="25" t="s">
        <v>41</v>
      </c>
      <c r="B85" s="25">
        <v>77</v>
      </c>
      <c r="C85" s="25"/>
      <c r="D85" s="25"/>
      <c r="E85" s="25">
        <v>77</v>
      </c>
      <c r="F85" s="25">
        <v>999999</v>
      </c>
      <c r="G85" s="32"/>
      <c r="H85" s="16" t="s">
        <v>136</v>
      </c>
    </row>
    <row r="86" spans="1:8" s="38" customFormat="1" ht="14.25" x14ac:dyDescent="0.15">
      <c r="A86" s="30" t="s">
        <v>41</v>
      </c>
      <c r="B86" s="30">
        <v>78</v>
      </c>
      <c r="C86" s="30"/>
      <c r="D86" s="30"/>
      <c r="E86" s="30">
        <v>78</v>
      </c>
      <c r="F86" s="30">
        <v>999999</v>
      </c>
      <c r="G86" s="33"/>
      <c r="H86" s="38" t="s">
        <v>137</v>
      </c>
    </row>
    <row r="87" spans="1:8" ht="14.25" x14ac:dyDescent="0.15">
      <c r="A87" s="25" t="s">
        <v>41</v>
      </c>
      <c r="B87" s="25">
        <v>79</v>
      </c>
      <c r="C87" s="25"/>
      <c r="D87" s="25"/>
      <c r="E87" s="25">
        <v>79</v>
      </c>
      <c r="F87" s="25">
        <v>999999</v>
      </c>
      <c r="G87" s="32"/>
      <c r="H87" s="16" t="s">
        <v>138</v>
      </c>
    </row>
    <row r="88" spans="1:8" s="38" customFormat="1" ht="14.25" x14ac:dyDescent="0.15">
      <c r="A88" s="30" t="s">
        <v>41</v>
      </c>
      <c r="B88" s="30">
        <v>80</v>
      </c>
      <c r="C88" s="30"/>
      <c r="D88" s="30"/>
      <c r="E88" s="30">
        <v>80</v>
      </c>
      <c r="F88" s="30">
        <v>999999</v>
      </c>
      <c r="G88" s="33"/>
      <c r="H88" s="38" t="s">
        <v>139</v>
      </c>
    </row>
    <row r="89" spans="1:8" ht="14.25" x14ac:dyDescent="0.15">
      <c r="A89" s="25" t="s">
        <v>41</v>
      </c>
      <c r="B89" s="25">
        <v>81</v>
      </c>
      <c r="C89" s="25"/>
      <c r="D89" s="25"/>
      <c r="E89" s="25">
        <v>81</v>
      </c>
      <c r="F89" s="25">
        <v>999999</v>
      </c>
      <c r="G89" s="32"/>
      <c r="H89" s="16" t="s">
        <v>140</v>
      </c>
    </row>
    <row r="90" spans="1:8" s="38" customFormat="1" ht="14.25" x14ac:dyDescent="0.15">
      <c r="A90" s="30" t="s">
        <v>41</v>
      </c>
      <c r="B90" s="30">
        <v>82</v>
      </c>
      <c r="C90" s="30"/>
      <c r="D90" s="30"/>
      <c r="E90" s="30">
        <v>82</v>
      </c>
      <c r="F90" s="30">
        <v>999999</v>
      </c>
      <c r="G90" s="33"/>
      <c r="H90" s="38" t="s">
        <v>141</v>
      </c>
    </row>
    <row r="91" spans="1:8" ht="14.25" x14ac:dyDescent="0.15">
      <c r="A91" s="25" t="s">
        <v>41</v>
      </c>
      <c r="B91" s="25">
        <v>83</v>
      </c>
      <c r="C91" s="25"/>
      <c r="D91" s="25"/>
      <c r="E91" s="25">
        <v>83</v>
      </c>
      <c r="F91" s="25">
        <v>999999</v>
      </c>
      <c r="G91" s="32"/>
      <c r="H91" s="16" t="s">
        <v>142</v>
      </c>
    </row>
    <row r="92" spans="1:8" s="38" customFormat="1" ht="14.25" x14ac:dyDescent="0.15">
      <c r="A92" s="30" t="s">
        <v>41</v>
      </c>
      <c r="B92" s="30">
        <v>84</v>
      </c>
      <c r="C92" s="30"/>
      <c r="D92" s="30"/>
      <c r="E92" s="30">
        <v>84</v>
      </c>
      <c r="F92" s="30">
        <v>999999</v>
      </c>
      <c r="G92" s="33"/>
      <c r="H92" s="38" t="s">
        <v>143</v>
      </c>
    </row>
    <row r="93" spans="1:8" ht="14.25" x14ac:dyDescent="0.15">
      <c r="A93" s="25" t="s">
        <v>41</v>
      </c>
      <c r="B93" s="25">
        <v>85</v>
      </c>
      <c r="C93" s="25"/>
      <c r="D93" s="25"/>
      <c r="E93" s="25">
        <v>85</v>
      </c>
      <c r="F93" s="25">
        <v>999999</v>
      </c>
      <c r="G93" s="32"/>
      <c r="H93" s="16" t="s">
        <v>144</v>
      </c>
    </row>
    <row r="94" spans="1:8" s="38" customFormat="1" ht="14.25" x14ac:dyDescent="0.15">
      <c r="A94" s="30" t="s">
        <v>41</v>
      </c>
      <c r="B94" s="30">
        <v>86</v>
      </c>
      <c r="C94" s="30"/>
      <c r="D94" s="30"/>
      <c r="E94" s="30">
        <v>86</v>
      </c>
      <c r="F94" s="30">
        <v>999999</v>
      </c>
      <c r="G94" s="33"/>
      <c r="H94" s="38" t="s">
        <v>145</v>
      </c>
    </row>
    <row r="95" spans="1:8" ht="14.25" x14ac:dyDescent="0.15">
      <c r="A95" s="25" t="s">
        <v>41</v>
      </c>
      <c r="B95" s="25">
        <v>87</v>
      </c>
      <c r="C95" s="25"/>
      <c r="D95" s="25"/>
      <c r="E95" s="25">
        <v>87</v>
      </c>
      <c r="F95" s="25">
        <v>999999</v>
      </c>
      <c r="G95" s="32"/>
      <c r="H95" s="16" t="s">
        <v>146</v>
      </c>
    </row>
    <row r="96" spans="1:8" s="38" customFormat="1" ht="14.25" x14ac:dyDescent="0.15">
      <c r="A96" s="30" t="s">
        <v>41</v>
      </c>
      <c r="B96" s="30">
        <v>88</v>
      </c>
      <c r="C96" s="30"/>
      <c r="D96" s="30"/>
      <c r="E96" s="30">
        <v>88</v>
      </c>
      <c r="F96" s="30">
        <v>999999</v>
      </c>
      <c r="G96" s="33"/>
      <c r="H96" s="38" t="s">
        <v>147</v>
      </c>
    </row>
    <row r="97" spans="1:8" ht="14.25" x14ac:dyDescent="0.15">
      <c r="A97" s="25" t="s">
        <v>41</v>
      </c>
      <c r="B97" s="25">
        <v>89</v>
      </c>
      <c r="C97" s="25"/>
      <c r="D97" s="25"/>
      <c r="E97" s="25">
        <v>89</v>
      </c>
      <c r="F97" s="25">
        <v>999999</v>
      </c>
      <c r="G97" s="32"/>
      <c r="H97" s="16" t="s">
        <v>148</v>
      </c>
    </row>
    <row r="98" spans="1:8" s="38" customFormat="1" ht="14.25" x14ac:dyDescent="0.15">
      <c r="A98" s="30" t="s">
        <v>41</v>
      </c>
      <c r="B98" s="30">
        <v>90</v>
      </c>
      <c r="C98" s="30"/>
      <c r="D98" s="30"/>
      <c r="E98" s="30">
        <v>90</v>
      </c>
      <c r="F98" s="30">
        <v>999999</v>
      </c>
      <c r="G98" s="33"/>
      <c r="H98" s="38" t="s">
        <v>149</v>
      </c>
    </row>
    <row r="99" spans="1:8" ht="14.25" x14ac:dyDescent="0.15">
      <c r="A99" s="25" t="s">
        <v>41</v>
      </c>
      <c r="B99" s="25">
        <v>91</v>
      </c>
      <c r="C99" s="25"/>
      <c r="D99" s="25"/>
      <c r="E99" s="25">
        <v>91</v>
      </c>
      <c r="F99" s="25">
        <v>999999</v>
      </c>
      <c r="G99" s="32"/>
      <c r="H99" s="16" t="s">
        <v>150</v>
      </c>
    </row>
    <row r="100" spans="1:8" s="38" customFormat="1" ht="14.25" x14ac:dyDescent="0.15">
      <c r="A100" s="30" t="s">
        <v>41</v>
      </c>
      <c r="B100" s="30">
        <v>92</v>
      </c>
      <c r="C100" s="30"/>
      <c r="D100" s="30"/>
      <c r="E100" s="30">
        <v>92</v>
      </c>
      <c r="F100" s="30">
        <v>999999</v>
      </c>
      <c r="G100" s="33"/>
      <c r="H100" s="38" t="s">
        <v>151</v>
      </c>
    </row>
    <row r="101" spans="1:8" ht="14.25" x14ac:dyDescent="0.15">
      <c r="A101" s="25" t="s">
        <v>41</v>
      </c>
      <c r="B101" s="25">
        <v>93</v>
      </c>
      <c r="C101" s="25"/>
      <c r="D101" s="25"/>
      <c r="E101" s="25">
        <v>93</v>
      </c>
      <c r="F101" s="25">
        <v>999999</v>
      </c>
      <c r="G101" s="32"/>
      <c r="H101" s="16" t="s">
        <v>152</v>
      </c>
    </row>
    <row r="102" spans="1:8" s="38" customFormat="1" ht="14.25" x14ac:dyDescent="0.15">
      <c r="A102" s="30" t="s">
        <v>41</v>
      </c>
      <c r="B102" s="30">
        <v>94</v>
      </c>
      <c r="C102" s="30"/>
      <c r="D102" s="30"/>
      <c r="E102" s="30">
        <v>94</v>
      </c>
      <c r="F102" s="30">
        <v>999999</v>
      </c>
      <c r="G102" s="33"/>
      <c r="H102" s="38" t="s">
        <v>153</v>
      </c>
    </row>
    <row r="103" spans="1:8" ht="14.25" x14ac:dyDescent="0.15">
      <c r="A103" s="25" t="s">
        <v>41</v>
      </c>
      <c r="B103" s="25">
        <v>95</v>
      </c>
      <c r="C103" s="25"/>
      <c r="D103" s="25"/>
      <c r="E103" s="25">
        <v>95</v>
      </c>
      <c r="F103" s="25">
        <v>999999</v>
      </c>
      <c r="G103" s="32"/>
      <c r="H103" s="16" t="s">
        <v>154</v>
      </c>
    </row>
    <row r="104" spans="1:8" s="38" customFormat="1" ht="14.25" x14ac:dyDescent="0.15">
      <c r="A104" s="30" t="s">
        <v>41</v>
      </c>
      <c r="B104" s="30">
        <v>96</v>
      </c>
      <c r="C104" s="30"/>
      <c r="D104" s="30"/>
      <c r="E104" s="30">
        <v>96</v>
      </c>
      <c r="F104" s="30">
        <v>999999</v>
      </c>
      <c r="G104" s="33"/>
      <c r="H104" s="38" t="s">
        <v>155</v>
      </c>
    </row>
    <row r="105" spans="1:8" ht="14.25" x14ac:dyDescent="0.15">
      <c r="A105" s="25" t="s">
        <v>41</v>
      </c>
      <c r="B105" s="25">
        <v>97</v>
      </c>
      <c r="C105" s="25"/>
      <c r="D105" s="25"/>
      <c r="E105" s="25">
        <v>97</v>
      </c>
      <c r="F105" s="25">
        <v>999999</v>
      </c>
      <c r="G105" s="32"/>
      <c r="H105" s="16" t="s">
        <v>156</v>
      </c>
    </row>
    <row r="106" spans="1:8" s="38" customFormat="1" ht="14.25" x14ac:dyDescent="0.15">
      <c r="A106" s="30" t="s">
        <v>41</v>
      </c>
      <c r="B106" s="30">
        <v>98</v>
      </c>
      <c r="C106" s="30"/>
      <c r="D106" s="30"/>
      <c r="E106" s="30">
        <v>98</v>
      </c>
      <c r="F106" s="30">
        <v>999999</v>
      </c>
      <c r="G106" s="33"/>
      <c r="H106" s="38" t="s">
        <v>157</v>
      </c>
    </row>
    <row r="107" spans="1:8" ht="14.25" x14ac:dyDescent="0.15">
      <c r="A107" s="25" t="s">
        <v>41</v>
      </c>
      <c r="B107" s="25">
        <v>99</v>
      </c>
      <c r="C107" s="25"/>
      <c r="D107" s="25"/>
      <c r="E107" s="25">
        <v>99</v>
      </c>
      <c r="F107" s="25">
        <v>999999</v>
      </c>
      <c r="G107" s="32"/>
      <c r="H107" s="16" t="s">
        <v>158</v>
      </c>
    </row>
    <row r="108" spans="1:8" s="38" customFormat="1" ht="14.25" x14ac:dyDescent="0.15">
      <c r="A108" s="30" t="s">
        <v>41</v>
      </c>
      <c r="B108" s="30">
        <v>100</v>
      </c>
      <c r="C108" s="30"/>
      <c r="D108" s="30"/>
      <c r="E108" s="30">
        <v>100</v>
      </c>
      <c r="F108" s="30">
        <v>999999</v>
      </c>
      <c r="G108" s="33"/>
      <c r="H108" s="38" t="s">
        <v>159</v>
      </c>
    </row>
    <row r="109" spans="1:8" ht="14.25" x14ac:dyDescent="0.15">
      <c r="A109" s="25" t="s">
        <v>41</v>
      </c>
      <c r="B109" s="25">
        <v>101</v>
      </c>
      <c r="C109" s="25"/>
      <c r="D109" s="25"/>
      <c r="E109" s="25">
        <v>101</v>
      </c>
      <c r="F109" s="25">
        <v>999999</v>
      </c>
      <c r="H109" s="16" t="s">
        <v>160</v>
      </c>
    </row>
    <row r="110" spans="1:8" ht="14.25" x14ac:dyDescent="0.15">
      <c r="A110" s="30" t="s">
        <v>41</v>
      </c>
      <c r="B110" s="30">
        <v>102</v>
      </c>
      <c r="C110" s="30"/>
      <c r="D110" s="30"/>
      <c r="E110" s="30">
        <v>102</v>
      </c>
      <c r="F110" s="30">
        <v>999999</v>
      </c>
      <c r="H110" s="38" t="s">
        <v>161</v>
      </c>
    </row>
    <row r="111" spans="1:8" ht="14.25" x14ac:dyDescent="0.15">
      <c r="A111" s="25" t="s">
        <v>41</v>
      </c>
      <c r="B111" s="25">
        <v>103</v>
      </c>
      <c r="C111" s="25"/>
      <c r="D111" s="25"/>
      <c r="E111" s="25">
        <v>103</v>
      </c>
      <c r="F111" s="25">
        <v>999999</v>
      </c>
      <c r="H111" s="16" t="s">
        <v>162</v>
      </c>
    </row>
    <row r="112" spans="1:8" ht="14.25" x14ac:dyDescent="0.15">
      <c r="A112" s="30" t="s">
        <v>41</v>
      </c>
      <c r="B112" s="30">
        <v>104</v>
      </c>
      <c r="C112" s="30"/>
      <c r="D112" s="30"/>
      <c r="E112" s="30">
        <v>104</v>
      </c>
      <c r="F112" s="30">
        <v>999999</v>
      </c>
      <c r="H112" s="38" t="s">
        <v>163</v>
      </c>
    </row>
    <row r="113" spans="1:8" ht="14.25" x14ac:dyDescent="0.15">
      <c r="A113" s="25" t="s">
        <v>41</v>
      </c>
      <c r="B113" s="25">
        <v>105</v>
      </c>
      <c r="C113" s="25"/>
      <c r="D113" s="25"/>
      <c r="E113" s="25">
        <v>105</v>
      </c>
      <c r="F113" s="25">
        <v>999999</v>
      </c>
      <c r="H113" s="16" t="s">
        <v>164</v>
      </c>
    </row>
    <row r="114" spans="1:8" ht="14.25" x14ac:dyDescent="0.15">
      <c r="A114" s="30" t="s">
        <v>41</v>
      </c>
      <c r="B114" s="30">
        <v>106</v>
      </c>
      <c r="C114" s="30"/>
      <c r="D114" s="30"/>
      <c r="E114" s="30">
        <v>106</v>
      </c>
      <c r="F114" s="30">
        <v>999999</v>
      </c>
      <c r="H114" s="38" t="s">
        <v>165</v>
      </c>
    </row>
    <row r="115" spans="1:8" ht="14.25" x14ac:dyDescent="0.15">
      <c r="A115" s="25" t="s">
        <v>41</v>
      </c>
      <c r="B115" s="25">
        <v>107</v>
      </c>
      <c r="C115" s="25"/>
      <c r="D115" s="25"/>
      <c r="E115" s="25">
        <v>107</v>
      </c>
      <c r="F115" s="25">
        <v>999999</v>
      </c>
      <c r="H115" s="16" t="s">
        <v>166</v>
      </c>
    </row>
    <row r="116" spans="1:8" ht="14.25" x14ac:dyDescent="0.15">
      <c r="A116" s="30" t="s">
        <v>41</v>
      </c>
      <c r="B116" s="30">
        <v>108</v>
      </c>
      <c r="C116" s="30"/>
      <c r="D116" s="30"/>
      <c r="E116" s="30">
        <v>108</v>
      </c>
      <c r="F116" s="30">
        <v>999999</v>
      </c>
      <c r="H116" s="38" t="s">
        <v>167</v>
      </c>
    </row>
    <row r="117" spans="1:8" ht="14.25" x14ac:dyDescent="0.15">
      <c r="A117" s="25" t="s">
        <v>41</v>
      </c>
      <c r="B117" s="25">
        <v>109</v>
      </c>
      <c r="C117" s="25"/>
      <c r="D117" s="25"/>
      <c r="E117" s="25">
        <v>109</v>
      </c>
      <c r="F117" s="25">
        <v>999999</v>
      </c>
      <c r="H117" s="16" t="s">
        <v>168</v>
      </c>
    </row>
    <row r="118" spans="1:8" ht="14.25" x14ac:dyDescent="0.15">
      <c r="A118" s="30" t="s">
        <v>41</v>
      </c>
      <c r="B118" s="30">
        <v>110</v>
      </c>
      <c r="C118" s="30"/>
      <c r="D118" s="30"/>
      <c r="E118" s="30">
        <v>110</v>
      </c>
      <c r="F118" s="30">
        <v>999999</v>
      </c>
      <c r="H118" s="38" t="s">
        <v>169</v>
      </c>
    </row>
    <row r="119" spans="1:8" ht="14.25" x14ac:dyDescent="0.15">
      <c r="A119" s="25" t="s">
        <v>41</v>
      </c>
      <c r="B119" s="25">
        <v>111</v>
      </c>
      <c r="C119" s="25"/>
      <c r="D119" s="25"/>
      <c r="E119" s="25">
        <v>111</v>
      </c>
      <c r="F119" s="25">
        <v>999999</v>
      </c>
      <c r="H119" s="16" t="s">
        <v>170</v>
      </c>
    </row>
    <row r="120" spans="1:8" ht="14.25" x14ac:dyDescent="0.15">
      <c r="A120" s="30" t="s">
        <v>41</v>
      </c>
      <c r="B120" s="30">
        <v>112</v>
      </c>
      <c r="C120" s="30"/>
      <c r="D120" s="30"/>
      <c r="E120" s="30">
        <v>112</v>
      </c>
      <c r="F120" s="30">
        <v>999999</v>
      </c>
      <c r="H120" s="38" t="s">
        <v>171</v>
      </c>
    </row>
    <row r="121" spans="1:8" ht="14.25" x14ac:dyDescent="0.15">
      <c r="A121" s="25" t="s">
        <v>41</v>
      </c>
      <c r="B121" s="25">
        <v>113</v>
      </c>
      <c r="C121" s="25"/>
      <c r="D121" s="25"/>
      <c r="E121" s="25">
        <v>113</v>
      </c>
      <c r="F121" s="25">
        <v>999999</v>
      </c>
      <c r="H121" s="16" t="s">
        <v>172</v>
      </c>
    </row>
    <row r="122" spans="1:8" ht="14.25" x14ac:dyDescent="0.15">
      <c r="A122" s="30" t="s">
        <v>41</v>
      </c>
      <c r="B122" s="30">
        <v>114</v>
      </c>
      <c r="C122" s="30"/>
      <c r="D122" s="30"/>
      <c r="E122" s="30">
        <v>114</v>
      </c>
      <c r="F122" s="30">
        <v>999999</v>
      </c>
      <c r="H122" s="38" t="s">
        <v>173</v>
      </c>
    </row>
    <row r="123" spans="1:8" ht="14.25" x14ac:dyDescent="0.15">
      <c r="A123" s="25" t="s">
        <v>41</v>
      </c>
      <c r="B123" s="25">
        <v>115</v>
      </c>
      <c r="C123" s="25"/>
      <c r="D123" s="25"/>
      <c r="E123" s="25">
        <v>115</v>
      </c>
      <c r="F123" s="25">
        <v>999999</v>
      </c>
      <c r="H123" s="16" t="s">
        <v>174</v>
      </c>
    </row>
    <row r="124" spans="1:8" ht="14.25" x14ac:dyDescent="0.15">
      <c r="A124" s="30" t="s">
        <v>41</v>
      </c>
      <c r="B124" s="30">
        <v>116</v>
      </c>
      <c r="C124" s="30"/>
      <c r="D124" s="30"/>
      <c r="E124" s="30">
        <v>116</v>
      </c>
      <c r="F124" s="30">
        <v>999999</v>
      </c>
      <c r="H124" s="38" t="s">
        <v>175</v>
      </c>
    </row>
    <row r="125" spans="1:8" ht="14.25" x14ac:dyDescent="0.15">
      <c r="A125" s="25" t="s">
        <v>41</v>
      </c>
      <c r="B125" s="25">
        <v>117</v>
      </c>
      <c r="C125" s="25"/>
      <c r="D125" s="25"/>
      <c r="E125" s="25">
        <v>117</v>
      </c>
      <c r="F125" s="25">
        <v>999999</v>
      </c>
      <c r="H125" s="16" t="s">
        <v>176</v>
      </c>
    </row>
    <row r="126" spans="1:8" ht="14.25" x14ac:dyDescent="0.15">
      <c r="A126" s="30" t="s">
        <v>41</v>
      </c>
      <c r="B126" s="30">
        <v>118</v>
      </c>
      <c r="C126" s="30"/>
      <c r="D126" s="30"/>
      <c r="E126" s="30">
        <v>118</v>
      </c>
      <c r="F126" s="30">
        <v>999999</v>
      </c>
      <c r="H126" s="38" t="s">
        <v>177</v>
      </c>
    </row>
    <row r="127" spans="1:8" ht="14.25" x14ac:dyDescent="0.15">
      <c r="A127" s="25" t="s">
        <v>41</v>
      </c>
      <c r="B127" s="25">
        <v>119</v>
      </c>
      <c r="C127" s="25"/>
      <c r="D127" s="25"/>
      <c r="E127" s="25">
        <v>119</v>
      </c>
      <c r="F127" s="25">
        <v>999999</v>
      </c>
      <c r="H127" s="16" t="s">
        <v>178</v>
      </c>
    </row>
    <row r="128" spans="1:8" ht="14.25" x14ac:dyDescent="0.15">
      <c r="A128" s="30" t="s">
        <v>41</v>
      </c>
      <c r="B128" s="30">
        <v>120</v>
      </c>
      <c r="C128" s="30"/>
      <c r="D128" s="30"/>
      <c r="E128" s="30">
        <v>120</v>
      </c>
      <c r="F128" s="30">
        <v>999999</v>
      </c>
      <c r="H128" s="38" t="s">
        <v>179</v>
      </c>
    </row>
  </sheetData>
  <phoneticPr fontId="34" type="noConversion"/>
  <conditionalFormatting sqref="B11:B128">
    <cfRule type="duplicateValues" dxfId="27" priority="1"/>
  </conditionalFormatting>
  <conditionalFormatting sqref="B1:B10 B129:B1048576">
    <cfRule type="duplicateValues" dxfId="26" priority="2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728"/>
  <sheetViews>
    <sheetView workbookViewId="0">
      <pane ySplit="8" topLeftCell="A9" activePane="bottomLeft" state="frozen"/>
      <selection pane="bottomLeft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4" width="12.5" style="16" customWidth="1"/>
    <col min="5" max="5" width="9.5" style="16" customWidth="1"/>
    <col min="6" max="6" width="11.875" style="16" customWidth="1"/>
    <col min="7" max="16384" width="9" style="16"/>
  </cols>
  <sheetData>
    <row r="1" spans="1:6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  <c r="F1" s="5" t="s">
        <v>41</v>
      </c>
    </row>
    <row r="2" spans="1:6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</row>
    <row r="3" spans="1:6" s="6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43</v>
      </c>
      <c r="F3" s="6" t="s">
        <v>44</v>
      </c>
    </row>
    <row r="4" spans="1:6" s="6" customFormat="1" ht="14.25" x14ac:dyDescent="0.15">
      <c r="B4" s="6" t="s">
        <v>45</v>
      </c>
      <c r="C4" s="6" t="s">
        <v>180</v>
      </c>
      <c r="D4" s="6" t="s">
        <v>181</v>
      </c>
      <c r="E4" s="6" t="s">
        <v>182</v>
      </c>
      <c r="F4" s="6" t="s">
        <v>183</v>
      </c>
    </row>
    <row r="5" spans="1:6" s="6" customFormat="1" ht="14.25" x14ac:dyDescent="0.15">
      <c r="B5" s="6" t="str">
        <f t="shared" ref="B5:F5" si="0">IF(B3="","",IF(B3="INT","i",IF(B3="FLOAT","f",IF(B3="STRING","s"))))</f>
        <v>i</v>
      </c>
      <c r="C5" s="6" t="str">
        <f t="shared" ref="C5" si="1">IF(C3="","",IF(C3="INT","i",IF(C3="FLOAT","f",IF(C3="STRING","s"))))</f>
        <v>i</v>
      </c>
      <c r="D5" s="6" t="str">
        <f t="shared" si="0"/>
        <v>i</v>
      </c>
      <c r="E5" s="6" t="str">
        <f t="shared" si="0"/>
        <v>i</v>
      </c>
      <c r="F5" s="6" t="str">
        <f t="shared" si="0"/>
        <v>s</v>
      </c>
    </row>
    <row r="6" spans="1:6" s="6" customFormat="1" ht="14.25" x14ac:dyDescent="0.15">
      <c r="A6" s="6" t="s">
        <v>41</v>
      </c>
      <c r="B6" s="6" t="str">
        <f t="shared" ref="B6:F6" si="2">B5&amp;B4</f>
        <v>iID</v>
      </c>
      <c r="C6" s="6" t="str">
        <f t="shared" ref="C6" si="3">C5&amp;C4</f>
        <v>iSubID</v>
      </c>
      <c r="D6" s="6" t="str">
        <f t="shared" si="2"/>
        <v>iLvl</v>
      </c>
      <c r="E6" s="6" t="str">
        <f t="shared" si="2"/>
        <v>iCapacity</v>
      </c>
      <c r="F6" s="6" t="str">
        <f t="shared" si="2"/>
        <v>sCostItem</v>
      </c>
    </row>
    <row r="7" spans="1:6" s="6" customFormat="1" ht="43.15" customHeight="1" x14ac:dyDescent="0.15">
      <c r="B7" s="6" t="s">
        <v>52</v>
      </c>
      <c r="C7" s="6" t="s">
        <v>184</v>
      </c>
      <c r="D7" s="6" t="s">
        <v>185</v>
      </c>
      <c r="E7" s="6" t="s">
        <v>186</v>
      </c>
      <c r="F7" s="6" t="s">
        <v>187</v>
      </c>
    </row>
    <row r="8" spans="1:6" s="6" customFormat="1" ht="14.25" x14ac:dyDescent="0.15">
      <c r="A8" s="6" t="s">
        <v>59</v>
      </c>
      <c r="B8" s="6" t="e">
        <f>MODE(B9:B942)</f>
        <v>#N/A</v>
      </c>
      <c r="C8" s="6">
        <v>0</v>
      </c>
      <c r="D8" s="6">
        <v>0</v>
      </c>
      <c r="E8" s="6">
        <v>0</v>
      </c>
    </row>
    <row r="9" spans="1:6" ht="14.25" x14ac:dyDescent="0.15">
      <c r="A9" s="25" t="s">
        <v>41</v>
      </c>
      <c r="B9" s="25">
        <v>1</v>
      </c>
      <c r="C9" s="25">
        <v>1</v>
      </c>
      <c r="D9" s="25">
        <v>1</v>
      </c>
      <c r="E9" s="25">
        <v>120</v>
      </c>
      <c r="F9" s="25"/>
    </row>
    <row r="10" spans="1:6" s="38" customFormat="1" ht="14.25" x14ac:dyDescent="0.15">
      <c r="A10" s="30" t="s">
        <v>41</v>
      </c>
      <c r="B10" s="25">
        <v>2</v>
      </c>
      <c r="C10" s="25">
        <v>1</v>
      </c>
      <c r="D10" s="25">
        <v>2</v>
      </c>
      <c r="E10" s="25">
        <v>155</v>
      </c>
      <c r="F10" s="25" t="s">
        <v>60</v>
      </c>
    </row>
    <row r="11" spans="1:6" ht="14.25" x14ac:dyDescent="0.15">
      <c r="A11" s="25" t="s">
        <v>41</v>
      </c>
      <c r="B11" s="25">
        <v>3</v>
      </c>
      <c r="C11" s="25">
        <v>1</v>
      </c>
      <c r="D11" s="25">
        <v>3</v>
      </c>
      <c r="E11" s="25">
        <v>190</v>
      </c>
      <c r="F11" s="25" t="s">
        <v>62</v>
      </c>
    </row>
    <row r="12" spans="1:6" s="38" customFormat="1" ht="14.25" x14ac:dyDescent="0.15">
      <c r="A12" s="30" t="s">
        <v>41</v>
      </c>
      <c r="B12" s="25">
        <v>4</v>
      </c>
      <c r="C12" s="25">
        <v>1</v>
      </c>
      <c r="D12" s="25">
        <v>4</v>
      </c>
      <c r="E12" s="25">
        <v>225</v>
      </c>
      <c r="F12" s="25" t="s">
        <v>1082</v>
      </c>
    </row>
    <row r="13" spans="1:6" ht="14.25" x14ac:dyDescent="0.15">
      <c r="A13" s="25" t="s">
        <v>41</v>
      </c>
      <c r="B13" s="25">
        <v>5</v>
      </c>
      <c r="C13" s="25">
        <v>1</v>
      </c>
      <c r="D13" s="25">
        <v>5</v>
      </c>
      <c r="E13" s="25">
        <v>260</v>
      </c>
      <c r="F13" s="25" t="s">
        <v>1084</v>
      </c>
    </row>
    <row r="14" spans="1:6" s="38" customFormat="1" ht="14.25" x14ac:dyDescent="0.15">
      <c r="A14" s="30" t="s">
        <v>41</v>
      </c>
      <c r="B14" s="25">
        <v>6</v>
      </c>
      <c r="C14" s="25">
        <v>1</v>
      </c>
      <c r="D14" s="25">
        <v>6</v>
      </c>
      <c r="E14" s="25">
        <v>295</v>
      </c>
      <c r="F14" s="25" t="s">
        <v>1083</v>
      </c>
    </row>
    <row r="15" spans="1:6" ht="14.25" x14ac:dyDescent="0.15">
      <c r="A15" s="25" t="s">
        <v>41</v>
      </c>
      <c r="B15" s="25">
        <v>7</v>
      </c>
      <c r="C15" s="25">
        <v>1</v>
      </c>
      <c r="D15" s="25">
        <v>7</v>
      </c>
      <c r="E15" s="25">
        <v>330</v>
      </c>
      <c r="F15" s="25" t="s">
        <v>1085</v>
      </c>
    </row>
    <row r="16" spans="1:6" s="38" customFormat="1" ht="14.25" x14ac:dyDescent="0.15">
      <c r="A16" s="30" t="s">
        <v>41</v>
      </c>
      <c r="B16" s="25">
        <v>8</v>
      </c>
      <c r="C16" s="25">
        <v>1</v>
      </c>
      <c r="D16" s="25">
        <v>8</v>
      </c>
      <c r="E16" s="25">
        <v>365</v>
      </c>
      <c r="F16" s="25" t="s">
        <v>74</v>
      </c>
    </row>
    <row r="17" spans="1:6" ht="14.25" x14ac:dyDescent="0.15">
      <c r="A17" s="25" t="s">
        <v>41</v>
      </c>
      <c r="B17" s="25">
        <v>9</v>
      </c>
      <c r="C17" s="25">
        <v>1</v>
      </c>
      <c r="D17" s="25">
        <v>9</v>
      </c>
      <c r="E17" s="25">
        <v>400</v>
      </c>
      <c r="F17" s="25" t="s">
        <v>1086</v>
      </c>
    </row>
    <row r="18" spans="1:6" s="38" customFormat="1" ht="14.25" x14ac:dyDescent="0.15">
      <c r="A18" s="30" t="s">
        <v>41</v>
      </c>
      <c r="B18" s="25">
        <v>10</v>
      </c>
      <c r="C18" s="25">
        <v>1</v>
      </c>
      <c r="D18" s="25">
        <v>10</v>
      </c>
      <c r="E18" s="25">
        <v>435</v>
      </c>
      <c r="F18" s="25" t="s">
        <v>79</v>
      </c>
    </row>
    <row r="19" spans="1:6" ht="14.25" x14ac:dyDescent="0.15">
      <c r="A19" s="25" t="s">
        <v>41</v>
      </c>
      <c r="B19" s="25">
        <v>11</v>
      </c>
      <c r="C19" s="25">
        <v>1</v>
      </c>
      <c r="D19" s="25">
        <v>11</v>
      </c>
      <c r="E19" s="25">
        <v>470</v>
      </c>
      <c r="F19" s="25" t="s">
        <v>1087</v>
      </c>
    </row>
    <row r="20" spans="1:6" s="38" customFormat="1" ht="14.25" x14ac:dyDescent="0.15">
      <c r="A20" s="30" t="s">
        <v>41</v>
      </c>
      <c r="B20" s="25">
        <v>12</v>
      </c>
      <c r="C20" s="25">
        <v>1</v>
      </c>
      <c r="D20" s="25">
        <v>12</v>
      </c>
      <c r="E20" s="25">
        <v>505</v>
      </c>
      <c r="F20" s="25" t="s">
        <v>84</v>
      </c>
    </row>
    <row r="21" spans="1:6" ht="14.25" x14ac:dyDescent="0.15">
      <c r="A21" s="25" t="s">
        <v>41</v>
      </c>
      <c r="B21" s="25">
        <v>13</v>
      </c>
      <c r="C21" s="25">
        <v>1</v>
      </c>
      <c r="D21" s="25">
        <v>13</v>
      </c>
      <c r="E21" s="25">
        <v>540</v>
      </c>
      <c r="F21" s="25" t="s">
        <v>1088</v>
      </c>
    </row>
    <row r="22" spans="1:6" s="38" customFormat="1" ht="14.25" x14ac:dyDescent="0.15">
      <c r="A22" s="30" t="s">
        <v>41</v>
      </c>
      <c r="B22" s="25">
        <v>14</v>
      </c>
      <c r="C22" s="25">
        <v>1</v>
      </c>
      <c r="D22" s="25">
        <v>14</v>
      </c>
      <c r="E22" s="25">
        <v>575</v>
      </c>
      <c r="F22" s="25" t="s">
        <v>89</v>
      </c>
    </row>
    <row r="23" spans="1:6" ht="14.25" x14ac:dyDescent="0.15">
      <c r="A23" s="25" t="s">
        <v>41</v>
      </c>
      <c r="B23" s="25">
        <v>15</v>
      </c>
      <c r="C23" s="25">
        <v>1</v>
      </c>
      <c r="D23" s="25">
        <v>15</v>
      </c>
      <c r="E23" s="25">
        <v>610</v>
      </c>
      <c r="F23" s="25" t="s">
        <v>1089</v>
      </c>
    </row>
    <row r="24" spans="1:6" s="38" customFormat="1" ht="14.25" x14ac:dyDescent="0.15">
      <c r="A24" s="30" t="s">
        <v>41</v>
      </c>
      <c r="B24" s="25">
        <v>16</v>
      </c>
      <c r="C24" s="25">
        <v>1</v>
      </c>
      <c r="D24" s="25">
        <v>16</v>
      </c>
      <c r="E24" s="25">
        <v>645</v>
      </c>
      <c r="F24" s="25" t="s">
        <v>94</v>
      </c>
    </row>
    <row r="25" spans="1:6" ht="14.25" x14ac:dyDescent="0.15">
      <c r="A25" s="25" t="s">
        <v>41</v>
      </c>
      <c r="B25" s="25">
        <v>17</v>
      </c>
      <c r="C25" s="25">
        <v>1</v>
      </c>
      <c r="D25" s="25">
        <v>17</v>
      </c>
      <c r="E25" s="25">
        <v>680</v>
      </c>
      <c r="F25" s="25" t="s">
        <v>1090</v>
      </c>
    </row>
    <row r="26" spans="1:6" s="38" customFormat="1" ht="14.25" x14ac:dyDescent="0.15">
      <c r="A26" s="30" t="s">
        <v>41</v>
      </c>
      <c r="B26" s="25">
        <v>18</v>
      </c>
      <c r="C26" s="25">
        <v>1</v>
      </c>
      <c r="D26" s="25">
        <v>18</v>
      </c>
      <c r="E26" s="25">
        <v>715</v>
      </c>
      <c r="F26" s="25" t="s">
        <v>99</v>
      </c>
    </row>
    <row r="27" spans="1:6" ht="14.25" x14ac:dyDescent="0.15">
      <c r="A27" s="25" t="s">
        <v>41</v>
      </c>
      <c r="B27" s="25">
        <v>19</v>
      </c>
      <c r="C27" s="25">
        <v>1</v>
      </c>
      <c r="D27" s="25">
        <v>19</v>
      </c>
      <c r="E27" s="25">
        <v>750</v>
      </c>
      <c r="F27" s="25" t="s">
        <v>1091</v>
      </c>
    </row>
    <row r="28" spans="1:6" s="38" customFormat="1" ht="14.25" x14ac:dyDescent="0.15">
      <c r="A28" s="30" t="s">
        <v>41</v>
      </c>
      <c r="B28" s="25">
        <v>20</v>
      </c>
      <c r="C28" s="25">
        <v>1</v>
      </c>
      <c r="D28" s="25">
        <v>20</v>
      </c>
      <c r="E28" s="25">
        <v>785</v>
      </c>
      <c r="F28" s="25" t="s">
        <v>104</v>
      </c>
    </row>
    <row r="29" spans="1:6" ht="14.25" x14ac:dyDescent="0.15">
      <c r="A29" s="25" t="s">
        <v>41</v>
      </c>
      <c r="B29" s="25">
        <v>21</v>
      </c>
      <c r="C29" s="25">
        <v>1</v>
      </c>
      <c r="D29" s="25">
        <v>21</v>
      </c>
      <c r="E29" s="25">
        <v>820</v>
      </c>
      <c r="F29" s="25" t="s">
        <v>1092</v>
      </c>
    </row>
    <row r="30" spans="1:6" s="38" customFormat="1" ht="14.25" x14ac:dyDescent="0.15">
      <c r="A30" s="30" t="s">
        <v>41</v>
      </c>
      <c r="B30" s="25">
        <v>22</v>
      </c>
      <c r="C30" s="25">
        <v>1</v>
      </c>
      <c r="D30" s="25">
        <v>22</v>
      </c>
      <c r="E30" s="25">
        <v>855</v>
      </c>
      <c r="F30" s="25" t="s">
        <v>109</v>
      </c>
    </row>
    <row r="31" spans="1:6" ht="14.25" x14ac:dyDescent="0.15">
      <c r="A31" s="25" t="s">
        <v>41</v>
      </c>
      <c r="B31" s="25">
        <v>23</v>
      </c>
      <c r="C31" s="25">
        <v>1</v>
      </c>
      <c r="D31" s="25">
        <v>23</v>
      </c>
      <c r="E31" s="25">
        <v>890</v>
      </c>
      <c r="F31" s="25" t="s">
        <v>1093</v>
      </c>
    </row>
    <row r="32" spans="1:6" s="38" customFormat="1" ht="14.25" x14ac:dyDescent="0.15">
      <c r="A32" s="30" t="s">
        <v>41</v>
      </c>
      <c r="B32" s="25">
        <v>24</v>
      </c>
      <c r="C32" s="25">
        <v>1</v>
      </c>
      <c r="D32" s="25">
        <v>24</v>
      </c>
      <c r="E32" s="25">
        <v>925</v>
      </c>
      <c r="F32" s="25" t="s">
        <v>115</v>
      </c>
    </row>
    <row r="33" spans="1:6" ht="14.25" x14ac:dyDescent="0.15">
      <c r="A33" s="25" t="s">
        <v>41</v>
      </c>
      <c r="B33" s="25">
        <v>25</v>
      </c>
      <c r="C33" s="25">
        <v>1</v>
      </c>
      <c r="D33" s="25">
        <v>25</v>
      </c>
      <c r="E33" s="25">
        <v>960</v>
      </c>
      <c r="F33" s="25" t="s">
        <v>118</v>
      </c>
    </row>
    <row r="34" spans="1:6" s="38" customFormat="1" ht="14.25" x14ac:dyDescent="0.15">
      <c r="A34" s="30" t="s">
        <v>41</v>
      </c>
      <c r="B34" s="25">
        <v>26</v>
      </c>
      <c r="C34" s="25">
        <v>1</v>
      </c>
      <c r="D34" s="25">
        <v>26</v>
      </c>
      <c r="E34" s="25">
        <v>995</v>
      </c>
      <c r="F34" s="25" t="s">
        <v>121</v>
      </c>
    </row>
    <row r="35" spans="1:6" ht="14.25" x14ac:dyDescent="0.15">
      <c r="A35" s="25" t="s">
        <v>41</v>
      </c>
      <c r="B35" s="25">
        <v>27</v>
      </c>
      <c r="C35" s="25">
        <v>1</v>
      </c>
      <c r="D35" s="25">
        <v>27</v>
      </c>
      <c r="E35" s="25">
        <v>1030</v>
      </c>
      <c r="F35" s="25" t="s">
        <v>124</v>
      </c>
    </row>
    <row r="36" spans="1:6" s="38" customFormat="1" ht="14.25" x14ac:dyDescent="0.15">
      <c r="A36" s="30" t="s">
        <v>41</v>
      </c>
      <c r="B36" s="25">
        <v>28</v>
      </c>
      <c r="C36" s="25">
        <v>1</v>
      </c>
      <c r="D36" s="25">
        <v>28</v>
      </c>
      <c r="E36" s="25">
        <v>1065</v>
      </c>
      <c r="F36" s="25" t="s">
        <v>127</v>
      </c>
    </row>
    <row r="37" spans="1:6" ht="14.25" x14ac:dyDescent="0.15">
      <c r="A37" s="25" t="s">
        <v>41</v>
      </c>
      <c r="B37" s="25">
        <v>29</v>
      </c>
      <c r="C37" s="25">
        <v>1</v>
      </c>
      <c r="D37" s="25">
        <v>29</v>
      </c>
      <c r="E37" s="25">
        <v>1100</v>
      </c>
      <c r="F37" s="25" t="s">
        <v>130</v>
      </c>
    </row>
    <row r="38" spans="1:6" s="38" customFormat="1" ht="14.25" x14ac:dyDescent="0.15">
      <c r="A38" s="30" t="s">
        <v>41</v>
      </c>
      <c r="B38" s="25">
        <v>30</v>
      </c>
      <c r="C38" s="25">
        <v>1</v>
      </c>
      <c r="D38" s="25">
        <v>30</v>
      </c>
      <c r="E38" s="25">
        <v>1135</v>
      </c>
      <c r="F38" s="25" t="s">
        <v>133</v>
      </c>
    </row>
    <row r="39" spans="1:6" ht="14.25" x14ac:dyDescent="0.15">
      <c r="A39" s="25" t="s">
        <v>41</v>
      </c>
      <c r="B39" s="25">
        <v>31</v>
      </c>
      <c r="C39" s="25">
        <v>1</v>
      </c>
      <c r="D39" s="25">
        <v>31</v>
      </c>
      <c r="E39" s="25">
        <v>1170</v>
      </c>
      <c r="F39" s="25" t="s">
        <v>136</v>
      </c>
    </row>
    <row r="40" spans="1:6" s="38" customFormat="1" ht="14.25" x14ac:dyDescent="0.15">
      <c r="A40" s="30" t="s">
        <v>41</v>
      </c>
      <c r="B40" s="25">
        <v>32</v>
      </c>
      <c r="C40" s="25">
        <v>1</v>
      </c>
      <c r="D40" s="25">
        <v>32</v>
      </c>
      <c r="E40" s="25">
        <v>1205</v>
      </c>
      <c r="F40" s="25" t="s">
        <v>139</v>
      </c>
    </row>
    <row r="41" spans="1:6" ht="14.25" x14ac:dyDescent="0.15">
      <c r="A41" s="25" t="s">
        <v>41</v>
      </c>
      <c r="B41" s="25">
        <v>33</v>
      </c>
      <c r="C41" s="25">
        <v>1</v>
      </c>
      <c r="D41" s="25">
        <v>33</v>
      </c>
      <c r="E41" s="25">
        <v>1240</v>
      </c>
      <c r="F41" s="25" t="s">
        <v>1094</v>
      </c>
    </row>
    <row r="42" spans="1:6" s="38" customFormat="1" ht="14.25" x14ac:dyDescent="0.15">
      <c r="A42" s="30" t="s">
        <v>41</v>
      </c>
      <c r="B42" s="25">
        <v>34</v>
      </c>
      <c r="C42" s="25">
        <v>1</v>
      </c>
      <c r="D42" s="25">
        <v>34</v>
      </c>
      <c r="E42" s="25">
        <v>1275</v>
      </c>
      <c r="F42" s="25" t="s">
        <v>149</v>
      </c>
    </row>
    <row r="43" spans="1:6" ht="14.25" x14ac:dyDescent="0.15">
      <c r="A43" s="25" t="s">
        <v>41</v>
      </c>
      <c r="B43" s="25">
        <v>35</v>
      </c>
      <c r="C43" s="25">
        <v>1</v>
      </c>
      <c r="D43" s="25">
        <v>35</v>
      </c>
      <c r="E43" s="25">
        <v>1310</v>
      </c>
      <c r="F43" s="25" t="s">
        <v>154</v>
      </c>
    </row>
    <row r="44" spans="1:6" s="38" customFormat="1" ht="14.25" x14ac:dyDescent="0.15">
      <c r="A44" s="30" t="s">
        <v>41</v>
      </c>
      <c r="B44" s="25">
        <v>36</v>
      </c>
      <c r="C44" s="25">
        <v>1</v>
      </c>
      <c r="D44" s="25">
        <v>36</v>
      </c>
      <c r="E44" s="25">
        <v>1345</v>
      </c>
      <c r="F44" s="25" t="s">
        <v>159</v>
      </c>
    </row>
    <row r="45" spans="1:6" ht="14.25" x14ac:dyDescent="0.15">
      <c r="A45" s="25" t="s">
        <v>41</v>
      </c>
      <c r="B45" s="25">
        <v>37</v>
      </c>
      <c r="C45" s="25">
        <v>1</v>
      </c>
      <c r="D45" s="25">
        <v>37</v>
      </c>
      <c r="E45" s="25">
        <v>1380</v>
      </c>
      <c r="F45" s="25" t="s">
        <v>164</v>
      </c>
    </row>
    <row r="46" spans="1:6" s="38" customFormat="1" ht="14.25" x14ac:dyDescent="0.15">
      <c r="A46" s="30" t="s">
        <v>41</v>
      </c>
      <c r="B46" s="25">
        <v>38</v>
      </c>
      <c r="C46" s="25">
        <v>1</v>
      </c>
      <c r="D46" s="25">
        <v>38</v>
      </c>
      <c r="E46" s="25">
        <v>1415</v>
      </c>
      <c r="F46" s="25" t="s">
        <v>169</v>
      </c>
    </row>
    <row r="47" spans="1:6" ht="14.25" x14ac:dyDescent="0.15">
      <c r="A47" s="25" t="s">
        <v>41</v>
      </c>
      <c r="B47" s="25">
        <v>39</v>
      </c>
      <c r="C47" s="25">
        <v>1</v>
      </c>
      <c r="D47" s="25">
        <v>39</v>
      </c>
      <c r="E47" s="25">
        <v>1450</v>
      </c>
      <c r="F47" s="25" t="s">
        <v>174</v>
      </c>
    </row>
    <row r="48" spans="1:6" s="38" customFormat="1" ht="14.25" x14ac:dyDescent="0.15">
      <c r="A48" s="30" t="s">
        <v>41</v>
      </c>
      <c r="B48" s="25">
        <v>40</v>
      </c>
      <c r="C48" s="25">
        <v>1</v>
      </c>
      <c r="D48" s="25">
        <v>40</v>
      </c>
      <c r="E48" s="25">
        <v>1485</v>
      </c>
      <c r="F48" s="25" t="s">
        <v>179</v>
      </c>
    </row>
    <row r="49" spans="1:6" ht="14.25" x14ac:dyDescent="0.15">
      <c r="A49" s="25" t="s">
        <v>41</v>
      </c>
      <c r="B49" s="25">
        <v>41</v>
      </c>
      <c r="C49" s="25">
        <v>1</v>
      </c>
      <c r="D49" s="25">
        <v>41</v>
      </c>
      <c r="E49" s="25">
        <v>1520</v>
      </c>
      <c r="F49" s="25" t="s">
        <v>1095</v>
      </c>
    </row>
    <row r="50" spans="1:6" s="38" customFormat="1" ht="14.25" x14ac:dyDescent="0.15">
      <c r="A50" s="30" t="s">
        <v>41</v>
      </c>
      <c r="B50" s="25">
        <v>42</v>
      </c>
      <c r="C50" s="25">
        <v>1</v>
      </c>
      <c r="D50" s="25">
        <v>42</v>
      </c>
      <c r="E50" s="25">
        <v>1555</v>
      </c>
      <c r="F50" s="25" t="s">
        <v>1096</v>
      </c>
    </row>
    <row r="51" spans="1:6" ht="14.25" x14ac:dyDescent="0.15">
      <c r="A51" s="25" t="s">
        <v>41</v>
      </c>
      <c r="B51" s="25">
        <v>43</v>
      </c>
      <c r="C51" s="25">
        <v>1</v>
      </c>
      <c r="D51" s="25">
        <v>43</v>
      </c>
      <c r="E51" s="25">
        <v>1590</v>
      </c>
      <c r="F51" s="25" t="s">
        <v>1097</v>
      </c>
    </row>
    <row r="52" spans="1:6" s="38" customFormat="1" ht="14.25" x14ac:dyDescent="0.15">
      <c r="A52" s="30" t="s">
        <v>41</v>
      </c>
      <c r="B52" s="25">
        <v>44</v>
      </c>
      <c r="C52" s="25">
        <v>1</v>
      </c>
      <c r="D52" s="25">
        <v>44</v>
      </c>
      <c r="E52" s="25">
        <v>1625</v>
      </c>
      <c r="F52" s="25" t="s">
        <v>1098</v>
      </c>
    </row>
    <row r="53" spans="1:6" ht="14.25" x14ac:dyDescent="0.15">
      <c r="A53" s="25" t="s">
        <v>41</v>
      </c>
      <c r="B53" s="25">
        <v>45</v>
      </c>
      <c r="C53" s="25">
        <v>1</v>
      </c>
      <c r="D53" s="25">
        <v>45</v>
      </c>
      <c r="E53" s="25">
        <v>1660</v>
      </c>
      <c r="F53" s="25" t="s">
        <v>1099</v>
      </c>
    </row>
    <row r="54" spans="1:6" s="38" customFormat="1" ht="14.25" x14ac:dyDescent="0.15">
      <c r="A54" s="30" t="s">
        <v>41</v>
      </c>
      <c r="B54" s="25">
        <v>46</v>
      </c>
      <c r="C54" s="25">
        <v>1</v>
      </c>
      <c r="D54" s="25">
        <v>46</v>
      </c>
      <c r="E54" s="25">
        <v>1695</v>
      </c>
      <c r="F54" s="25" t="s">
        <v>1100</v>
      </c>
    </row>
    <row r="55" spans="1:6" ht="14.25" x14ac:dyDescent="0.15">
      <c r="A55" s="25" t="s">
        <v>41</v>
      </c>
      <c r="B55" s="25">
        <v>47</v>
      </c>
      <c r="C55" s="25">
        <v>1</v>
      </c>
      <c r="D55" s="25">
        <v>47</v>
      </c>
      <c r="E55" s="25">
        <v>1730</v>
      </c>
      <c r="F55" s="25" t="s">
        <v>1101</v>
      </c>
    </row>
    <row r="56" spans="1:6" s="38" customFormat="1" ht="14.25" x14ac:dyDescent="0.15">
      <c r="A56" s="30" t="s">
        <v>41</v>
      </c>
      <c r="B56" s="25">
        <v>48</v>
      </c>
      <c r="C56" s="25">
        <v>1</v>
      </c>
      <c r="D56" s="25">
        <v>48</v>
      </c>
      <c r="E56" s="25">
        <v>1765</v>
      </c>
      <c r="F56" s="25" t="s">
        <v>1102</v>
      </c>
    </row>
    <row r="57" spans="1:6" ht="14.25" x14ac:dyDescent="0.15">
      <c r="A57" s="25" t="s">
        <v>41</v>
      </c>
      <c r="B57" s="25">
        <v>49</v>
      </c>
      <c r="C57" s="25">
        <v>1</v>
      </c>
      <c r="D57" s="25">
        <v>49</v>
      </c>
      <c r="E57" s="25">
        <v>1800</v>
      </c>
      <c r="F57" s="25" t="s">
        <v>1103</v>
      </c>
    </row>
    <row r="58" spans="1:6" s="38" customFormat="1" ht="14.25" x14ac:dyDescent="0.15">
      <c r="A58" s="30" t="s">
        <v>41</v>
      </c>
      <c r="B58" s="25">
        <v>50</v>
      </c>
      <c r="C58" s="25">
        <v>1</v>
      </c>
      <c r="D58" s="25">
        <v>50</v>
      </c>
      <c r="E58" s="25">
        <v>1835</v>
      </c>
      <c r="F58" s="25" t="s">
        <v>630</v>
      </c>
    </row>
    <row r="59" spans="1:6" ht="14.25" x14ac:dyDescent="0.15">
      <c r="A59" s="25" t="s">
        <v>41</v>
      </c>
      <c r="B59" s="25">
        <v>51</v>
      </c>
      <c r="C59" s="25">
        <v>1</v>
      </c>
      <c r="D59" s="25">
        <v>51</v>
      </c>
      <c r="E59" s="25">
        <v>1870</v>
      </c>
      <c r="F59" s="25" t="s">
        <v>1104</v>
      </c>
    </row>
    <row r="60" spans="1:6" s="38" customFormat="1" ht="14.25" x14ac:dyDescent="0.15">
      <c r="A60" s="30" t="s">
        <v>41</v>
      </c>
      <c r="B60" s="25">
        <v>52</v>
      </c>
      <c r="C60" s="25">
        <v>1</v>
      </c>
      <c r="D60" s="25">
        <v>52</v>
      </c>
      <c r="E60" s="25">
        <v>1905</v>
      </c>
      <c r="F60" s="25" t="s">
        <v>1105</v>
      </c>
    </row>
    <row r="61" spans="1:6" ht="14.25" x14ac:dyDescent="0.15">
      <c r="A61" s="25" t="s">
        <v>41</v>
      </c>
      <c r="B61" s="25">
        <v>53</v>
      </c>
      <c r="C61" s="25">
        <v>1</v>
      </c>
      <c r="D61" s="25">
        <v>53</v>
      </c>
      <c r="E61" s="25">
        <v>1940</v>
      </c>
      <c r="F61" s="25" t="s">
        <v>1106</v>
      </c>
    </row>
    <row r="62" spans="1:6" s="38" customFormat="1" ht="14.25" x14ac:dyDescent="0.15">
      <c r="A62" s="30" t="s">
        <v>41</v>
      </c>
      <c r="B62" s="25">
        <v>54</v>
      </c>
      <c r="C62" s="25">
        <v>1</v>
      </c>
      <c r="D62" s="25">
        <v>54</v>
      </c>
      <c r="E62" s="25">
        <v>1975</v>
      </c>
      <c r="F62" s="25" t="s">
        <v>1107</v>
      </c>
    </row>
    <row r="63" spans="1:6" ht="14.25" x14ac:dyDescent="0.15">
      <c r="A63" s="25" t="s">
        <v>41</v>
      </c>
      <c r="B63" s="25">
        <v>55</v>
      </c>
      <c r="C63" s="25">
        <v>1</v>
      </c>
      <c r="D63" s="25">
        <v>55</v>
      </c>
      <c r="E63" s="25">
        <v>2010</v>
      </c>
      <c r="F63" s="25" t="s">
        <v>1108</v>
      </c>
    </row>
    <row r="64" spans="1:6" s="38" customFormat="1" ht="14.25" x14ac:dyDescent="0.15">
      <c r="A64" s="30" t="s">
        <v>41</v>
      </c>
      <c r="B64" s="25">
        <v>56</v>
      </c>
      <c r="C64" s="25">
        <v>1</v>
      </c>
      <c r="D64" s="25">
        <v>56</v>
      </c>
      <c r="E64" s="25">
        <v>2045</v>
      </c>
      <c r="F64" s="25" t="s">
        <v>1109</v>
      </c>
    </row>
    <row r="65" spans="1:6" ht="14.25" x14ac:dyDescent="0.15">
      <c r="A65" s="25" t="s">
        <v>41</v>
      </c>
      <c r="B65" s="25">
        <v>57</v>
      </c>
      <c r="C65" s="25">
        <v>1</v>
      </c>
      <c r="D65" s="25">
        <v>57</v>
      </c>
      <c r="E65" s="25">
        <v>2080</v>
      </c>
      <c r="F65" s="25" t="s">
        <v>1110</v>
      </c>
    </row>
    <row r="66" spans="1:6" s="38" customFormat="1" ht="14.25" x14ac:dyDescent="0.15">
      <c r="A66" s="30" t="s">
        <v>41</v>
      </c>
      <c r="B66" s="25">
        <v>58</v>
      </c>
      <c r="C66" s="25">
        <v>1</v>
      </c>
      <c r="D66" s="25">
        <v>58</v>
      </c>
      <c r="E66" s="25">
        <v>2115</v>
      </c>
      <c r="F66" s="25" t="s">
        <v>1111</v>
      </c>
    </row>
    <row r="67" spans="1:6" ht="14.25" x14ac:dyDescent="0.15">
      <c r="A67" s="25" t="s">
        <v>41</v>
      </c>
      <c r="B67" s="25">
        <v>59</v>
      </c>
      <c r="C67" s="25">
        <v>1</v>
      </c>
      <c r="D67" s="25">
        <v>59</v>
      </c>
      <c r="E67" s="25">
        <v>2150</v>
      </c>
      <c r="F67" s="25" t="s">
        <v>1112</v>
      </c>
    </row>
    <row r="68" spans="1:6" s="38" customFormat="1" ht="14.25" x14ac:dyDescent="0.15">
      <c r="A68" s="30" t="s">
        <v>41</v>
      </c>
      <c r="B68" s="25">
        <v>60</v>
      </c>
      <c r="C68" s="25">
        <v>1</v>
      </c>
      <c r="D68" s="25">
        <v>60</v>
      </c>
      <c r="E68" s="25">
        <v>2185</v>
      </c>
      <c r="F68" s="25" t="s">
        <v>631</v>
      </c>
    </row>
    <row r="69" spans="1:6" ht="14.25" x14ac:dyDescent="0.15">
      <c r="A69" s="25" t="s">
        <v>41</v>
      </c>
      <c r="B69" s="25">
        <v>61</v>
      </c>
      <c r="C69" s="25">
        <v>1</v>
      </c>
      <c r="D69" s="25">
        <v>61</v>
      </c>
      <c r="E69" s="25">
        <v>2220</v>
      </c>
      <c r="F69" s="25" t="s">
        <v>1113</v>
      </c>
    </row>
    <row r="70" spans="1:6" s="38" customFormat="1" ht="14.25" x14ac:dyDescent="0.15">
      <c r="A70" s="30" t="s">
        <v>41</v>
      </c>
      <c r="B70" s="25">
        <v>62</v>
      </c>
      <c r="C70" s="25">
        <v>1</v>
      </c>
      <c r="D70" s="25">
        <v>62</v>
      </c>
      <c r="E70" s="25">
        <v>2255</v>
      </c>
      <c r="F70" s="25" t="s">
        <v>1114</v>
      </c>
    </row>
    <row r="71" spans="1:6" ht="14.25" x14ac:dyDescent="0.15">
      <c r="A71" s="25" t="s">
        <v>41</v>
      </c>
      <c r="B71" s="25">
        <v>63</v>
      </c>
      <c r="C71" s="25">
        <v>1</v>
      </c>
      <c r="D71" s="25">
        <v>63</v>
      </c>
      <c r="E71" s="25">
        <v>2290</v>
      </c>
      <c r="F71" s="25" t="s">
        <v>1115</v>
      </c>
    </row>
    <row r="72" spans="1:6" s="38" customFormat="1" ht="14.25" x14ac:dyDescent="0.15">
      <c r="A72" s="30" t="s">
        <v>41</v>
      </c>
      <c r="B72" s="25">
        <v>64</v>
      </c>
      <c r="C72" s="25">
        <v>1</v>
      </c>
      <c r="D72" s="25">
        <v>64</v>
      </c>
      <c r="E72" s="25">
        <v>2325</v>
      </c>
      <c r="F72" s="25" t="s">
        <v>1116</v>
      </c>
    </row>
    <row r="73" spans="1:6" ht="14.25" x14ac:dyDescent="0.15">
      <c r="A73" s="25" t="s">
        <v>41</v>
      </c>
      <c r="B73" s="25">
        <v>65</v>
      </c>
      <c r="C73" s="25">
        <v>1</v>
      </c>
      <c r="D73" s="25">
        <v>65</v>
      </c>
      <c r="E73" s="25">
        <v>2360</v>
      </c>
      <c r="F73" s="25" t="s">
        <v>1117</v>
      </c>
    </row>
    <row r="74" spans="1:6" s="38" customFormat="1" ht="14.25" x14ac:dyDescent="0.15">
      <c r="A74" s="30" t="s">
        <v>41</v>
      </c>
      <c r="B74" s="25">
        <v>66</v>
      </c>
      <c r="C74" s="25">
        <v>1</v>
      </c>
      <c r="D74" s="25">
        <v>66</v>
      </c>
      <c r="E74" s="25">
        <v>2395</v>
      </c>
      <c r="F74" s="25" t="s">
        <v>1118</v>
      </c>
    </row>
    <row r="75" spans="1:6" ht="14.25" x14ac:dyDescent="0.15">
      <c r="A75" s="25" t="s">
        <v>41</v>
      </c>
      <c r="B75" s="25">
        <v>67</v>
      </c>
      <c r="C75" s="25">
        <v>1</v>
      </c>
      <c r="D75" s="25">
        <v>67</v>
      </c>
      <c r="E75" s="25">
        <v>2430</v>
      </c>
      <c r="F75" s="25" t="s">
        <v>1119</v>
      </c>
    </row>
    <row r="76" spans="1:6" s="38" customFormat="1" ht="14.25" x14ac:dyDescent="0.15">
      <c r="A76" s="30" t="s">
        <v>41</v>
      </c>
      <c r="B76" s="25">
        <v>68</v>
      </c>
      <c r="C76" s="25">
        <v>1</v>
      </c>
      <c r="D76" s="25">
        <v>68</v>
      </c>
      <c r="E76" s="25">
        <v>2465</v>
      </c>
      <c r="F76" s="25" t="s">
        <v>1120</v>
      </c>
    </row>
    <row r="77" spans="1:6" ht="14.25" x14ac:dyDescent="0.15">
      <c r="A77" s="25" t="s">
        <v>41</v>
      </c>
      <c r="B77" s="25">
        <v>69</v>
      </c>
      <c r="C77" s="25">
        <v>1</v>
      </c>
      <c r="D77" s="25">
        <v>69</v>
      </c>
      <c r="E77" s="25">
        <v>2500</v>
      </c>
      <c r="F77" s="25" t="s">
        <v>1121</v>
      </c>
    </row>
    <row r="78" spans="1:6" s="38" customFormat="1" ht="14.25" x14ac:dyDescent="0.15">
      <c r="A78" s="30" t="s">
        <v>41</v>
      </c>
      <c r="B78" s="25">
        <v>70</v>
      </c>
      <c r="C78" s="25">
        <v>1</v>
      </c>
      <c r="D78" s="25">
        <v>70</v>
      </c>
      <c r="E78" s="25">
        <v>2535</v>
      </c>
      <c r="F78" s="25" t="s">
        <v>1122</v>
      </c>
    </row>
    <row r="79" spans="1:6" ht="14.25" x14ac:dyDescent="0.15">
      <c r="A79" s="25" t="s">
        <v>41</v>
      </c>
      <c r="B79" s="25">
        <v>71</v>
      </c>
      <c r="C79" s="25">
        <v>1</v>
      </c>
      <c r="D79" s="25">
        <v>71</v>
      </c>
      <c r="E79" s="25">
        <v>2570</v>
      </c>
      <c r="F79" s="25" t="s">
        <v>1123</v>
      </c>
    </row>
    <row r="80" spans="1:6" s="38" customFormat="1" ht="14.25" x14ac:dyDescent="0.15">
      <c r="A80" s="30" t="s">
        <v>41</v>
      </c>
      <c r="B80" s="25">
        <v>72</v>
      </c>
      <c r="C80" s="25">
        <v>1</v>
      </c>
      <c r="D80" s="25">
        <v>72</v>
      </c>
      <c r="E80" s="25">
        <v>2605</v>
      </c>
      <c r="F80" s="25" t="s">
        <v>1124</v>
      </c>
    </row>
    <row r="81" spans="1:6" ht="14.25" x14ac:dyDescent="0.15">
      <c r="A81" s="25" t="s">
        <v>41</v>
      </c>
      <c r="B81" s="25">
        <v>73</v>
      </c>
      <c r="C81" s="25">
        <v>1</v>
      </c>
      <c r="D81" s="25">
        <v>73</v>
      </c>
      <c r="E81" s="25">
        <v>2640</v>
      </c>
      <c r="F81" s="25" t="s">
        <v>1125</v>
      </c>
    </row>
    <row r="82" spans="1:6" s="38" customFormat="1" ht="14.25" x14ac:dyDescent="0.15">
      <c r="A82" s="30" t="s">
        <v>41</v>
      </c>
      <c r="B82" s="25">
        <v>74</v>
      </c>
      <c r="C82" s="25">
        <v>1</v>
      </c>
      <c r="D82" s="25">
        <v>74</v>
      </c>
      <c r="E82" s="25">
        <v>2675</v>
      </c>
      <c r="F82" s="25" t="s">
        <v>1126</v>
      </c>
    </row>
    <row r="83" spans="1:6" ht="14.25" x14ac:dyDescent="0.15">
      <c r="A83" s="25" t="s">
        <v>41</v>
      </c>
      <c r="B83" s="25">
        <v>75</v>
      </c>
      <c r="C83" s="25">
        <v>1</v>
      </c>
      <c r="D83" s="25">
        <v>75</v>
      </c>
      <c r="E83" s="25">
        <v>2710</v>
      </c>
      <c r="F83" s="25" t="s">
        <v>1127</v>
      </c>
    </row>
    <row r="84" spans="1:6" s="38" customFormat="1" ht="14.25" x14ac:dyDescent="0.15">
      <c r="A84" s="30" t="s">
        <v>41</v>
      </c>
      <c r="B84" s="25">
        <v>76</v>
      </c>
      <c r="C84" s="25">
        <v>1</v>
      </c>
      <c r="D84" s="25">
        <v>76</v>
      </c>
      <c r="E84" s="25">
        <v>2745</v>
      </c>
      <c r="F84" s="25" t="s">
        <v>1128</v>
      </c>
    </row>
    <row r="85" spans="1:6" ht="14.25" x14ac:dyDescent="0.15">
      <c r="A85" s="25" t="s">
        <v>41</v>
      </c>
      <c r="B85" s="25">
        <v>77</v>
      </c>
      <c r="C85" s="25">
        <v>1</v>
      </c>
      <c r="D85" s="25">
        <v>77</v>
      </c>
      <c r="E85" s="25">
        <v>2780</v>
      </c>
      <c r="F85" s="25" t="s">
        <v>1129</v>
      </c>
    </row>
    <row r="86" spans="1:6" s="38" customFormat="1" ht="14.25" x14ac:dyDescent="0.15">
      <c r="A86" s="30" t="s">
        <v>41</v>
      </c>
      <c r="B86" s="25">
        <v>78</v>
      </c>
      <c r="C86" s="25">
        <v>1</v>
      </c>
      <c r="D86" s="25">
        <v>78</v>
      </c>
      <c r="E86" s="25">
        <v>2815</v>
      </c>
      <c r="F86" s="25" t="s">
        <v>1130</v>
      </c>
    </row>
    <row r="87" spans="1:6" ht="14.25" x14ac:dyDescent="0.15">
      <c r="A87" s="25" t="s">
        <v>41</v>
      </c>
      <c r="B87" s="25">
        <v>79</v>
      </c>
      <c r="C87" s="25">
        <v>1</v>
      </c>
      <c r="D87" s="25">
        <v>79</v>
      </c>
      <c r="E87" s="25">
        <v>2850</v>
      </c>
      <c r="F87" s="25" t="s">
        <v>1131</v>
      </c>
    </row>
    <row r="88" spans="1:6" s="38" customFormat="1" ht="14.25" x14ac:dyDescent="0.15">
      <c r="A88" s="30" t="s">
        <v>41</v>
      </c>
      <c r="B88" s="25">
        <v>80</v>
      </c>
      <c r="C88" s="25">
        <v>1</v>
      </c>
      <c r="D88" s="25">
        <v>80</v>
      </c>
      <c r="E88" s="25">
        <v>2885</v>
      </c>
      <c r="F88" s="25" t="s">
        <v>1132</v>
      </c>
    </row>
    <row r="89" spans="1:6" ht="14.25" x14ac:dyDescent="0.15">
      <c r="A89" s="25" t="s">
        <v>41</v>
      </c>
      <c r="B89" s="25">
        <v>81</v>
      </c>
      <c r="C89" s="25">
        <v>1</v>
      </c>
      <c r="D89" s="25">
        <v>81</v>
      </c>
      <c r="E89" s="25">
        <v>2920</v>
      </c>
      <c r="F89" s="25" t="s">
        <v>1133</v>
      </c>
    </row>
    <row r="90" spans="1:6" s="38" customFormat="1" ht="14.25" x14ac:dyDescent="0.15">
      <c r="A90" s="30" t="s">
        <v>41</v>
      </c>
      <c r="B90" s="25">
        <v>82</v>
      </c>
      <c r="C90" s="25">
        <v>1</v>
      </c>
      <c r="D90" s="25">
        <v>82</v>
      </c>
      <c r="E90" s="25">
        <v>2955</v>
      </c>
      <c r="F90" s="25" t="s">
        <v>1134</v>
      </c>
    </row>
    <row r="91" spans="1:6" ht="14.25" x14ac:dyDescent="0.15">
      <c r="A91" s="25" t="s">
        <v>41</v>
      </c>
      <c r="B91" s="25">
        <v>83</v>
      </c>
      <c r="C91" s="25">
        <v>1</v>
      </c>
      <c r="D91" s="25">
        <v>83</v>
      </c>
      <c r="E91" s="25">
        <v>2990</v>
      </c>
      <c r="F91" s="25" t="s">
        <v>1135</v>
      </c>
    </row>
    <row r="92" spans="1:6" s="38" customFormat="1" ht="14.25" x14ac:dyDescent="0.15">
      <c r="A92" s="30" t="s">
        <v>41</v>
      </c>
      <c r="B92" s="25">
        <v>84</v>
      </c>
      <c r="C92" s="25">
        <v>1</v>
      </c>
      <c r="D92" s="25">
        <v>84</v>
      </c>
      <c r="E92" s="25">
        <v>3025</v>
      </c>
      <c r="F92" s="25" t="s">
        <v>1136</v>
      </c>
    </row>
    <row r="93" spans="1:6" ht="14.25" x14ac:dyDescent="0.15">
      <c r="A93" s="25" t="s">
        <v>41</v>
      </c>
      <c r="B93" s="25">
        <v>85</v>
      </c>
      <c r="C93" s="25">
        <v>1</v>
      </c>
      <c r="D93" s="25">
        <v>85</v>
      </c>
      <c r="E93" s="25">
        <v>3060</v>
      </c>
      <c r="F93" s="25" t="s">
        <v>1137</v>
      </c>
    </row>
    <row r="94" spans="1:6" s="38" customFormat="1" ht="14.25" x14ac:dyDescent="0.15">
      <c r="A94" s="30" t="s">
        <v>41</v>
      </c>
      <c r="B94" s="25">
        <v>86</v>
      </c>
      <c r="C94" s="25">
        <v>1</v>
      </c>
      <c r="D94" s="25">
        <v>86</v>
      </c>
      <c r="E94" s="25">
        <v>3095</v>
      </c>
      <c r="F94" s="25" t="s">
        <v>322</v>
      </c>
    </row>
    <row r="95" spans="1:6" ht="14.25" x14ac:dyDescent="0.15">
      <c r="A95" s="25" t="s">
        <v>41</v>
      </c>
      <c r="B95" s="25">
        <v>87</v>
      </c>
      <c r="C95" s="25">
        <v>1</v>
      </c>
      <c r="D95" s="25">
        <v>87</v>
      </c>
      <c r="E95" s="25">
        <v>3130</v>
      </c>
      <c r="F95" s="25" t="s">
        <v>1138</v>
      </c>
    </row>
    <row r="96" spans="1:6" s="38" customFormat="1" ht="14.25" x14ac:dyDescent="0.15">
      <c r="A96" s="30" t="s">
        <v>41</v>
      </c>
      <c r="B96" s="25">
        <v>88</v>
      </c>
      <c r="C96" s="25">
        <v>1</v>
      </c>
      <c r="D96" s="25">
        <v>88</v>
      </c>
      <c r="E96" s="25">
        <v>3165</v>
      </c>
      <c r="F96" s="25" t="s">
        <v>1139</v>
      </c>
    </row>
    <row r="97" spans="1:6" ht="14.25" x14ac:dyDescent="0.15">
      <c r="A97" s="25" t="s">
        <v>41</v>
      </c>
      <c r="B97" s="25">
        <v>89</v>
      </c>
      <c r="C97" s="25">
        <v>1</v>
      </c>
      <c r="D97" s="25">
        <v>89</v>
      </c>
      <c r="E97" s="25">
        <v>3200</v>
      </c>
      <c r="F97" s="25" t="s">
        <v>1140</v>
      </c>
    </row>
    <row r="98" spans="1:6" ht="14.25" x14ac:dyDescent="0.15">
      <c r="A98" s="30" t="s">
        <v>41</v>
      </c>
      <c r="B98" s="25">
        <v>90</v>
      </c>
      <c r="C98" s="25">
        <v>1</v>
      </c>
      <c r="D98" s="25">
        <v>90</v>
      </c>
      <c r="E98" s="25">
        <v>3235</v>
      </c>
      <c r="F98" s="25" t="s">
        <v>1141</v>
      </c>
    </row>
    <row r="99" spans="1:6" ht="14.25" x14ac:dyDescent="0.15">
      <c r="A99" s="25" t="s">
        <v>41</v>
      </c>
      <c r="B99" s="25">
        <v>91</v>
      </c>
      <c r="C99" s="25">
        <v>1</v>
      </c>
      <c r="D99" s="25">
        <v>91</v>
      </c>
      <c r="E99" s="25">
        <v>3270</v>
      </c>
      <c r="F99" s="25" t="s">
        <v>1142</v>
      </c>
    </row>
    <row r="100" spans="1:6" ht="14.25" x14ac:dyDescent="0.15">
      <c r="A100" s="30" t="s">
        <v>41</v>
      </c>
      <c r="B100" s="25">
        <v>92</v>
      </c>
      <c r="C100" s="25">
        <v>1</v>
      </c>
      <c r="D100" s="25">
        <v>92</v>
      </c>
      <c r="E100" s="25">
        <v>3305</v>
      </c>
      <c r="F100" s="25" t="s">
        <v>1143</v>
      </c>
    </row>
    <row r="101" spans="1:6" ht="14.25" x14ac:dyDescent="0.15">
      <c r="A101" s="25" t="s">
        <v>41</v>
      </c>
      <c r="B101" s="25">
        <v>93</v>
      </c>
      <c r="C101" s="25">
        <v>1</v>
      </c>
      <c r="D101" s="25">
        <v>93</v>
      </c>
      <c r="E101" s="25">
        <v>3340</v>
      </c>
      <c r="F101" s="25" t="s">
        <v>1144</v>
      </c>
    </row>
    <row r="102" spans="1:6" ht="14.25" x14ac:dyDescent="0.15">
      <c r="A102" s="30" t="s">
        <v>41</v>
      </c>
      <c r="B102" s="25">
        <v>94</v>
      </c>
      <c r="C102" s="25">
        <v>1</v>
      </c>
      <c r="D102" s="25">
        <v>94</v>
      </c>
      <c r="E102" s="25">
        <v>3375</v>
      </c>
      <c r="F102" s="25" t="s">
        <v>1145</v>
      </c>
    </row>
    <row r="103" spans="1:6" ht="14.25" x14ac:dyDescent="0.15">
      <c r="A103" s="25" t="s">
        <v>41</v>
      </c>
      <c r="B103" s="25">
        <v>95</v>
      </c>
      <c r="C103" s="25">
        <v>1</v>
      </c>
      <c r="D103" s="25">
        <v>95</v>
      </c>
      <c r="E103" s="25">
        <v>3410</v>
      </c>
      <c r="F103" s="25" t="s">
        <v>1146</v>
      </c>
    </row>
    <row r="104" spans="1:6" ht="14.25" x14ac:dyDescent="0.15">
      <c r="A104" s="30" t="s">
        <v>41</v>
      </c>
      <c r="B104" s="25">
        <v>96</v>
      </c>
      <c r="C104" s="25">
        <v>1</v>
      </c>
      <c r="D104" s="25">
        <v>96</v>
      </c>
      <c r="E104" s="25">
        <v>3445</v>
      </c>
      <c r="F104" s="25" t="s">
        <v>1147</v>
      </c>
    </row>
    <row r="105" spans="1:6" ht="14.25" x14ac:dyDescent="0.15">
      <c r="A105" s="25" t="s">
        <v>41</v>
      </c>
      <c r="B105" s="25">
        <v>97</v>
      </c>
      <c r="C105" s="25">
        <v>1</v>
      </c>
      <c r="D105" s="25">
        <v>97</v>
      </c>
      <c r="E105" s="25">
        <v>3480</v>
      </c>
      <c r="F105" s="25" t="s">
        <v>1148</v>
      </c>
    </row>
    <row r="106" spans="1:6" ht="14.25" x14ac:dyDescent="0.15">
      <c r="A106" s="30" t="s">
        <v>41</v>
      </c>
      <c r="B106" s="25">
        <v>98</v>
      </c>
      <c r="C106" s="25">
        <v>1</v>
      </c>
      <c r="D106" s="25">
        <v>98</v>
      </c>
      <c r="E106" s="25">
        <v>3515</v>
      </c>
      <c r="F106" s="25" t="s">
        <v>1149</v>
      </c>
    </row>
    <row r="107" spans="1:6" ht="14.25" x14ac:dyDescent="0.15">
      <c r="A107" s="25" t="s">
        <v>41</v>
      </c>
      <c r="B107" s="25">
        <v>99</v>
      </c>
      <c r="C107" s="25">
        <v>1</v>
      </c>
      <c r="D107" s="25">
        <v>99</v>
      </c>
      <c r="E107" s="25">
        <v>3550</v>
      </c>
      <c r="F107" s="25" t="s">
        <v>1150</v>
      </c>
    </row>
    <row r="108" spans="1:6" ht="14.25" x14ac:dyDescent="0.15">
      <c r="A108" s="30" t="s">
        <v>41</v>
      </c>
      <c r="B108" s="25">
        <v>100</v>
      </c>
      <c r="C108" s="25">
        <v>1</v>
      </c>
      <c r="D108" s="25">
        <v>100</v>
      </c>
      <c r="E108" s="25">
        <v>3585</v>
      </c>
      <c r="F108" s="25" t="s">
        <v>1151</v>
      </c>
    </row>
    <row r="109" spans="1:6" ht="14.25" x14ac:dyDescent="0.15">
      <c r="A109" s="25" t="s">
        <v>41</v>
      </c>
      <c r="B109" s="25">
        <v>101</v>
      </c>
      <c r="C109" s="25">
        <v>1</v>
      </c>
      <c r="D109" s="25">
        <v>101</v>
      </c>
      <c r="E109" s="25">
        <v>3620</v>
      </c>
      <c r="F109" s="25" t="s">
        <v>1152</v>
      </c>
    </row>
    <row r="110" spans="1:6" ht="14.25" x14ac:dyDescent="0.15">
      <c r="A110" s="30" t="s">
        <v>41</v>
      </c>
      <c r="B110" s="25">
        <v>102</v>
      </c>
      <c r="C110" s="25">
        <v>1</v>
      </c>
      <c r="D110" s="25">
        <v>102</v>
      </c>
      <c r="E110" s="25">
        <v>3655</v>
      </c>
      <c r="F110" s="25" t="s">
        <v>1153</v>
      </c>
    </row>
    <row r="111" spans="1:6" ht="14.25" x14ac:dyDescent="0.15">
      <c r="A111" s="25" t="s">
        <v>41</v>
      </c>
      <c r="B111" s="25">
        <v>103</v>
      </c>
      <c r="C111" s="25">
        <v>1</v>
      </c>
      <c r="D111" s="25">
        <v>103</v>
      </c>
      <c r="E111" s="25">
        <v>3690</v>
      </c>
      <c r="F111" s="25" t="s">
        <v>1154</v>
      </c>
    </row>
    <row r="112" spans="1:6" ht="14.25" x14ac:dyDescent="0.15">
      <c r="A112" s="30" t="s">
        <v>41</v>
      </c>
      <c r="B112" s="25">
        <v>104</v>
      </c>
      <c r="C112" s="25">
        <v>1</v>
      </c>
      <c r="D112" s="25">
        <v>104</v>
      </c>
      <c r="E112" s="25">
        <v>3725</v>
      </c>
      <c r="F112" s="25" t="s">
        <v>1155</v>
      </c>
    </row>
    <row r="113" spans="1:6" ht="14.25" x14ac:dyDescent="0.15">
      <c r="A113" s="25" t="s">
        <v>41</v>
      </c>
      <c r="B113" s="25">
        <v>105</v>
      </c>
      <c r="C113" s="25">
        <v>1</v>
      </c>
      <c r="D113" s="25">
        <v>105</v>
      </c>
      <c r="E113" s="25">
        <v>3760</v>
      </c>
      <c r="F113" s="25" t="s">
        <v>1156</v>
      </c>
    </row>
    <row r="114" spans="1:6" ht="14.25" x14ac:dyDescent="0.15">
      <c r="A114" s="30" t="s">
        <v>41</v>
      </c>
      <c r="B114" s="25">
        <v>106</v>
      </c>
      <c r="C114" s="25">
        <v>1</v>
      </c>
      <c r="D114" s="25">
        <v>106</v>
      </c>
      <c r="E114" s="25">
        <v>3795</v>
      </c>
      <c r="F114" s="25" t="s">
        <v>1157</v>
      </c>
    </row>
    <row r="115" spans="1:6" ht="14.25" x14ac:dyDescent="0.15">
      <c r="A115" s="25" t="s">
        <v>41</v>
      </c>
      <c r="B115" s="25">
        <v>107</v>
      </c>
      <c r="C115" s="25">
        <v>1</v>
      </c>
      <c r="D115" s="25">
        <v>107</v>
      </c>
      <c r="E115" s="25">
        <v>3830</v>
      </c>
      <c r="F115" s="25" t="s">
        <v>1158</v>
      </c>
    </row>
    <row r="116" spans="1:6" ht="14.25" x14ac:dyDescent="0.15">
      <c r="A116" s="30" t="s">
        <v>41</v>
      </c>
      <c r="B116" s="25">
        <v>108</v>
      </c>
      <c r="C116" s="25">
        <v>1</v>
      </c>
      <c r="D116" s="25">
        <v>108</v>
      </c>
      <c r="E116" s="25">
        <v>3865</v>
      </c>
      <c r="F116" s="25" t="s">
        <v>1159</v>
      </c>
    </row>
    <row r="117" spans="1:6" ht="14.25" x14ac:dyDescent="0.15">
      <c r="A117" s="25" t="s">
        <v>41</v>
      </c>
      <c r="B117" s="25">
        <v>109</v>
      </c>
      <c r="C117" s="25">
        <v>1</v>
      </c>
      <c r="D117" s="25">
        <v>109</v>
      </c>
      <c r="E117" s="25">
        <v>3900</v>
      </c>
      <c r="F117" s="25" t="s">
        <v>323</v>
      </c>
    </row>
    <row r="118" spans="1:6" ht="14.25" x14ac:dyDescent="0.15">
      <c r="A118" s="30" t="s">
        <v>41</v>
      </c>
      <c r="B118" s="25">
        <v>110</v>
      </c>
      <c r="C118" s="25">
        <v>1</v>
      </c>
      <c r="D118" s="25">
        <v>110</v>
      </c>
      <c r="E118" s="25">
        <v>3935</v>
      </c>
      <c r="F118" s="25" t="s">
        <v>1160</v>
      </c>
    </row>
    <row r="119" spans="1:6" ht="14.25" x14ac:dyDescent="0.15">
      <c r="A119" s="25" t="s">
        <v>41</v>
      </c>
      <c r="B119" s="25">
        <v>111</v>
      </c>
      <c r="C119" s="25">
        <v>1</v>
      </c>
      <c r="D119" s="25">
        <v>111</v>
      </c>
      <c r="E119" s="25">
        <v>3970</v>
      </c>
      <c r="F119" s="25" t="s">
        <v>1161</v>
      </c>
    </row>
    <row r="120" spans="1:6" ht="14.25" x14ac:dyDescent="0.15">
      <c r="A120" s="30" t="s">
        <v>41</v>
      </c>
      <c r="B120" s="25">
        <v>112</v>
      </c>
      <c r="C120" s="25">
        <v>1</v>
      </c>
      <c r="D120" s="25">
        <v>112</v>
      </c>
      <c r="E120" s="25">
        <v>4005</v>
      </c>
      <c r="F120" s="25" t="s">
        <v>1162</v>
      </c>
    </row>
    <row r="121" spans="1:6" ht="14.25" x14ac:dyDescent="0.15">
      <c r="A121" s="25" t="s">
        <v>41</v>
      </c>
      <c r="B121" s="25">
        <v>113</v>
      </c>
      <c r="C121" s="25">
        <v>1</v>
      </c>
      <c r="D121" s="25">
        <v>113</v>
      </c>
      <c r="E121" s="25">
        <v>4040</v>
      </c>
      <c r="F121" s="25" t="s">
        <v>1163</v>
      </c>
    </row>
    <row r="122" spans="1:6" ht="14.25" x14ac:dyDescent="0.15">
      <c r="A122" s="30" t="s">
        <v>41</v>
      </c>
      <c r="B122" s="25">
        <v>114</v>
      </c>
      <c r="C122" s="25">
        <v>1</v>
      </c>
      <c r="D122" s="25">
        <v>114</v>
      </c>
      <c r="E122" s="25">
        <v>4075</v>
      </c>
      <c r="F122" s="25" t="s">
        <v>1166</v>
      </c>
    </row>
    <row r="123" spans="1:6" ht="14.25" x14ac:dyDescent="0.15">
      <c r="A123" s="25" t="s">
        <v>41</v>
      </c>
      <c r="B123" s="25">
        <v>115</v>
      </c>
      <c r="C123" s="25">
        <v>1</v>
      </c>
      <c r="D123" s="25">
        <v>115</v>
      </c>
      <c r="E123" s="25">
        <v>4110</v>
      </c>
      <c r="F123" s="25" t="s">
        <v>1164</v>
      </c>
    </row>
    <row r="124" spans="1:6" ht="14.25" x14ac:dyDescent="0.15">
      <c r="A124" s="30" t="s">
        <v>41</v>
      </c>
      <c r="B124" s="25">
        <v>116</v>
      </c>
      <c r="C124" s="25">
        <v>1</v>
      </c>
      <c r="D124" s="25">
        <v>116</v>
      </c>
      <c r="E124" s="25">
        <v>4145</v>
      </c>
      <c r="F124" s="25" t="s">
        <v>1165</v>
      </c>
    </row>
    <row r="125" spans="1:6" ht="14.25" x14ac:dyDescent="0.15">
      <c r="A125" s="25" t="s">
        <v>41</v>
      </c>
      <c r="B125" s="25">
        <v>117</v>
      </c>
      <c r="C125" s="25">
        <v>1</v>
      </c>
      <c r="D125" s="25">
        <v>117</v>
      </c>
      <c r="E125" s="25">
        <v>4180</v>
      </c>
      <c r="F125" s="25" t="s">
        <v>1167</v>
      </c>
    </row>
    <row r="126" spans="1:6" ht="14.25" x14ac:dyDescent="0.15">
      <c r="A126" s="30" t="s">
        <v>41</v>
      </c>
      <c r="B126" s="25">
        <v>118</v>
      </c>
      <c r="C126" s="25">
        <v>1</v>
      </c>
      <c r="D126" s="25">
        <v>118</v>
      </c>
      <c r="E126" s="25">
        <v>4215</v>
      </c>
      <c r="F126" s="25" t="s">
        <v>1168</v>
      </c>
    </row>
    <row r="127" spans="1:6" ht="14.25" x14ac:dyDescent="0.15">
      <c r="A127" s="25" t="s">
        <v>41</v>
      </c>
      <c r="B127" s="25">
        <v>119</v>
      </c>
      <c r="C127" s="25">
        <v>1</v>
      </c>
      <c r="D127" s="25">
        <v>119</v>
      </c>
      <c r="E127" s="25">
        <v>4250</v>
      </c>
      <c r="F127" s="25" t="s">
        <v>1169</v>
      </c>
    </row>
    <row r="128" spans="1:6" ht="14.25" x14ac:dyDescent="0.15">
      <c r="A128" s="30" t="s">
        <v>41</v>
      </c>
      <c r="B128" s="25">
        <v>120</v>
      </c>
      <c r="C128" s="25">
        <v>1</v>
      </c>
      <c r="D128" s="25">
        <v>120</v>
      </c>
      <c r="E128" s="25">
        <v>4285</v>
      </c>
      <c r="F128" s="25" t="s">
        <v>1170</v>
      </c>
    </row>
    <row r="129" spans="1:6" ht="14.25" x14ac:dyDescent="0.15">
      <c r="A129" s="25" t="s">
        <v>41</v>
      </c>
      <c r="B129" s="25">
        <v>121</v>
      </c>
      <c r="C129" s="25">
        <v>2</v>
      </c>
      <c r="D129" s="25">
        <v>1</v>
      </c>
      <c r="E129" s="25">
        <v>60</v>
      </c>
      <c r="F129" s="25"/>
    </row>
    <row r="130" spans="1:6" ht="14.25" x14ac:dyDescent="0.15">
      <c r="A130" s="30" t="s">
        <v>41</v>
      </c>
      <c r="B130" s="25">
        <v>122</v>
      </c>
      <c r="C130" s="25">
        <v>2</v>
      </c>
      <c r="D130" s="25">
        <v>2</v>
      </c>
      <c r="E130" s="25">
        <v>77</v>
      </c>
      <c r="F130" s="25" t="s">
        <v>60</v>
      </c>
    </row>
    <row r="131" spans="1:6" ht="14.25" x14ac:dyDescent="0.15">
      <c r="A131" s="25" t="s">
        <v>41</v>
      </c>
      <c r="B131" s="25">
        <v>123</v>
      </c>
      <c r="C131" s="25">
        <v>2</v>
      </c>
      <c r="D131" s="25">
        <v>3</v>
      </c>
      <c r="E131" s="25">
        <v>95</v>
      </c>
      <c r="F131" s="25" t="s">
        <v>62</v>
      </c>
    </row>
    <row r="132" spans="1:6" ht="14.25" x14ac:dyDescent="0.15">
      <c r="A132" s="30" t="s">
        <v>41</v>
      </c>
      <c r="B132" s="25">
        <v>124</v>
      </c>
      <c r="C132" s="25">
        <v>2</v>
      </c>
      <c r="D132" s="25">
        <v>4</v>
      </c>
      <c r="E132" s="25">
        <v>112</v>
      </c>
      <c r="F132" s="25" t="s">
        <v>1082</v>
      </c>
    </row>
    <row r="133" spans="1:6" ht="14.25" x14ac:dyDescent="0.15">
      <c r="A133" s="25" t="s">
        <v>41</v>
      </c>
      <c r="B133" s="25">
        <v>125</v>
      </c>
      <c r="C133" s="25">
        <v>2</v>
      </c>
      <c r="D133" s="25">
        <v>5</v>
      </c>
      <c r="E133" s="25">
        <v>130</v>
      </c>
      <c r="F133" s="25" t="s">
        <v>1084</v>
      </c>
    </row>
    <row r="134" spans="1:6" ht="14.25" x14ac:dyDescent="0.15">
      <c r="A134" s="30" t="s">
        <v>41</v>
      </c>
      <c r="B134" s="25">
        <v>126</v>
      </c>
      <c r="C134" s="25">
        <v>2</v>
      </c>
      <c r="D134" s="25">
        <v>6</v>
      </c>
      <c r="E134" s="25">
        <v>147</v>
      </c>
      <c r="F134" s="25" t="s">
        <v>1083</v>
      </c>
    </row>
    <row r="135" spans="1:6" ht="14.25" x14ac:dyDescent="0.15">
      <c r="A135" s="25" t="s">
        <v>41</v>
      </c>
      <c r="B135" s="25">
        <v>127</v>
      </c>
      <c r="C135" s="25">
        <v>2</v>
      </c>
      <c r="D135" s="25">
        <v>7</v>
      </c>
      <c r="E135" s="25">
        <v>165</v>
      </c>
      <c r="F135" s="25" t="s">
        <v>1085</v>
      </c>
    </row>
    <row r="136" spans="1:6" ht="14.25" x14ac:dyDescent="0.15">
      <c r="A136" s="30" t="s">
        <v>41</v>
      </c>
      <c r="B136" s="25">
        <v>128</v>
      </c>
      <c r="C136" s="25">
        <v>2</v>
      </c>
      <c r="D136" s="25">
        <v>8</v>
      </c>
      <c r="E136" s="25">
        <v>182</v>
      </c>
      <c r="F136" s="25" t="s">
        <v>74</v>
      </c>
    </row>
    <row r="137" spans="1:6" ht="14.25" x14ac:dyDescent="0.15">
      <c r="A137" s="25" t="s">
        <v>41</v>
      </c>
      <c r="B137" s="25">
        <v>129</v>
      </c>
      <c r="C137" s="25">
        <v>2</v>
      </c>
      <c r="D137" s="25">
        <v>9</v>
      </c>
      <c r="E137" s="25">
        <v>200</v>
      </c>
      <c r="F137" s="25" t="s">
        <v>1086</v>
      </c>
    </row>
    <row r="138" spans="1:6" ht="14.25" x14ac:dyDescent="0.15">
      <c r="A138" s="30" t="s">
        <v>41</v>
      </c>
      <c r="B138" s="25">
        <v>130</v>
      </c>
      <c r="C138" s="25">
        <v>2</v>
      </c>
      <c r="D138" s="25">
        <v>10</v>
      </c>
      <c r="E138" s="25">
        <v>217</v>
      </c>
      <c r="F138" s="25" t="s">
        <v>79</v>
      </c>
    </row>
    <row r="139" spans="1:6" ht="14.25" x14ac:dyDescent="0.15">
      <c r="A139" s="25" t="s">
        <v>41</v>
      </c>
      <c r="B139" s="25">
        <v>131</v>
      </c>
      <c r="C139" s="25">
        <v>2</v>
      </c>
      <c r="D139" s="25">
        <v>11</v>
      </c>
      <c r="E139" s="25">
        <v>235</v>
      </c>
      <c r="F139" s="25" t="s">
        <v>1087</v>
      </c>
    </row>
    <row r="140" spans="1:6" ht="14.25" x14ac:dyDescent="0.15">
      <c r="A140" s="30" t="s">
        <v>41</v>
      </c>
      <c r="B140" s="25">
        <v>132</v>
      </c>
      <c r="C140" s="25">
        <v>2</v>
      </c>
      <c r="D140" s="25">
        <v>12</v>
      </c>
      <c r="E140" s="25">
        <v>252</v>
      </c>
      <c r="F140" s="25" t="s">
        <v>84</v>
      </c>
    </row>
    <row r="141" spans="1:6" ht="14.25" x14ac:dyDescent="0.15">
      <c r="A141" s="25" t="s">
        <v>41</v>
      </c>
      <c r="B141" s="25">
        <v>133</v>
      </c>
      <c r="C141" s="25">
        <v>2</v>
      </c>
      <c r="D141" s="25">
        <v>13</v>
      </c>
      <c r="E141" s="25">
        <v>270</v>
      </c>
      <c r="F141" s="25" t="s">
        <v>1088</v>
      </c>
    </row>
    <row r="142" spans="1:6" ht="14.25" x14ac:dyDescent="0.15">
      <c r="A142" s="30" t="s">
        <v>41</v>
      </c>
      <c r="B142" s="25">
        <v>134</v>
      </c>
      <c r="C142" s="25">
        <v>2</v>
      </c>
      <c r="D142" s="25">
        <v>14</v>
      </c>
      <c r="E142" s="25">
        <v>287</v>
      </c>
      <c r="F142" s="25" t="s">
        <v>89</v>
      </c>
    </row>
    <row r="143" spans="1:6" ht="14.25" x14ac:dyDescent="0.15">
      <c r="A143" s="25" t="s">
        <v>41</v>
      </c>
      <c r="B143" s="25">
        <v>135</v>
      </c>
      <c r="C143" s="25">
        <v>2</v>
      </c>
      <c r="D143" s="25">
        <v>15</v>
      </c>
      <c r="E143" s="25">
        <v>305</v>
      </c>
      <c r="F143" s="25" t="s">
        <v>1089</v>
      </c>
    </row>
    <row r="144" spans="1:6" ht="14.25" x14ac:dyDescent="0.15">
      <c r="A144" s="30" t="s">
        <v>41</v>
      </c>
      <c r="B144" s="25">
        <v>136</v>
      </c>
      <c r="C144" s="25">
        <v>2</v>
      </c>
      <c r="D144" s="25">
        <v>16</v>
      </c>
      <c r="E144" s="25">
        <v>322</v>
      </c>
      <c r="F144" s="25" t="s">
        <v>94</v>
      </c>
    </row>
    <row r="145" spans="1:6" ht="14.25" x14ac:dyDescent="0.15">
      <c r="A145" s="25" t="s">
        <v>41</v>
      </c>
      <c r="B145" s="25">
        <v>137</v>
      </c>
      <c r="C145" s="25">
        <v>2</v>
      </c>
      <c r="D145" s="25">
        <v>17</v>
      </c>
      <c r="E145" s="25">
        <v>340</v>
      </c>
      <c r="F145" s="25" t="s">
        <v>1090</v>
      </c>
    </row>
    <row r="146" spans="1:6" ht="14.25" x14ac:dyDescent="0.15">
      <c r="A146" s="30" t="s">
        <v>41</v>
      </c>
      <c r="B146" s="25">
        <v>138</v>
      </c>
      <c r="C146" s="25">
        <v>2</v>
      </c>
      <c r="D146" s="25">
        <v>18</v>
      </c>
      <c r="E146" s="25">
        <v>357</v>
      </c>
      <c r="F146" s="25" t="s">
        <v>99</v>
      </c>
    </row>
    <row r="147" spans="1:6" ht="14.25" x14ac:dyDescent="0.15">
      <c r="A147" s="25" t="s">
        <v>41</v>
      </c>
      <c r="B147" s="25">
        <v>139</v>
      </c>
      <c r="C147" s="25">
        <v>2</v>
      </c>
      <c r="D147" s="25">
        <v>19</v>
      </c>
      <c r="E147" s="25">
        <v>375</v>
      </c>
      <c r="F147" s="25" t="s">
        <v>1091</v>
      </c>
    </row>
    <row r="148" spans="1:6" ht="14.25" x14ac:dyDescent="0.15">
      <c r="A148" s="30" t="s">
        <v>41</v>
      </c>
      <c r="B148" s="25">
        <v>140</v>
      </c>
      <c r="C148" s="25">
        <v>2</v>
      </c>
      <c r="D148" s="25">
        <v>20</v>
      </c>
      <c r="E148" s="25">
        <v>392</v>
      </c>
      <c r="F148" s="25" t="s">
        <v>104</v>
      </c>
    </row>
    <row r="149" spans="1:6" ht="14.25" x14ac:dyDescent="0.15">
      <c r="A149" s="25" t="s">
        <v>41</v>
      </c>
      <c r="B149" s="25">
        <v>141</v>
      </c>
      <c r="C149" s="25">
        <v>2</v>
      </c>
      <c r="D149" s="25">
        <v>21</v>
      </c>
      <c r="E149" s="25">
        <v>410</v>
      </c>
      <c r="F149" s="25" t="s">
        <v>1092</v>
      </c>
    </row>
    <row r="150" spans="1:6" ht="14.25" x14ac:dyDescent="0.15">
      <c r="A150" s="30" t="s">
        <v>41</v>
      </c>
      <c r="B150" s="25">
        <v>142</v>
      </c>
      <c r="C150" s="25">
        <v>2</v>
      </c>
      <c r="D150" s="25">
        <v>22</v>
      </c>
      <c r="E150" s="25">
        <v>427</v>
      </c>
      <c r="F150" s="25" t="s">
        <v>109</v>
      </c>
    </row>
    <row r="151" spans="1:6" ht="14.25" x14ac:dyDescent="0.15">
      <c r="A151" s="25" t="s">
        <v>41</v>
      </c>
      <c r="B151" s="25">
        <v>143</v>
      </c>
      <c r="C151" s="25">
        <v>2</v>
      </c>
      <c r="D151" s="25">
        <v>23</v>
      </c>
      <c r="E151" s="25">
        <v>445</v>
      </c>
      <c r="F151" s="25" t="s">
        <v>1093</v>
      </c>
    </row>
    <row r="152" spans="1:6" ht="14.25" x14ac:dyDescent="0.15">
      <c r="A152" s="30" t="s">
        <v>41</v>
      </c>
      <c r="B152" s="25">
        <v>144</v>
      </c>
      <c r="C152" s="25">
        <v>2</v>
      </c>
      <c r="D152" s="25">
        <v>24</v>
      </c>
      <c r="E152" s="25">
        <v>462</v>
      </c>
      <c r="F152" s="25" t="s">
        <v>115</v>
      </c>
    </row>
    <row r="153" spans="1:6" ht="14.25" x14ac:dyDescent="0.15">
      <c r="A153" s="25" t="s">
        <v>41</v>
      </c>
      <c r="B153" s="25">
        <v>145</v>
      </c>
      <c r="C153" s="25">
        <v>2</v>
      </c>
      <c r="D153" s="25">
        <v>25</v>
      </c>
      <c r="E153" s="25">
        <v>480</v>
      </c>
      <c r="F153" s="25" t="s">
        <v>118</v>
      </c>
    </row>
    <row r="154" spans="1:6" ht="14.25" x14ac:dyDescent="0.15">
      <c r="A154" s="30" t="s">
        <v>41</v>
      </c>
      <c r="B154" s="25">
        <v>146</v>
      </c>
      <c r="C154" s="25">
        <v>2</v>
      </c>
      <c r="D154" s="25">
        <v>26</v>
      </c>
      <c r="E154" s="25">
        <v>497</v>
      </c>
      <c r="F154" s="25" t="s">
        <v>121</v>
      </c>
    </row>
    <row r="155" spans="1:6" ht="14.25" x14ac:dyDescent="0.15">
      <c r="A155" s="25" t="s">
        <v>41</v>
      </c>
      <c r="B155" s="25">
        <v>147</v>
      </c>
      <c r="C155" s="25">
        <v>2</v>
      </c>
      <c r="D155" s="25">
        <v>27</v>
      </c>
      <c r="E155" s="25">
        <v>515</v>
      </c>
      <c r="F155" s="25" t="s">
        <v>124</v>
      </c>
    </row>
    <row r="156" spans="1:6" ht="14.25" x14ac:dyDescent="0.15">
      <c r="A156" s="30" t="s">
        <v>41</v>
      </c>
      <c r="B156" s="25">
        <v>148</v>
      </c>
      <c r="C156" s="25">
        <v>2</v>
      </c>
      <c r="D156" s="25">
        <v>28</v>
      </c>
      <c r="E156" s="25">
        <v>532</v>
      </c>
      <c r="F156" s="25" t="s">
        <v>127</v>
      </c>
    </row>
    <row r="157" spans="1:6" ht="14.25" x14ac:dyDescent="0.15">
      <c r="A157" s="25" t="s">
        <v>41</v>
      </c>
      <c r="B157" s="25">
        <v>149</v>
      </c>
      <c r="C157" s="25">
        <v>2</v>
      </c>
      <c r="D157" s="25">
        <v>29</v>
      </c>
      <c r="E157" s="25">
        <v>550</v>
      </c>
      <c r="F157" s="25" t="s">
        <v>130</v>
      </c>
    </row>
    <row r="158" spans="1:6" ht="14.25" x14ac:dyDescent="0.15">
      <c r="A158" s="30" t="s">
        <v>41</v>
      </c>
      <c r="B158" s="25">
        <v>150</v>
      </c>
      <c r="C158" s="25">
        <v>2</v>
      </c>
      <c r="D158" s="25">
        <v>30</v>
      </c>
      <c r="E158" s="25">
        <v>567</v>
      </c>
      <c r="F158" s="25" t="s">
        <v>133</v>
      </c>
    </row>
    <row r="159" spans="1:6" ht="14.25" x14ac:dyDescent="0.15">
      <c r="A159" s="25" t="s">
        <v>41</v>
      </c>
      <c r="B159" s="25">
        <v>151</v>
      </c>
      <c r="C159" s="25">
        <v>2</v>
      </c>
      <c r="D159" s="25">
        <v>31</v>
      </c>
      <c r="E159" s="25">
        <v>585</v>
      </c>
      <c r="F159" s="25" t="s">
        <v>136</v>
      </c>
    </row>
    <row r="160" spans="1:6" ht="14.25" x14ac:dyDescent="0.15">
      <c r="A160" s="30" t="s">
        <v>41</v>
      </c>
      <c r="B160" s="25">
        <v>152</v>
      </c>
      <c r="C160" s="25">
        <v>2</v>
      </c>
      <c r="D160" s="25">
        <v>32</v>
      </c>
      <c r="E160" s="25">
        <v>602</v>
      </c>
      <c r="F160" s="25" t="s">
        <v>139</v>
      </c>
    </row>
    <row r="161" spans="1:6" ht="14.25" x14ac:dyDescent="0.15">
      <c r="A161" s="25" t="s">
        <v>41</v>
      </c>
      <c r="B161" s="25">
        <v>153</v>
      </c>
      <c r="C161" s="25">
        <v>2</v>
      </c>
      <c r="D161" s="25">
        <v>33</v>
      </c>
      <c r="E161" s="25">
        <v>620</v>
      </c>
      <c r="F161" s="25" t="s">
        <v>1094</v>
      </c>
    </row>
    <row r="162" spans="1:6" ht="14.25" x14ac:dyDescent="0.15">
      <c r="A162" s="30" t="s">
        <v>41</v>
      </c>
      <c r="B162" s="25">
        <v>154</v>
      </c>
      <c r="C162" s="25">
        <v>2</v>
      </c>
      <c r="D162" s="25">
        <v>34</v>
      </c>
      <c r="E162" s="25">
        <v>637</v>
      </c>
      <c r="F162" s="25" t="s">
        <v>149</v>
      </c>
    </row>
    <row r="163" spans="1:6" ht="14.25" x14ac:dyDescent="0.15">
      <c r="A163" s="25" t="s">
        <v>41</v>
      </c>
      <c r="B163" s="25">
        <v>155</v>
      </c>
      <c r="C163" s="25">
        <v>2</v>
      </c>
      <c r="D163" s="25">
        <v>35</v>
      </c>
      <c r="E163" s="25">
        <v>655</v>
      </c>
      <c r="F163" s="25" t="s">
        <v>154</v>
      </c>
    </row>
    <row r="164" spans="1:6" ht="14.25" x14ac:dyDescent="0.15">
      <c r="A164" s="30" t="s">
        <v>41</v>
      </c>
      <c r="B164" s="25">
        <v>156</v>
      </c>
      <c r="C164" s="25">
        <v>2</v>
      </c>
      <c r="D164" s="25">
        <v>36</v>
      </c>
      <c r="E164" s="25">
        <v>672</v>
      </c>
      <c r="F164" s="25" t="s">
        <v>159</v>
      </c>
    </row>
    <row r="165" spans="1:6" ht="14.25" x14ac:dyDescent="0.15">
      <c r="A165" s="25" t="s">
        <v>41</v>
      </c>
      <c r="B165" s="25">
        <v>157</v>
      </c>
      <c r="C165" s="25">
        <v>2</v>
      </c>
      <c r="D165" s="25">
        <v>37</v>
      </c>
      <c r="E165" s="25">
        <v>690</v>
      </c>
      <c r="F165" s="25" t="s">
        <v>164</v>
      </c>
    </row>
    <row r="166" spans="1:6" ht="14.25" x14ac:dyDescent="0.15">
      <c r="A166" s="30" t="s">
        <v>41</v>
      </c>
      <c r="B166" s="25">
        <v>158</v>
      </c>
      <c r="C166" s="25">
        <v>2</v>
      </c>
      <c r="D166" s="25">
        <v>38</v>
      </c>
      <c r="E166" s="25">
        <v>707</v>
      </c>
      <c r="F166" s="25" t="s">
        <v>169</v>
      </c>
    </row>
    <row r="167" spans="1:6" ht="14.25" x14ac:dyDescent="0.15">
      <c r="A167" s="25" t="s">
        <v>41</v>
      </c>
      <c r="B167" s="25">
        <v>159</v>
      </c>
      <c r="C167" s="25">
        <v>2</v>
      </c>
      <c r="D167" s="25">
        <v>39</v>
      </c>
      <c r="E167" s="25">
        <v>725</v>
      </c>
      <c r="F167" s="25" t="s">
        <v>174</v>
      </c>
    </row>
    <row r="168" spans="1:6" ht="14.25" x14ac:dyDescent="0.15">
      <c r="A168" s="30" t="s">
        <v>41</v>
      </c>
      <c r="B168" s="25">
        <v>160</v>
      </c>
      <c r="C168" s="25">
        <v>2</v>
      </c>
      <c r="D168" s="25">
        <v>40</v>
      </c>
      <c r="E168" s="25">
        <v>742</v>
      </c>
      <c r="F168" s="25" t="s">
        <v>179</v>
      </c>
    </row>
    <row r="169" spans="1:6" ht="14.25" x14ac:dyDescent="0.15">
      <c r="A169" s="25" t="s">
        <v>41</v>
      </c>
      <c r="B169" s="25">
        <v>161</v>
      </c>
      <c r="C169" s="25">
        <v>2</v>
      </c>
      <c r="D169" s="25">
        <v>41</v>
      </c>
      <c r="E169" s="25">
        <v>760</v>
      </c>
      <c r="F169" s="25" t="s">
        <v>1095</v>
      </c>
    </row>
    <row r="170" spans="1:6" ht="14.25" x14ac:dyDescent="0.15">
      <c r="A170" s="30" t="s">
        <v>41</v>
      </c>
      <c r="B170" s="25">
        <v>162</v>
      </c>
      <c r="C170" s="25">
        <v>2</v>
      </c>
      <c r="D170" s="25">
        <v>42</v>
      </c>
      <c r="E170" s="25">
        <v>777</v>
      </c>
      <c r="F170" s="25" t="s">
        <v>1096</v>
      </c>
    </row>
    <row r="171" spans="1:6" ht="14.25" x14ac:dyDescent="0.15">
      <c r="A171" s="25" t="s">
        <v>41</v>
      </c>
      <c r="B171" s="25">
        <v>163</v>
      </c>
      <c r="C171" s="25">
        <v>2</v>
      </c>
      <c r="D171" s="25">
        <v>43</v>
      </c>
      <c r="E171" s="25">
        <v>795</v>
      </c>
      <c r="F171" s="25" t="s">
        <v>1097</v>
      </c>
    </row>
    <row r="172" spans="1:6" ht="14.25" x14ac:dyDescent="0.15">
      <c r="A172" s="30" t="s">
        <v>41</v>
      </c>
      <c r="B172" s="25">
        <v>164</v>
      </c>
      <c r="C172" s="25">
        <v>2</v>
      </c>
      <c r="D172" s="25">
        <v>44</v>
      </c>
      <c r="E172" s="25">
        <v>812</v>
      </c>
      <c r="F172" s="25" t="s">
        <v>1098</v>
      </c>
    </row>
    <row r="173" spans="1:6" ht="14.25" x14ac:dyDescent="0.15">
      <c r="A173" s="25" t="s">
        <v>41</v>
      </c>
      <c r="B173" s="25">
        <v>165</v>
      </c>
      <c r="C173" s="25">
        <v>2</v>
      </c>
      <c r="D173" s="25">
        <v>45</v>
      </c>
      <c r="E173" s="25">
        <v>830</v>
      </c>
      <c r="F173" s="25" t="s">
        <v>1099</v>
      </c>
    </row>
    <row r="174" spans="1:6" ht="14.25" x14ac:dyDescent="0.15">
      <c r="A174" s="30" t="s">
        <v>41</v>
      </c>
      <c r="B174" s="25">
        <v>166</v>
      </c>
      <c r="C174" s="25">
        <v>2</v>
      </c>
      <c r="D174" s="25">
        <v>46</v>
      </c>
      <c r="E174" s="25">
        <v>847</v>
      </c>
      <c r="F174" s="25" t="s">
        <v>1100</v>
      </c>
    </row>
    <row r="175" spans="1:6" ht="14.25" x14ac:dyDescent="0.15">
      <c r="A175" s="25" t="s">
        <v>41</v>
      </c>
      <c r="B175" s="25">
        <v>167</v>
      </c>
      <c r="C175" s="25">
        <v>2</v>
      </c>
      <c r="D175" s="25">
        <v>47</v>
      </c>
      <c r="E175" s="25">
        <v>865</v>
      </c>
      <c r="F175" s="25" t="s">
        <v>1101</v>
      </c>
    </row>
    <row r="176" spans="1:6" ht="14.25" x14ac:dyDescent="0.15">
      <c r="A176" s="30" t="s">
        <v>41</v>
      </c>
      <c r="B176" s="25">
        <v>168</v>
      </c>
      <c r="C176" s="25">
        <v>2</v>
      </c>
      <c r="D176" s="25">
        <v>48</v>
      </c>
      <c r="E176" s="25">
        <v>882</v>
      </c>
      <c r="F176" s="25" t="s">
        <v>1102</v>
      </c>
    </row>
    <row r="177" spans="1:6" ht="14.25" x14ac:dyDescent="0.15">
      <c r="A177" s="25" t="s">
        <v>41</v>
      </c>
      <c r="B177" s="25">
        <v>169</v>
      </c>
      <c r="C177" s="25">
        <v>2</v>
      </c>
      <c r="D177" s="25">
        <v>49</v>
      </c>
      <c r="E177" s="25">
        <v>900</v>
      </c>
      <c r="F177" s="25" t="s">
        <v>1103</v>
      </c>
    </row>
    <row r="178" spans="1:6" ht="14.25" x14ac:dyDescent="0.15">
      <c r="A178" s="30" t="s">
        <v>41</v>
      </c>
      <c r="B178" s="25">
        <v>170</v>
      </c>
      <c r="C178" s="25">
        <v>2</v>
      </c>
      <c r="D178" s="25">
        <v>50</v>
      </c>
      <c r="E178" s="25">
        <v>917</v>
      </c>
      <c r="F178" s="25" t="s">
        <v>630</v>
      </c>
    </row>
    <row r="179" spans="1:6" ht="14.25" x14ac:dyDescent="0.15">
      <c r="A179" s="25" t="s">
        <v>41</v>
      </c>
      <c r="B179" s="25">
        <v>171</v>
      </c>
      <c r="C179" s="25">
        <v>2</v>
      </c>
      <c r="D179" s="25">
        <v>51</v>
      </c>
      <c r="E179" s="25">
        <v>935</v>
      </c>
      <c r="F179" s="25" t="s">
        <v>1104</v>
      </c>
    </row>
    <row r="180" spans="1:6" ht="14.25" x14ac:dyDescent="0.15">
      <c r="A180" s="30" t="s">
        <v>41</v>
      </c>
      <c r="B180" s="25">
        <v>172</v>
      </c>
      <c r="C180" s="25">
        <v>2</v>
      </c>
      <c r="D180" s="25">
        <v>52</v>
      </c>
      <c r="E180" s="25">
        <v>952</v>
      </c>
      <c r="F180" s="25" t="s">
        <v>1105</v>
      </c>
    </row>
    <row r="181" spans="1:6" ht="14.25" x14ac:dyDescent="0.15">
      <c r="A181" s="25" t="s">
        <v>41</v>
      </c>
      <c r="B181" s="25">
        <v>173</v>
      </c>
      <c r="C181" s="25">
        <v>2</v>
      </c>
      <c r="D181" s="25">
        <v>53</v>
      </c>
      <c r="E181" s="25">
        <v>970</v>
      </c>
      <c r="F181" s="25" t="s">
        <v>1106</v>
      </c>
    </row>
    <row r="182" spans="1:6" ht="14.25" x14ac:dyDescent="0.15">
      <c r="A182" s="30" t="s">
        <v>41</v>
      </c>
      <c r="B182" s="25">
        <v>174</v>
      </c>
      <c r="C182" s="25">
        <v>2</v>
      </c>
      <c r="D182" s="25">
        <v>54</v>
      </c>
      <c r="E182" s="25">
        <v>987</v>
      </c>
      <c r="F182" s="25" t="s">
        <v>1107</v>
      </c>
    </row>
    <row r="183" spans="1:6" ht="14.25" x14ac:dyDescent="0.15">
      <c r="A183" s="25" t="s">
        <v>41</v>
      </c>
      <c r="B183" s="25">
        <v>175</v>
      </c>
      <c r="C183" s="25">
        <v>2</v>
      </c>
      <c r="D183" s="25">
        <v>55</v>
      </c>
      <c r="E183" s="25">
        <v>1005</v>
      </c>
      <c r="F183" s="25" t="s">
        <v>1108</v>
      </c>
    </row>
    <row r="184" spans="1:6" ht="14.25" x14ac:dyDescent="0.15">
      <c r="A184" s="30" t="s">
        <v>41</v>
      </c>
      <c r="B184" s="25">
        <v>176</v>
      </c>
      <c r="C184" s="25">
        <v>2</v>
      </c>
      <c r="D184" s="25">
        <v>56</v>
      </c>
      <c r="E184" s="25">
        <v>1022</v>
      </c>
      <c r="F184" s="25" t="s">
        <v>1109</v>
      </c>
    </row>
    <row r="185" spans="1:6" ht="14.25" x14ac:dyDescent="0.15">
      <c r="A185" s="25" t="s">
        <v>41</v>
      </c>
      <c r="B185" s="25">
        <v>177</v>
      </c>
      <c r="C185" s="25">
        <v>2</v>
      </c>
      <c r="D185" s="25">
        <v>57</v>
      </c>
      <c r="E185" s="25">
        <v>1040</v>
      </c>
      <c r="F185" s="25" t="s">
        <v>1110</v>
      </c>
    </row>
    <row r="186" spans="1:6" ht="14.25" x14ac:dyDescent="0.15">
      <c r="A186" s="30" t="s">
        <v>41</v>
      </c>
      <c r="B186" s="25">
        <v>178</v>
      </c>
      <c r="C186" s="25">
        <v>2</v>
      </c>
      <c r="D186" s="25">
        <v>58</v>
      </c>
      <c r="E186" s="25">
        <v>1057</v>
      </c>
      <c r="F186" s="25" t="s">
        <v>1111</v>
      </c>
    </row>
    <row r="187" spans="1:6" ht="14.25" x14ac:dyDescent="0.15">
      <c r="A187" s="25" t="s">
        <v>41</v>
      </c>
      <c r="B187" s="25">
        <v>179</v>
      </c>
      <c r="C187" s="25">
        <v>2</v>
      </c>
      <c r="D187" s="25">
        <v>59</v>
      </c>
      <c r="E187" s="25">
        <v>1075</v>
      </c>
      <c r="F187" s="25" t="s">
        <v>1112</v>
      </c>
    </row>
    <row r="188" spans="1:6" ht="14.25" x14ac:dyDescent="0.15">
      <c r="A188" s="30" t="s">
        <v>41</v>
      </c>
      <c r="B188" s="25">
        <v>180</v>
      </c>
      <c r="C188" s="25">
        <v>2</v>
      </c>
      <c r="D188" s="25">
        <v>60</v>
      </c>
      <c r="E188" s="25">
        <v>1092</v>
      </c>
      <c r="F188" s="25" t="s">
        <v>631</v>
      </c>
    </row>
    <row r="189" spans="1:6" ht="14.25" x14ac:dyDescent="0.15">
      <c r="A189" s="25" t="s">
        <v>41</v>
      </c>
      <c r="B189" s="25">
        <v>181</v>
      </c>
      <c r="C189" s="25">
        <v>2</v>
      </c>
      <c r="D189" s="25">
        <v>61</v>
      </c>
      <c r="E189" s="25">
        <v>1110</v>
      </c>
      <c r="F189" s="25" t="s">
        <v>1113</v>
      </c>
    </row>
    <row r="190" spans="1:6" ht="14.25" x14ac:dyDescent="0.15">
      <c r="A190" s="30" t="s">
        <v>41</v>
      </c>
      <c r="B190" s="25">
        <v>182</v>
      </c>
      <c r="C190" s="25">
        <v>2</v>
      </c>
      <c r="D190" s="25">
        <v>62</v>
      </c>
      <c r="E190" s="25">
        <v>1127</v>
      </c>
      <c r="F190" s="25" t="s">
        <v>1114</v>
      </c>
    </row>
    <row r="191" spans="1:6" ht="14.25" x14ac:dyDescent="0.15">
      <c r="A191" s="25" t="s">
        <v>41</v>
      </c>
      <c r="B191" s="25">
        <v>183</v>
      </c>
      <c r="C191" s="25">
        <v>2</v>
      </c>
      <c r="D191" s="25">
        <v>63</v>
      </c>
      <c r="E191" s="25">
        <v>1145</v>
      </c>
      <c r="F191" s="25" t="s">
        <v>1115</v>
      </c>
    </row>
    <row r="192" spans="1:6" ht="14.25" x14ac:dyDescent="0.15">
      <c r="A192" s="30" t="s">
        <v>41</v>
      </c>
      <c r="B192" s="25">
        <v>184</v>
      </c>
      <c r="C192" s="25">
        <v>2</v>
      </c>
      <c r="D192" s="25">
        <v>64</v>
      </c>
      <c r="E192" s="25">
        <v>1162</v>
      </c>
      <c r="F192" s="25" t="s">
        <v>1116</v>
      </c>
    </row>
    <row r="193" spans="1:6" ht="14.25" x14ac:dyDescent="0.15">
      <c r="A193" s="25" t="s">
        <v>41</v>
      </c>
      <c r="B193" s="25">
        <v>185</v>
      </c>
      <c r="C193" s="25">
        <v>2</v>
      </c>
      <c r="D193" s="25">
        <v>65</v>
      </c>
      <c r="E193" s="25">
        <v>1180</v>
      </c>
      <c r="F193" s="25" t="s">
        <v>1117</v>
      </c>
    </row>
    <row r="194" spans="1:6" ht="14.25" x14ac:dyDescent="0.15">
      <c r="A194" s="30" t="s">
        <v>41</v>
      </c>
      <c r="B194" s="25">
        <v>186</v>
      </c>
      <c r="C194" s="25">
        <v>2</v>
      </c>
      <c r="D194" s="25">
        <v>66</v>
      </c>
      <c r="E194" s="25">
        <v>1197</v>
      </c>
      <c r="F194" s="25" t="s">
        <v>1118</v>
      </c>
    </row>
    <row r="195" spans="1:6" ht="14.25" x14ac:dyDescent="0.15">
      <c r="A195" s="25" t="s">
        <v>41</v>
      </c>
      <c r="B195" s="25">
        <v>187</v>
      </c>
      <c r="C195" s="25">
        <v>2</v>
      </c>
      <c r="D195" s="25">
        <v>67</v>
      </c>
      <c r="E195" s="25">
        <v>1215</v>
      </c>
      <c r="F195" s="25" t="s">
        <v>1119</v>
      </c>
    </row>
    <row r="196" spans="1:6" ht="14.25" x14ac:dyDescent="0.15">
      <c r="A196" s="30" t="s">
        <v>41</v>
      </c>
      <c r="B196" s="25">
        <v>188</v>
      </c>
      <c r="C196" s="25">
        <v>2</v>
      </c>
      <c r="D196" s="25">
        <v>68</v>
      </c>
      <c r="E196" s="25">
        <v>1232</v>
      </c>
      <c r="F196" s="25" t="s">
        <v>1120</v>
      </c>
    </row>
    <row r="197" spans="1:6" ht="14.25" x14ac:dyDescent="0.15">
      <c r="A197" s="25" t="s">
        <v>41</v>
      </c>
      <c r="B197" s="25">
        <v>189</v>
      </c>
      <c r="C197" s="25">
        <v>2</v>
      </c>
      <c r="D197" s="25">
        <v>69</v>
      </c>
      <c r="E197" s="25">
        <v>1250</v>
      </c>
      <c r="F197" s="25" t="s">
        <v>1121</v>
      </c>
    </row>
    <row r="198" spans="1:6" ht="14.25" x14ac:dyDescent="0.15">
      <c r="A198" s="30" t="s">
        <v>41</v>
      </c>
      <c r="B198" s="25">
        <v>190</v>
      </c>
      <c r="C198" s="25">
        <v>2</v>
      </c>
      <c r="D198" s="25">
        <v>70</v>
      </c>
      <c r="E198" s="25">
        <v>1267</v>
      </c>
      <c r="F198" s="25" t="s">
        <v>1122</v>
      </c>
    </row>
    <row r="199" spans="1:6" ht="14.25" x14ac:dyDescent="0.15">
      <c r="A199" s="25" t="s">
        <v>41</v>
      </c>
      <c r="B199" s="25">
        <v>191</v>
      </c>
      <c r="C199" s="25">
        <v>2</v>
      </c>
      <c r="D199" s="25">
        <v>71</v>
      </c>
      <c r="E199" s="25">
        <v>1285</v>
      </c>
      <c r="F199" s="25" t="s">
        <v>1123</v>
      </c>
    </row>
    <row r="200" spans="1:6" ht="14.25" x14ac:dyDescent="0.15">
      <c r="A200" s="30" t="s">
        <v>41</v>
      </c>
      <c r="B200" s="25">
        <v>192</v>
      </c>
      <c r="C200" s="25">
        <v>2</v>
      </c>
      <c r="D200" s="25">
        <v>72</v>
      </c>
      <c r="E200" s="25">
        <v>1302</v>
      </c>
      <c r="F200" s="25" t="s">
        <v>1124</v>
      </c>
    </row>
    <row r="201" spans="1:6" ht="14.25" x14ac:dyDescent="0.15">
      <c r="A201" s="25" t="s">
        <v>41</v>
      </c>
      <c r="B201" s="25">
        <v>193</v>
      </c>
      <c r="C201" s="25">
        <v>2</v>
      </c>
      <c r="D201" s="25">
        <v>73</v>
      </c>
      <c r="E201" s="25">
        <v>1320</v>
      </c>
      <c r="F201" s="25" t="s">
        <v>1125</v>
      </c>
    </row>
    <row r="202" spans="1:6" ht="14.25" x14ac:dyDescent="0.15">
      <c r="A202" s="30" t="s">
        <v>41</v>
      </c>
      <c r="B202" s="25">
        <v>194</v>
      </c>
      <c r="C202" s="25">
        <v>2</v>
      </c>
      <c r="D202" s="25">
        <v>74</v>
      </c>
      <c r="E202" s="25">
        <v>1337</v>
      </c>
      <c r="F202" s="25" t="s">
        <v>1126</v>
      </c>
    </row>
    <row r="203" spans="1:6" ht="14.25" x14ac:dyDescent="0.15">
      <c r="A203" s="25" t="s">
        <v>41</v>
      </c>
      <c r="B203" s="25">
        <v>195</v>
      </c>
      <c r="C203" s="25">
        <v>2</v>
      </c>
      <c r="D203" s="25">
        <v>75</v>
      </c>
      <c r="E203" s="25">
        <v>1355</v>
      </c>
      <c r="F203" s="25" t="s">
        <v>1127</v>
      </c>
    </row>
    <row r="204" spans="1:6" ht="14.25" x14ac:dyDescent="0.15">
      <c r="A204" s="30" t="s">
        <v>41</v>
      </c>
      <c r="B204" s="25">
        <v>196</v>
      </c>
      <c r="C204" s="25">
        <v>2</v>
      </c>
      <c r="D204" s="25">
        <v>76</v>
      </c>
      <c r="E204" s="25">
        <v>1372</v>
      </c>
      <c r="F204" s="25" t="s">
        <v>1128</v>
      </c>
    </row>
    <row r="205" spans="1:6" ht="14.25" x14ac:dyDescent="0.15">
      <c r="A205" s="25" t="s">
        <v>41</v>
      </c>
      <c r="B205" s="25">
        <v>197</v>
      </c>
      <c r="C205" s="25">
        <v>2</v>
      </c>
      <c r="D205" s="25">
        <v>77</v>
      </c>
      <c r="E205" s="25">
        <v>1390</v>
      </c>
      <c r="F205" s="25" t="s">
        <v>1129</v>
      </c>
    </row>
    <row r="206" spans="1:6" ht="14.25" x14ac:dyDescent="0.15">
      <c r="A206" s="30" t="s">
        <v>41</v>
      </c>
      <c r="B206" s="25">
        <v>198</v>
      </c>
      <c r="C206" s="25">
        <v>2</v>
      </c>
      <c r="D206" s="25">
        <v>78</v>
      </c>
      <c r="E206" s="25">
        <v>1407</v>
      </c>
      <c r="F206" s="25" t="s">
        <v>1130</v>
      </c>
    </row>
    <row r="207" spans="1:6" ht="14.25" x14ac:dyDescent="0.15">
      <c r="A207" s="25" t="s">
        <v>41</v>
      </c>
      <c r="B207" s="25">
        <v>199</v>
      </c>
      <c r="C207" s="25">
        <v>2</v>
      </c>
      <c r="D207" s="25">
        <v>79</v>
      </c>
      <c r="E207" s="25">
        <v>1425</v>
      </c>
      <c r="F207" s="25" t="s">
        <v>1131</v>
      </c>
    </row>
    <row r="208" spans="1:6" ht="14.25" x14ac:dyDescent="0.15">
      <c r="A208" s="30" t="s">
        <v>41</v>
      </c>
      <c r="B208" s="25">
        <v>200</v>
      </c>
      <c r="C208" s="25">
        <v>2</v>
      </c>
      <c r="D208" s="25">
        <v>80</v>
      </c>
      <c r="E208" s="25">
        <v>1442</v>
      </c>
      <c r="F208" s="25" t="s">
        <v>1132</v>
      </c>
    </row>
    <row r="209" spans="1:6" ht="14.25" x14ac:dyDescent="0.15">
      <c r="A209" s="25" t="s">
        <v>41</v>
      </c>
      <c r="B209" s="25">
        <v>201</v>
      </c>
      <c r="C209" s="25">
        <v>2</v>
      </c>
      <c r="D209" s="25">
        <v>81</v>
      </c>
      <c r="E209" s="25">
        <v>1460</v>
      </c>
      <c r="F209" s="25" t="s">
        <v>1133</v>
      </c>
    </row>
    <row r="210" spans="1:6" ht="14.25" x14ac:dyDescent="0.15">
      <c r="A210" s="30" t="s">
        <v>41</v>
      </c>
      <c r="B210" s="25">
        <v>202</v>
      </c>
      <c r="C210" s="25">
        <v>2</v>
      </c>
      <c r="D210" s="25">
        <v>82</v>
      </c>
      <c r="E210" s="25">
        <v>1477</v>
      </c>
      <c r="F210" s="25" t="s">
        <v>1134</v>
      </c>
    </row>
    <row r="211" spans="1:6" ht="14.25" x14ac:dyDescent="0.15">
      <c r="A211" s="25" t="s">
        <v>41</v>
      </c>
      <c r="B211" s="25">
        <v>203</v>
      </c>
      <c r="C211" s="25">
        <v>2</v>
      </c>
      <c r="D211" s="25">
        <v>83</v>
      </c>
      <c r="E211" s="25">
        <v>1495</v>
      </c>
      <c r="F211" s="25" t="s">
        <v>1135</v>
      </c>
    </row>
    <row r="212" spans="1:6" ht="14.25" x14ac:dyDescent="0.15">
      <c r="A212" s="30" t="s">
        <v>41</v>
      </c>
      <c r="B212" s="25">
        <v>204</v>
      </c>
      <c r="C212" s="25">
        <v>2</v>
      </c>
      <c r="D212" s="25">
        <v>84</v>
      </c>
      <c r="E212" s="25">
        <v>1512</v>
      </c>
      <c r="F212" s="25" t="s">
        <v>1136</v>
      </c>
    </row>
    <row r="213" spans="1:6" ht="14.25" x14ac:dyDescent="0.15">
      <c r="A213" s="25" t="s">
        <v>41</v>
      </c>
      <c r="B213" s="25">
        <v>205</v>
      </c>
      <c r="C213" s="25">
        <v>2</v>
      </c>
      <c r="D213" s="25">
        <v>85</v>
      </c>
      <c r="E213" s="25">
        <v>1530</v>
      </c>
      <c r="F213" s="25" t="s">
        <v>1137</v>
      </c>
    </row>
    <row r="214" spans="1:6" ht="14.25" x14ac:dyDescent="0.15">
      <c r="A214" s="30" t="s">
        <v>41</v>
      </c>
      <c r="B214" s="25">
        <v>206</v>
      </c>
      <c r="C214" s="25">
        <v>2</v>
      </c>
      <c r="D214" s="25">
        <v>86</v>
      </c>
      <c r="E214" s="25">
        <v>1547</v>
      </c>
      <c r="F214" s="25" t="s">
        <v>322</v>
      </c>
    </row>
    <row r="215" spans="1:6" ht="14.25" x14ac:dyDescent="0.15">
      <c r="A215" s="25" t="s">
        <v>41</v>
      </c>
      <c r="B215" s="25">
        <v>207</v>
      </c>
      <c r="C215" s="25">
        <v>2</v>
      </c>
      <c r="D215" s="25">
        <v>87</v>
      </c>
      <c r="E215" s="25">
        <v>1565</v>
      </c>
      <c r="F215" s="25" t="s">
        <v>1138</v>
      </c>
    </row>
    <row r="216" spans="1:6" ht="14.25" x14ac:dyDescent="0.15">
      <c r="A216" s="30" t="s">
        <v>41</v>
      </c>
      <c r="B216" s="25">
        <v>208</v>
      </c>
      <c r="C216" s="25">
        <v>2</v>
      </c>
      <c r="D216" s="25">
        <v>88</v>
      </c>
      <c r="E216" s="25">
        <v>1582</v>
      </c>
      <c r="F216" s="25" t="s">
        <v>1139</v>
      </c>
    </row>
    <row r="217" spans="1:6" ht="14.25" x14ac:dyDescent="0.15">
      <c r="A217" s="25" t="s">
        <v>41</v>
      </c>
      <c r="B217" s="25">
        <v>209</v>
      </c>
      <c r="C217" s="25">
        <v>2</v>
      </c>
      <c r="D217" s="25">
        <v>89</v>
      </c>
      <c r="E217" s="25">
        <v>1600</v>
      </c>
      <c r="F217" s="25" t="s">
        <v>1140</v>
      </c>
    </row>
    <row r="218" spans="1:6" ht="14.25" x14ac:dyDescent="0.15">
      <c r="A218" s="30" t="s">
        <v>41</v>
      </c>
      <c r="B218" s="25">
        <v>210</v>
      </c>
      <c r="C218" s="25">
        <v>2</v>
      </c>
      <c r="D218" s="25">
        <v>90</v>
      </c>
      <c r="E218" s="25">
        <v>1617</v>
      </c>
      <c r="F218" s="25" t="s">
        <v>1141</v>
      </c>
    </row>
    <row r="219" spans="1:6" ht="14.25" x14ac:dyDescent="0.15">
      <c r="A219" s="25" t="s">
        <v>41</v>
      </c>
      <c r="B219" s="25">
        <v>211</v>
      </c>
      <c r="C219" s="25">
        <v>2</v>
      </c>
      <c r="D219" s="25">
        <v>91</v>
      </c>
      <c r="E219" s="25">
        <v>1635</v>
      </c>
      <c r="F219" s="25" t="s">
        <v>1142</v>
      </c>
    </row>
    <row r="220" spans="1:6" ht="14.25" x14ac:dyDescent="0.15">
      <c r="A220" s="30" t="s">
        <v>41</v>
      </c>
      <c r="B220" s="25">
        <v>212</v>
      </c>
      <c r="C220" s="25">
        <v>2</v>
      </c>
      <c r="D220" s="25">
        <v>92</v>
      </c>
      <c r="E220" s="25">
        <v>1652</v>
      </c>
      <c r="F220" s="25" t="s">
        <v>1143</v>
      </c>
    </row>
    <row r="221" spans="1:6" ht="14.25" x14ac:dyDescent="0.15">
      <c r="A221" s="25" t="s">
        <v>41</v>
      </c>
      <c r="B221" s="25">
        <v>213</v>
      </c>
      <c r="C221" s="25">
        <v>2</v>
      </c>
      <c r="D221" s="25">
        <v>93</v>
      </c>
      <c r="E221" s="25">
        <v>1670</v>
      </c>
      <c r="F221" s="25" t="s">
        <v>1144</v>
      </c>
    </row>
    <row r="222" spans="1:6" ht="14.25" x14ac:dyDescent="0.15">
      <c r="A222" s="30" t="s">
        <v>41</v>
      </c>
      <c r="B222" s="25">
        <v>214</v>
      </c>
      <c r="C222" s="25">
        <v>2</v>
      </c>
      <c r="D222" s="25">
        <v>94</v>
      </c>
      <c r="E222" s="25">
        <v>1687</v>
      </c>
      <c r="F222" s="25" t="s">
        <v>1145</v>
      </c>
    </row>
    <row r="223" spans="1:6" ht="14.25" x14ac:dyDescent="0.15">
      <c r="A223" s="25" t="s">
        <v>41</v>
      </c>
      <c r="B223" s="25">
        <v>215</v>
      </c>
      <c r="C223" s="25">
        <v>2</v>
      </c>
      <c r="D223" s="25">
        <v>95</v>
      </c>
      <c r="E223" s="25">
        <v>1705</v>
      </c>
      <c r="F223" s="25" t="s">
        <v>1146</v>
      </c>
    </row>
    <row r="224" spans="1:6" ht="14.25" x14ac:dyDescent="0.15">
      <c r="A224" s="30" t="s">
        <v>41</v>
      </c>
      <c r="B224" s="25">
        <v>216</v>
      </c>
      <c r="C224" s="25">
        <v>2</v>
      </c>
      <c r="D224" s="25">
        <v>96</v>
      </c>
      <c r="E224" s="25">
        <v>1722</v>
      </c>
      <c r="F224" s="25" t="s">
        <v>1147</v>
      </c>
    </row>
    <row r="225" spans="1:6" ht="14.25" x14ac:dyDescent="0.15">
      <c r="A225" s="25" t="s">
        <v>41</v>
      </c>
      <c r="B225" s="25">
        <v>217</v>
      </c>
      <c r="C225" s="25">
        <v>2</v>
      </c>
      <c r="D225" s="25">
        <v>97</v>
      </c>
      <c r="E225" s="25">
        <v>1740</v>
      </c>
      <c r="F225" s="25" t="s">
        <v>1148</v>
      </c>
    </row>
    <row r="226" spans="1:6" ht="14.25" x14ac:dyDescent="0.15">
      <c r="A226" s="30" t="s">
        <v>41</v>
      </c>
      <c r="B226" s="25">
        <v>218</v>
      </c>
      <c r="C226" s="25">
        <v>2</v>
      </c>
      <c r="D226" s="25">
        <v>98</v>
      </c>
      <c r="E226" s="25">
        <v>1757</v>
      </c>
      <c r="F226" s="25" t="s">
        <v>1149</v>
      </c>
    </row>
    <row r="227" spans="1:6" ht="14.25" x14ac:dyDescent="0.15">
      <c r="A227" s="25" t="s">
        <v>41</v>
      </c>
      <c r="B227" s="25">
        <v>219</v>
      </c>
      <c r="C227" s="25">
        <v>2</v>
      </c>
      <c r="D227" s="25">
        <v>99</v>
      </c>
      <c r="E227" s="25">
        <v>1775</v>
      </c>
      <c r="F227" s="25" t="s">
        <v>1150</v>
      </c>
    </row>
    <row r="228" spans="1:6" ht="14.25" x14ac:dyDescent="0.15">
      <c r="A228" s="30" t="s">
        <v>41</v>
      </c>
      <c r="B228" s="25">
        <v>220</v>
      </c>
      <c r="C228" s="25">
        <v>2</v>
      </c>
      <c r="D228" s="25">
        <v>100</v>
      </c>
      <c r="E228" s="25">
        <v>1792</v>
      </c>
      <c r="F228" s="25" t="s">
        <v>1151</v>
      </c>
    </row>
    <row r="229" spans="1:6" ht="14.25" x14ac:dyDescent="0.15">
      <c r="A229" s="25" t="s">
        <v>41</v>
      </c>
      <c r="B229" s="25">
        <v>221</v>
      </c>
      <c r="C229" s="25">
        <v>2</v>
      </c>
      <c r="D229" s="25">
        <v>101</v>
      </c>
      <c r="E229" s="25">
        <v>1810</v>
      </c>
      <c r="F229" s="25" t="s">
        <v>1152</v>
      </c>
    </row>
    <row r="230" spans="1:6" ht="14.25" x14ac:dyDescent="0.15">
      <c r="A230" s="30" t="s">
        <v>41</v>
      </c>
      <c r="B230" s="25">
        <v>222</v>
      </c>
      <c r="C230" s="25">
        <v>2</v>
      </c>
      <c r="D230" s="25">
        <v>102</v>
      </c>
      <c r="E230" s="25">
        <v>1827</v>
      </c>
      <c r="F230" s="25" t="s">
        <v>1153</v>
      </c>
    </row>
    <row r="231" spans="1:6" ht="14.25" x14ac:dyDescent="0.15">
      <c r="A231" s="25" t="s">
        <v>41</v>
      </c>
      <c r="B231" s="25">
        <v>223</v>
      </c>
      <c r="C231" s="25">
        <v>2</v>
      </c>
      <c r="D231" s="25">
        <v>103</v>
      </c>
      <c r="E231" s="25">
        <v>1845</v>
      </c>
      <c r="F231" s="25" t="s">
        <v>1154</v>
      </c>
    </row>
    <row r="232" spans="1:6" ht="14.25" x14ac:dyDescent="0.15">
      <c r="A232" s="30" t="s">
        <v>41</v>
      </c>
      <c r="B232" s="25">
        <v>224</v>
      </c>
      <c r="C232" s="25">
        <v>2</v>
      </c>
      <c r="D232" s="25">
        <v>104</v>
      </c>
      <c r="E232" s="25">
        <v>1862</v>
      </c>
      <c r="F232" s="25" t="s">
        <v>1155</v>
      </c>
    </row>
    <row r="233" spans="1:6" ht="14.25" x14ac:dyDescent="0.15">
      <c r="A233" s="25" t="s">
        <v>41</v>
      </c>
      <c r="B233" s="25">
        <v>225</v>
      </c>
      <c r="C233" s="25">
        <v>2</v>
      </c>
      <c r="D233" s="25">
        <v>105</v>
      </c>
      <c r="E233" s="25">
        <v>1880</v>
      </c>
      <c r="F233" s="25" t="s">
        <v>1156</v>
      </c>
    </row>
    <row r="234" spans="1:6" ht="14.25" x14ac:dyDescent="0.15">
      <c r="A234" s="30" t="s">
        <v>41</v>
      </c>
      <c r="B234" s="25">
        <v>226</v>
      </c>
      <c r="C234" s="25">
        <v>2</v>
      </c>
      <c r="D234" s="25">
        <v>106</v>
      </c>
      <c r="E234" s="25">
        <v>1897</v>
      </c>
      <c r="F234" s="25" t="s">
        <v>1157</v>
      </c>
    </row>
    <row r="235" spans="1:6" ht="14.25" x14ac:dyDescent="0.15">
      <c r="A235" s="25" t="s">
        <v>41</v>
      </c>
      <c r="B235" s="25">
        <v>227</v>
      </c>
      <c r="C235" s="25">
        <v>2</v>
      </c>
      <c r="D235" s="25">
        <v>107</v>
      </c>
      <c r="E235" s="25">
        <v>1915</v>
      </c>
      <c r="F235" s="25" t="s">
        <v>1158</v>
      </c>
    </row>
    <row r="236" spans="1:6" ht="14.25" x14ac:dyDescent="0.15">
      <c r="A236" s="30" t="s">
        <v>41</v>
      </c>
      <c r="B236" s="25">
        <v>228</v>
      </c>
      <c r="C236" s="25">
        <v>2</v>
      </c>
      <c r="D236" s="25">
        <v>108</v>
      </c>
      <c r="E236" s="25">
        <v>1932</v>
      </c>
      <c r="F236" s="25" t="s">
        <v>1159</v>
      </c>
    </row>
    <row r="237" spans="1:6" ht="14.25" x14ac:dyDescent="0.15">
      <c r="A237" s="25" t="s">
        <v>41</v>
      </c>
      <c r="B237" s="25">
        <v>229</v>
      </c>
      <c r="C237" s="25">
        <v>2</v>
      </c>
      <c r="D237" s="25">
        <v>109</v>
      </c>
      <c r="E237" s="25">
        <v>1950</v>
      </c>
      <c r="F237" s="25" t="s">
        <v>323</v>
      </c>
    </row>
    <row r="238" spans="1:6" ht="14.25" x14ac:dyDescent="0.15">
      <c r="A238" s="30" t="s">
        <v>41</v>
      </c>
      <c r="B238" s="25">
        <v>230</v>
      </c>
      <c r="C238" s="25">
        <v>2</v>
      </c>
      <c r="D238" s="25">
        <v>110</v>
      </c>
      <c r="E238" s="25">
        <v>1967</v>
      </c>
      <c r="F238" s="25" t="s">
        <v>1160</v>
      </c>
    </row>
    <row r="239" spans="1:6" ht="14.25" x14ac:dyDescent="0.15">
      <c r="A239" s="25" t="s">
        <v>41</v>
      </c>
      <c r="B239" s="25">
        <v>231</v>
      </c>
      <c r="C239" s="25">
        <v>2</v>
      </c>
      <c r="D239" s="25">
        <v>111</v>
      </c>
      <c r="E239" s="25">
        <v>1985</v>
      </c>
      <c r="F239" s="25" t="s">
        <v>1161</v>
      </c>
    </row>
    <row r="240" spans="1:6" ht="14.25" x14ac:dyDescent="0.15">
      <c r="A240" s="30" t="s">
        <v>41</v>
      </c>
      <c r="B240" s="25">
        <v>232</v>
      </c>
      <c r="C240" s="25">
        <v>2</v>
      </c>
      <c r="D240" s="25">
        <v>112</v>
      </c>
      <c r="E240" s="25">
        <v>2002</v>
      </c>
      <c r="F240" s="25" t="s">
        <v>1162</v>
      </c>
    </row>
    <row r="241" spans="1:6" ht="14.25" x14ac:dyDescent="0.15">
      <c r="A241" s="25" t="s">
        <v>41</v>
      </c>
      <c r="B241" s="25">
        <v>233</v>
      </c>
      <c r="C241" s="25">
        <v>2</v>
      </c>
      <c r="D241" s="25">
        <v>113</v>
      </c>
      <c r="E241" s="25">
        <v>2020</v>
      </c>
      <c r="F241" s="25" t="s">
        <v>1163</v>
      </c>
    </row>
    <row r="242" spans="1:6" ht="14.25" x14ac:dyDescent="0.15">
      <c r="A242" s="30" t="s">
        <v>41</v>
      </c>
      <c r="B242" s="25">
        <v>234</v>
      </c>
      <c r="C242" s="25">
        <v>2</v>
      </c>
      <c r="D242" s="25">
        <v>114</v>
      </c>
      <c r="E242" s="25">
        <v>2037</v>
      </c>
      <c r="F242" s="25" t="s">
        <v>1166</v>
      </c>
    </row>
    <row r="243" spans="1:6" ht="14.25" x14ac:dyDescent="0.15">
      <c r="A243" s="25" t="s">
        <v>41</v>
      </c>
      <c r="B243" s="25">
        <v>235</v>
      </c>
      <c r="C243" s="25">
        <v>2</v>
      </c>
      <c r="D243" s="25">
        <v>115</v>
      </c>
      <c r="E243" s="25">
        <v>2055</v>
      </c>
      <c r="F243" s="25" t="s">
        <v>1164</v>
      </c>
    </row>
    <row r="244" spans="1:6" ht="14.25" x14ac:dyDescent="0.15">
      <c r="A244" s="30" t="s">
        <v>41</v>
      </c>
      <c r="B244" s="25">
        <v>236</v>
      </c>
      <c r="C244" s="25">
        <v>2</v>
      </c>
      <c r="D244" s="25">
        <v>116</v>
      </c>
      <c r="E244" s="25">
        <v>2072</v>
      </c>
      <c r="F244" s="25" t="s">
        <v>1165</v>
      </c>
    </row>
    <row r="245" spans="1:6" ht="14.25" x14ac:dyDescent="0.15">
      <c r="A245" s="25" t="s">
        <v>41</v>
      </c>
      <c r="B245" s="25">
        <v>237</v>
      </c>
      <c r="C245" s="25">
        <v>2</v>
      </c>
      <c r="D245" s="25">
        <v>117</v>
      </c>
      <c r="E245" s="25">
        <v>2090</v>
      </c>
      <c r="F245" s="25" t="s">
        <v>1167</v>
      </c>
    </row>
    <row r="246" spans="1:6" ht="14.25" x14ac:dyDescent="0.15">
      <c r="A246" s="30" t="s">
        <v>41</v>
      </c>
      <c r="B246" s="25">
        <v>238</v>
      </c>
      <c r="C246" s="25">
        <v>2</v>
      </c>
      <c r="D246" s="25">
        <v>118</v>
      </c>
      <c r="E246" s="25">
        <v>2107</v>
      </c>
      <c r="F246" s="25" t="s">
        <v>1168</v>
      </c>
    </row>
    <row r="247" spans="1:6" ht="14.25" x14ac:dyDescent="0.15">
      <c r="A247" s="25" t="s">
        <v>41</v>
      </c>
      <c r="B247" s="25">
        <v>239</v>
      </c>
      <c r="C247" s="25">
        <v>2</v>
      </c>
      <c r="D247" s="25">
        <v>119</v>
      </c>
      <c r="E247" s="25">
        <v>2125</v>
      </c>
      <c r="F247" s="25" t="s">
        <v>1169</v>
      </c>
    </row>
    <row r="248" spans="1:6" ht="14.25" x14ac:dyDescent="0.15">
      <c r="A248" s="30" t="s">
        <v>41</v>
      </c>
      <c r="B248" s="25">
        <v>240</v>
      </c>
      <c r="C248" s="25">
        <v>2</v>
      </c>
      <c r="D248" s="25">
        <v>120</v>
      </c>
      <c r="E248" s="25">
        <v>2142</v>
      </c>
      <c r="F248" s="25" t="s">
        <v>1170</v>
      </c>
    </row>
    <row r="249" spans="1:6" ht="14.25" x14ac:dyDescent="0.15">
      <c r="A249" s="25" t="s">
        <v>41</v>
      </c>
      <c r="B249" s="25">
        <v>241</v>
      </c>
      <c r="C249" s="16">
        <v>3</v>
      </c>
      <c r="D249" s="25">
        <v>1</v>
      </c>
      <c r="E249" s="25">
        <v>30</v>
      </c>
      <c r="F249" s="25"/>
    </row>
    <row r="250" spans="1:6" ht="14.25" x14ac:dyDescent="0.15">
      <c r="A250" s="30" t="s">
        <v>41</v>
      </c>
      <c r="B250" s="25">
        <v>242</v>
      </c>
      <c r="C250" s="16">
        <v>3</v>
      </c>
      <c r="D250" s="25">
        <v>2</v>
      </c>
      <c r="E250" s="25">
        <v>38</v>
      </c>
      <c r="F250" s="25" t="s">
        <v>60</v>
      </c>
    </row>
    <row r="251" spans="1:6" ht="14.25" x14ac:dyDescent="0.15">
      <c r="A251" s="25" t="s">
        <v>41</v>
      </c>
      <c r="B251" s="25">
        <v>243</v>
      </c>
      <c r="C251" s="16">
        <v>3</v>
      </c>
      <c r="D251" s="25">
        <v>3</v>
      </c>
      <c r="E251" s="25">
        <v>47</v>
      </c>
      <c r="F251" s="25" t="s">
        <v>62</v>
      </c>
    </row>
    <row r="252" spans="1:6" ht="14.25" x14ac:dyDescent="0.15">
      <c r="A252" s="30" t="s">
        <v>41</v>
      </c>
      <c r="B252" s="25">
        <v>244</v>
      </c>
      <c r="C252" s="16">
        <v>3</v>
      </c>
      <c r="D252" s="25">
        <v>4</v>
      </c>
      <c r="E252" s="25">
        <v>55</v>
      </c>
      <c r="F252" s="25" t="s">
        <v>1082</v>
      </c>
    </row>
    <row r="253" spans="1:6" ht="14.25" x14ac:dyDescent="0.15">
      <c r="A253" s="25" t="s">
        <v>41</v>
      </c>
      <c r="B253" s="25">
        <v>245</v>
      </c>
      <c r="C253" s="16">
        <v>3</v>
      </c>
      <c r="D253" s="25">
        <v>5</v>
      </c>
      <c r="E253" s="25">
        <v>64</v>
      </c>
      <c r="F253" s="25" t="s">
        <v>1084</v>
      </c>
    </row>
    <row r="254" spans="1:6" ht="14.25" x14ac:dyDescent="0.15">
      <c r="A254" s="30" t="s">
        <v>41</v>
      </c>
      <c r="B254" s="25">
        <v>246</v>
      </c>
      <c r="C254" s="16">
        <v>3</v>
      </c>
      <c r="D254" s="25">
        <v>6</v>
      </c>
      <c r="E254" s="25">
        <v>72</v>
      </c>
      <c r="F254" s="25" t="s">
        <v>1083</v>
      </c>
    </row>
    <row r="255" spans="1:6" ht="14.25" x14ac:dyDescent="0.15">
      <c r="A255" s="25" t="s">
        <v>41</v>
      </c>
      <c r="B255" s="25">
        <v>247</v>
      </c>
      <c r="C255" s="16">
        <v>3</v>
      </c>
      <c r="D255" s="25">
        <v>7</v>
      </c>
      <c r="E255" s="25">
        <v>81</v>
      </c>
      <c r="F255" s="25" t="s">
        <v>1085</v>
      </c>
    </row>
    <row r="256" spans="1:6" ht="14.25" x14ac:dyDescent="0.15">
      <c r="A256" s="30" t="s">
        <v>41</v>
      </c>
      <c r="B256" s="25">
        <v>248</v>
      </c>
      <c r="C256" s="16">
        <v>3</v>
      </c>
      <c r="D256" s="25">
        <v>8</v>
      </c>
      <c r="E256" s="25">
        <v>89</v>
      </c>
      <c r="F256" s="25" t="s">
        <v>74</v>
      </c>
    </row>
    <row r="257" spans="1:6" ht="14.25" x14ac:dyDescent="0.15">
      <c r="A257" s="25" t="s">
        <v>41</v>
      </c>
      <c r="B257" s="25">
        <v>249</v>
      </c>
      <c r="C257" s="16">
        <v>3</v>
      </c>
      <c r="D257" s="25">
        <v>9</v>
      </c>
      <c r="E257" s="25">
        <v>98</v>
      </c>
      <c r="F257" s="25" t="s">
        <v>1086</v>
      </c>
    </row>
    <row r="258" spans="1:6" ht="14.25" x14ac:dyDescent="0.15">
      <c r="A258" s="30" t="s">
        <v>41</v>
      </c>
      <c r="B258" s="25">
        <v>250</v>
      </c>
      <c r="C258" s="16">
        <v>3</v>
      </c>
      <c r="D258" s="25">
        <v>10</v>
      </c>
      <c r="E258" s="25">
        <v>106</v>
      </c>
      <c r="F258" s="25" t="s">
        <v>79</v>
      </c>
    </row>
    <row r="259" spans="1:6" ht="14.25" x14ac:dyDescent="0.15">
      <c r="A259" s="25" t="s">
        <v>41</v>
      </c>
      <c r="B259" s="25">
        <v>251</v>
      </c>
      <c r="C259" s="16">
        <v>3</v>
      </c>
      <c r="D259" s="25">
        <v>11</v>
      </c>
      <c r="E259" s="25">
        <v>115</v>
      </c>
      <c r="F259" s="25" t="s">
        <v>1087</v>
      </c>
    </row>
    <row r="260" spans="1:6" ht="14.25" x14ac:dyDescent="0.15">
      <c r="A260" s="30" t="s">
        <v>41</v>
      </c>
      <c r="B260" s="25">
        <v>252</v>
      </c>
      <c r="C260" s="16">
        <v>3</v>
      </c>
      <c r="D260" s="25">
        <v>12</v>
      </c>
      <c r="E260" s="25">
        <v>123</v>
      </c>
      <c r="F260" s="25" t="s">
        <v>84</v>
      </c>
    </row>
    <row r="261" spans="1:6" ht="14.25" x14ac:dyDescent="0.15">
      <c r="A261" s="25" t="s">
        <v>41</v>
      </c>
      <c r="B261" s="25">
        <v>253</v>
      </c>
      <c r="C261" s="16">
        <v>3</v>
      </c>
      <c r="D261" s="25">
        <v>13</v>
      </c>
      <c r="E261" s="25">
        <v>132</v>
      </c>
      <c r="F261" s="25" t="s">
        <v>1088</v>
      </c>
    </row>
    <row r="262" spans="1:6" ht="14.25" x14ac:dyDescent="0.15">
      <c r="A262" s="30" t="s">
        <v>41</v>
      </c>
      <c r="B262" s="25">
        <v>254</v>
      </c>
      <c r="C262" s="16">
        <v>3</v>
      </c>
      <c r="D262" s="25">
        <v>14</v>
      </c>
      <c r="E262" s="25">
        <v>140</v>
      </c>
      <c r="F262" s="25" t="s">
        <v>89</v>
      </c>
    </row>
    <row r="263" spans="1:6" ht="14.25" x14ac:dyDescent="0.15">
      <c r="A263" s="25" t="s">
        <v>41</v>
      </c>
      <c r="B263" s="25">
        <v>255</v>
      </c>
      <c r="C263" s="16">
        <v>3</v>
      </c>
      <c r="D263" s="25">
        <v>15</v>
      </c>
      <c r="E263" s="25">
        <v>149</v>
      </c>
      <c r="F263" s="25" t="s">
        <v>1089</v>
      </c>
    </row>
    <row r="264" spans="1:6" ht="14.25" x14ac:dyDescent="0.15">
      <c r="A264" s="30" t="s">
        <v>41</v>
      </c>
      <c r="B264" s="25">
        <v>256</v>
      </c>
      <c r="C264" s="16">
        <v>3</v>
      </c>
      <c r="D264" s="25">
        <v>16</v>
      </c>
      <c r="E264" s="25">
        <v>157</v>
      </c>
      <c r="F264" s="25" t="s">
        <v>94</v>
      </c>
    </row>
    <row r="265" spans="1:6" ht="14.25" x14ac:dyDescent="0.15">
      <c r="A265" s="25" t="s">
        <v>41</v>
      </c>
      <c r="B265" s="25">
        <v>257</v>
      </c>
      <c r="C265" s="16">
        <v>3</v>
      </c>
      <c r="D265" s="25">
        <v>17</v>
      </c>
      <c r="E265" s="25">
        <v>166</v>
      </c>
      <c r="F265" s="25" t="s">
        <v>1090</v>
      </c>
    </row>
    <row r="266" spans="1:6" ht="14.25" x14ac:dyDescent="0.15">
      <c r="A266" s="30" t="s">
        <v>41</v>
      </c>
      <c r="B266" s="25">
        <v>258</v>
      </c>
      <c r="C266" s="16">
        <v>3</v>
      </c>
      <c r="D266" s="25">
        <v>18</v>
      </c>
      <c r="E266" s="25">
        <v>174</v>
      </c>
      <c r="F266" s="25" t="s">
        <v>99</v>
      </c>
    </row>
    <row r="267" spans="1:6" ht="14.25" x14ac:dyDescent="0.15">
      <c r="A267" s="25" t="s">
        <v>41</v>
      </c>
      <c r="B267" s="25">
        <v>259</v>
      </c>
      <c r="C267" s="16">
        <v>3</v>
      </c>
      <c r="D267" s="25">
        <v>19</v>
      </c>
      <c r="E267" s="25">
        <v>183</v>
      </c>
      <c r="F267" s="25" t="s">
        <v>1091</v>
      </c>
    </row>
    <row r="268" spans="1:6" ht="14.25" x14ac:dyDescent="0.15">
      <c r="A268" s="30" t="s">
        <v>41</v>
      </c>
      <c r="B268" s="25">
        <v>260</v>
      </c>
      <c r="C268" s="16">
        <v>3</v>
      </c>
      <c r="D268" s="25">
        <v>20</v>
      </c>
      <c r="E268" s="25">
        <v>191</v>
      </c>
      <c r="F268" s="25" t="s">
        <v>104</v>
      </c>
    </row>
    <row r="269" spans="1:6" ht="14.25" x14ac:dyDescent="0.15">
      <c r="A269" s="25" t="s">
        <v>41</v>
      </c>
      <c r="B269" s="25">
        <v>261</v>
      </c>
      <c r="C269" s="16">
        <v>3</v>
      </c>
      <c r="D269" s="25">
        <v>21</v>
      </c>
      <c r="E269" s="25">
        <v>200</v>
      </c>
      <c r="F269" s="25" t="s">
        <v>1092</v>
      </c>
    </row>
    <row r="270" spans="1:6" ht="14.25" x14ac:dyDescent="0.15">
      <c r="A270" s="30" t="s">
        <v>41</v>
      </c>
      <c r="B270" s="25">
        <v>262</v>
      </c>
      <c r="C270" s="16">
        <v>3</v>
      </c>
      <c r="D270" s="25">
        <v>22</v>
      </c>
      <c r="E270" s="25">
        <v>208</v>
      </c>
      <c r="F270" s="25" t="s">
        <v>109</v>
      </c>
    </row>
    <row r="271" spans="1:6" ht="14.25" x14ac:dyDescent="0.15">
      <c r="A271" s="25" t="s">
        <v>41</v>
      </c>
      <c r="B271" s="25">
        <v>263</v>
      </c>
      <c r="C271" s="16">
        <v>3</v>
      </c>
      <c r="D271" s="25">
        <v>23</v>
      </c>
      <c r="E271" s="25">
        <v>217</v>
      </c>
      <c r="F271" s="25" t="s">
        <v>1093</v>
      </c>
    </row>
    <row r="272" spans="1:6" ht="14.25" x14ac:dyDescent="0.15">
      <c r="A272" s="30" t="s">
        <v>41</v>
      </c>
      <c r="B272" s="25">
        <v>264</v>
      </c>
      <c r="C272" s="16">
        <v>3</v>
      </c>
      <c r="D272" s="25">
        <v>24</v>
      </c>
      <c r="E272" s="25">
        <v>225</v>
      </c>
      <c r="F272" s="25" t="s">
        <v>115</v>
      </c>
    </row>
    <row r="273" spans="1:6" ht="14.25" x14ac:dyDescent="0.15">
      <c r="A273" s="25" t="s">
        <v>41</v>
      </c>
      <c r="B273" s="25">
        <v>265</v>
      </c>
      <c r="C273" s="16">
        <v>3</v>
      </c>
      <c r="D273" s="25">
        <v>25</v>
      </c>
      <c r="E273" s="25">
        <v>234</v>
      </c>
      <c r="F273" s="25" t="s">
        <v>118</v>
      </c>
    </row>
    <row r="274" spans="1:6" ht="14.25" x14ac:dyDescent="0.15">
      <c r="A274" s="30" t="s">
        <v>41</v>
      </c>
      <c r="B274" s="25">
        <v>266</v>
      </c>
      <c r="C274" s="16">
        <v>3</v>
      </c>
      <c r="D274" s="25">
        <v>26</v>
      </c>
      <c r="E274" s="25">
        <v>242</v>
      </c>
      <c r="F274" s="25" t="s">
        <v>121</v>
      </c>
    </row>
    <row r="275" spans="1:6" ht="14.25" x14ac:dyDescent="0.15">
      <c r="A275" s="25" t="s">
        <v>41</v>
      </c>
      <c r="B275" s="25">
        <v>267</v>
      </c>
      <c r="C275" s="16">
        <v>3</v>
      </c>
      <c r="D275" s="25">
        <v>27</v>
      </c>
      <c r="E275" s="25">
        <v>251</v>
      </c>
      <c r="F275" s="25" t="s">
        <v>124</v>
      </c>
    </row>
    <row r="276" spans="1:6" ht="14.25" x14ac:dyDescent="0.15">
      <c r="A276" s="30" t="s">
        <v>41</v>
      </c>
      <c r="B276" s="25">
        <v>268</v>
      </c>
      <c r="C276" s="16">
        <v>3</v>
      </c>
      <c r="D276" s="25">
        <v>28</v>
      </c>
      <c r="E276" s="25">
        <v>259</v>
      </c>
      <c r="F276" s="25" t="s">
        <v>127</v>
      </c>
    </row>
    <row r="277" spans="1:6" ht="14.25" x14ac:dyDescent="0.15">
      <c r="A277" s="25" t="s">
        <v>41</v>
      </c>
      <c r="B277" s="25">
        <v>269</v>
      </c>
      <c r="C277" s="16">
        <v>3</v>
      </c>
      <c r="D277" s="25">
        <v>29</v>
      </c>
      <c r="E277" s="25">
        <v>268</v>
      </c>
      <c r="F277" s="25" t="s">
        <v>130</v>
      </c>
    </row>
    <row r="278" spans="1:6" ht="14.25" x14ac:dyDescent="0.15">
      <c r="A278" s="30" t="s">
        <v>41</v>
      </c>
      <c r="B278" s="25">
        <v>270</v>
      </c>
      <c r="C278" s="16">
        <v>3</v>
      </c>
      <c r="D278" s="25">
        <v>30</v>
      </c>
      <c r="E278" s="25">
        <v>276</v>
      </c>
      <c r="F278" s="25" t="s">
        <v>133</v>
      </c>
    </row>
    <row r="279" spans="1:6" ht="14.25" x14ac:dyDescent="0.15">
      <c r="A279" s="25" t="s">
        <v>41</v>
      </c>
      <c r="B279" s="25">
        <v>271</v>
      </c>
      <c r="C279" s="16">
        <v>3</v>
      </c>
      <c r="D279" s="25">
        <v>31</v>
      </c>
      <c r="E279" s="25">
        <v>285</v>
      </c>
      <c r="F279" s="25" t="s">
        <v>136</v>
      </c>
    </row>
    <row r="280" spans="1:6" ht="14.25" x14ac:dyDescent="0.15">
      <c r="A280" s="30" t="s">
        <v>41</v>
      </c>
      <c r="B280" s="25">
        <v>272</v>
      </c>
      <c r="C280" s="16">
        <v>3</v>
      </c>
      <c r="D280" s="25">
        <v>32</v>
      </c>
      <c r="E280" s="25">
        <v>293</v>
      </c>
      <c r="F280" s="25" t="s">
        <v>139</v>
      </c>
    </row>
    <row r="281" spans="1:6" ht="14.25" x14ac:dyDescent="0.15">
      <c r="A281" s="25" t="s">
        <v>41</v>
      </c>
      <c r="B281" s="25">
        <v>273</v>
      </c>
      <c r="C281" s="16">
        <v>3</v>
      </c>
      <c r="D281" s="25">
        <v>33</v>
      </c>
      <c r="E281" s="25">
        <v>302</v>
      </c>
      <c r="F281" s="25" t="s">
        <v>1094</v>
      </c>
    </row>
    <row r="282" spans="1:6" ht="14.25" x14ac:dyDescent="0.15">
      <c r="A282" s="30" t="s">
        <v>41</v>
      </c>
      <c r="B282" s="25">
        <v>274</v>
      </c>
      <c r="C282" s="16">
        <v>3</v>
      </c>
      <c r="D282" s="25">
        <v>34</v>
      </c>
      <c r="E282" s="25">
        <v>310</v>
      </c>
      <c r="F282" s="25" t="s">
        <v>149</v>
      </c>
    </row>
    <row r="283" spans="1:6" ht="14.25" x14ac:dyDescent="0.15">
      <c r="A283" s="25" t="s">
        <v>41</v>
      </c>
      <c r="B283" s="25">
        <v>275</v>
      </c>
      <c r="C283" s="16">
        <v>3</v>
      </c>
      <c r="D283" s="25">
        <v>35</v>
      </c>
      <c r="E283" s="25">
        <v>319</v>
      </c>
      <c r="F283" s="25" t="s">
        <v>154</v>
      </c>
    </row>
    <row r="284" spans="1:6" ht="14.25" x14ac:dyDescent="0.15">
      <c r="A284" s="30" t="s">
        <v>41</v>
      </c>
      <c r="B284" s="25">
        <v>276</v>
      </c>
      <c r="C284" s="16">
        <v>3</v>
      </c>
      <c r="D284" s="25">
        <v>36</v>
      </c>
      <c r="E284" s="25">
        <v>327</v>
      </c>
      <c r="F284" s="25" t="s">
        <v>159</v>
      </c>
    </row>
    <row r="285" spans="1:6" ht="14.25" x14ac:dyDescent="0.15">
      <c r="A285" s="25" t="s">
        <v>41</v>
      </c>
      <c r="B285" s="25">
        <v>277</v>
      </c>
      <c r="C285" s="16">
        <v>3</v>
      </c>
      <c r="D285" s="25">
        <v>37</v>
      </c>
      <c r="E285" s="25">
        <v>336</v>
      </c>
      <c r="F285" s="25" t="s">
        <v>164</v>
      </c>
    </row>
    <row r="286" spans="1:6" ht="14.25" x14ac:dyDescent="0.15">
      <c r="A286" s="30" t="s">
        <v>41</v>
      </c>
      <c r="B286" s="25">
        <v>278</v>
      </c>
      <c r="C286" s="16">
        <v>3</v>
      </c>
      <c r="D286" s="25">
        <v>38</v>
      </c>
      <c r="E286" s="25">
        <v>344</v>
      </c>
      <c r="F286" s="25" t="s">
        <v>169</v>
      </c>
    </row>
    <row r="287" spans="1:6" ht="14.25" x14ac:dyDescent="0.15">
      <c r="A287" s="25" t="s">
        <v>41</v>
      </c>
      <c r="B287" s="25">
        <v>279</v>
      </c>
      <c r="C287" s="16">
        <v>3</v>
      </c>
      <c r="D287" s="25">
        <v>39</v>
      </c>
      <c r="E287" s="25">
        <v>353</v>
      </c>
      <c r="F287" s="25" t="s">
        <v>174</v>
      </c>
    </row>
    <row r="288" spans="1:6" ht="14.25" x14ac:dyDescent="0.15">
      <c r="A288" s="30" t="s">
        <v>41</v>
      </c>
      <c r="B288" s="25">
        <v>280</v>
      </c>
      <c r="C288" s="16">
        <v>3</v>
      </c>
      <c r="D288" s="25">
        <v>40</v>
      </c>
      <c r="E288" s="25">
        <v>361</v>
      </c>
      <c r="F288" s="25" t="s">
        <v>179</v>
      </c>
    </row>
    <row r="289" spans="1:6" ht="14.25" x14ac:dyDescent="0.15">
      <c r="A289" s="25" t="s">
        <v>41</v>
      </c>
      <c r="B289" s="25">
        <v>281</v>
      </c>
      <c r="C289" s="16">
        <v>3</v>
      </c>
      <c r="D289" s="25">
        <v>41</v>
      </c>
      <c r="E289" s="25">
        <v>370</v>
      </c>
      <c r="F289" s="25" t="s">
        <v>1095</v>
      </c>
    </row>
    <row r="290" spans="1:6" ht="14.25" x14ac:dyDescent="0.15">
      <c r="A290" s="30" t="s">
        <v>41</v>
      </c>
      <c r="B290" s="25">
        <v>282</v>
      </c>
      <c r="C290" s="16">
        <v>3</v>
      </c>
      <c r="D290" s="25">
        <v>42</v>
      </c>
      <c r="E290" s="25">
        <v>378</v>
      </c>
      <c r="F290" s="25" t="s">
        <v>1096</v>
      </c>
    </row>
    <row r="291" spans="1:6" ht="14.25" x14ac:dyDescent="0.15">
      <c r="A291" s="25" t="s">
        <v>41</v>
      </c>
      <c r="B291" s="25">
        <v>283</v>
      </c>
      <c r="C291" s="16">
        <v>3</v>
      </c>
      <c r="D291" s="25">
        <v>43</v>
      </c>
      <c r="E291" s="25">
        <v>387</v>
      </c>
      <c r="F291" s="25" t="s">
        <v>1097</v>
      </c>
    </row>
    <row r="292" spans="1:6" ht="14.25" x14ac:dyDescent="0.15">
      <c r="A292" s="30" t="s">
        <v>41</v>
      </c>
      <c r="B292" s="25">
        <v>284</v>
      </c>
      <c r="C292" s="16">
        <v>3</v>
      </c>
      <c r="D292" s="25">
        <v>44</v>
      </c>
      <c r="E292" s="25">
        <v>395</v>
      </c>
      <c r="F292" s="25" t="s">
        <v>1098</v>
      </c>
    </row>
    <row r="293" spans="1:6" ht="14.25" x14ac:dyDescent="0.15">
      <c r="A293" s="25" t="s">
        <v>41</v>
      </c>
      <c r="B293" s="25">
        <v>285</v>
      </c>
      <c r="C293" s="16">
        <v>3</v>
      </c>
      <c r="D293" s="25">
        <v>45</v>
      </c>
      <c r="E293" s="25">
        <v>404</v>
      </c>
      <c r="F293" s="25" t="s">
        <v>1099</v>
      </c>
    </row>
    <row r="294" spans="1:6" ht="14.25" x14ac:dyDescent="0.15">
      <c r="A294" s="30" t="s">
        <v>41</v>
      </c>
      <c r="B294" s="25">
        <v>286</v>
      </c>
      <c r="C294" s="16">
        <v>3</v>
      </c>
      <c r="D294" s="25">
        <v>46</v>
      </c>
      <c r="E294" s="25">
        <v>412</v>
      </c>
      <c r="F294" s="25" t="s">
        <v>1100</v>
      </c>
    </row>
    <row r="295" spans="1:6" ht="14.25" x14ac:dyDescent="0.15">
      <c r="A295" s="25" t="s">
        <v>41</v>
      </c>
      <c r="B295" s="25">
        <v>287</v>
      </c>
      <c r="C295" s="16">
        <v>3</v>
      </c>
      <c r="D295" s="25">
        <v>47</v>
      </c>
      <c r="E295" s="25">
        <v>421</v>
      </c>
      <c r="F295" s="25" t="s">
        <v>1101</v>
      </c>
    </row>
    <row r="296" spans="1:6" ht="14.25" x14ac:dyDescent="0.15">
      <c r="A296" s="30" t="s">
        <v>41</v>
      </c>
      <c r="B296" s="25">
        <v>288</v>
      </c>
      <c r="C296" s="16">
        <v>3</v>
      </c>
      <c r="D296" s="25">
        <v>48</v>
      </c>
      <c r="E296" s="25">
        <v>429</v>
      </c>
      <c r="F296" s="25" t="s">
        <v>1102</v>
      </c>
    </row>
    <row r="297" spans="1:6" ht="14.25" x14ac:dyDescent="0.15">
      <c r="A297" s="25" t="s">
        <v>41</v>
      </c>
      <c r="B297" s="25">
        <v>289</v>
      </c>
      <c r="C297" s="16">
        <v>3</v>
      </c>
      <c r="D297" s="25">
        <v>49</v>
      </c>
      <c r="E297" s="25">
        <v>438</v>
      </c>
      <c r="F297" s="25" t="s">
        <v>1103</v>
      </c>
    </row>
    <row r="298" spans="1:6" ht="14.25" x14ac:dyDescent="0.15">
      <c r="A298" s="30" t="s">
        <v>41</v>
      </c>
      <c r="B298" s="25">
        <v>290</v>
      </c>
      <c r="C298" s="16">
        <v>3</v>
      </c>
      <c r="D298" s="25">
        <v>50</v>
      </c>
      <c r="E298" s="25">
        <v>446</v>
      </c>
      <c r="F298" s="25" t="s">
        <v>630</v>
      </c>
    </row>
    <row r="299" spans="1:6" ht="14.25" x14ac:dyDescent="0.15">
      <c r="A299" s="25" t="s">
        <v>41</v>
      </c>
      <c r="B299" s="25">
        <v>291</v>
      </c>
      <c r="C299" s="16">
        <v>3</v>
      </c>
      <c r="D299" s="25">
        <v>51</v>
      </c>
      <c r="E299" s="25">
        <v>455</v>
      </c>
      <c r="F299" s="25" t="s">
        <v>1104</v>
      </c>
    </row>
    <row r="300" spans="1:6" ht="14.25" x14ac:dyDescent="0.15">
      <c r="A300" s="30" t="s">
        <v>41</v>
      </c>
      <c r="B300" s="25">
        <v>292</v>
      </c>
      <c r="C300" s="16">
        <v>3</v>
      </c>
      <c r="D300" s="25">
        <v>52</v>
      </c>
      <c r="E300" s="25">
        <v>463</v>
      </c>
      <c r="F300" s="25" t="s">
        <v>1105</v>
      </c>
    </row>
    <row r="301" spans="1:6" ht="14.25" x14ac:dyDescent="0.15">
      <c r="A301" s="25" t="s">
        <v>41</v>
      </c>
      <c r="B301" s="25">
        <v>293</v>
      </c>
      <c r="C301" s="16">
        <v>3</v>
      </c>
      <c r="D301" s="25">
        <v>53</v>
      </c>
      <c r="E301" s="25">
        <v>472</v>
      </c>
      <c r="F301" s="25" t="s">
        <v>1106</v>
      </c>
    </row>
    <row r="302" spans="1:6" ht="14.25" x14ac:dyDescent="0.15">
      <c r="A302" s="30" t="s">
        <v>41</v>
      </c>
      <c r="B302" s="25">
        <v>294</v>
      </c>
      <c r="C302" s="16">
        <v>3</v>
      </c>
      <c r="D302" s="25">
        <v>54</v>
      </c>
      <c r="E302" s="25">
        <v>480</v>
      </c>
      <c r="F302" s="25" t="s">
        <v>1107</v>
      </c>
    </row>
    <row r="303" spans="1:6" ht="14.25" x14ac:dyDescent="0.15">
      <c r="A303" s="25" t="s">
        <v>41</v>
      </c>
      <c r="B303" s="25">
        <v>295</v>
      </c>
      <c r="C303" s="16">
        <v>3</v>
      </c>
      <c r="D303" s="25">
        <v>55</v>
      </c>
      <c r="E303" s="25">
        <v>489</v>
      </c>
      <c r="F303" s="25" t="s">
        <v>1108</v>
      </c>
    </row>
    <row r="304" spans="1:6" ht="14.25" x14ac:dyDescent="0.15">
      <c r="A304" s="30" t="s">
        <v>41</v>
      </c>
      <c r="B304" s="25">
        <v>296</v>
      </c>
      <c r="C304" s="16">
        <v>3</v>
      </c>
      <c r="D304" s="25">
        <v>56</v>
      </c>
      <c r="E304" s="25">
        <v>497</v>
      </c>
      <c r="F304" s="25" t="s">
        <v>1109</v>
      </c>
    </row>
    <row r="305" spans="1:6" ht="14.25" x14ac:dyDescent="0.15">
      <c r="A305" s="25" t="s">
        <v>41</v>
      </c>
      <c r="B305" s="25">
        <v>297</v>
      </c>
      <c r="C305" s="16">
        <v>3</v>
      </c>
      <c r="D305" s="25">
        <v>57</v>
      </c>
      <c r="E305" s="25">
        <v>506</v>
      </c>
      <c r="F305" s="25" t="s">
        <v>1110</v>
      </c>
    </row>
    <row r="306" spans="1:6" ht="14.25" x14ac:dyDescent="0.15">
      <c r="A306" s="30" t="s">
        <v>41</v>
      </c>
      <c r="B306" s="25">
        <v>298</v>
      </c>
      <c r="C306" s="16">
        <v>3</v>
      </c>
      <c r="D306" s="25">
        <v>58</v>
      </c>
      <c r="E306" s="25">
        <v>514</v>
      </c>
      <c r="F306" s="25" t="s">
        <v>1111</v>
      </c>
    </row>
    <row r="307" spans="1:6" ht="14.25" x14ac:dyDescent="0.15">
      <c r="A307" s="25" t="s">
        <v>41</v>
      </c>
      <c r="B307" s="25">
        <v>299</v>
      </c>
      <c r="C307" s="16">
        <v>3</v>
      </c>
      <c r="D307" s="25">
        <v>59</v>
      </c>
      <c r="E307" s="25">
        <v>523</v>
      </c>
      <c r="F307" s="25" t="s">
        <v>1112</v>
      </c>
    </row>
    <row r="308" spans="1:6" ht="14.25" x14ac:dyDescent="0.15">
      <c r="A308" s="30" t="s">
        <v>41</v>
      </c>
      <c r="B308" s="25">
        <v>300</v>
      </c>
      <c r="C308" s="16">
        <v>3</v>
      </c>
      <c r="D308" s="25">
        <v>60</v>
      </c>
      <c r="E308" s="25">
        <v>531</v>
      </c>
      <c r="F308" s="25" t="s">
        <v>631</v>
      </c>
    </row>
    <row r="309" spans="1:6" ht="14.25" x14ac:dyDescent="0.15">
      <c r="A309" s="25" t="s">
        <v>41</v>
      </c>
      <c r="B309" s="25">
        <v>301</v>
      </c>
      <c r="C309" s="16">
        <v>3</v>
      </c>
      <c r="D309" s="25">
        <v>61</v>
      </c>
      <c r="E309" s="25">
        <v>540</v>
      </c>
      <c r="F309" s="25" t="s">
        <v>1113</v>
      </c>
    </row>
    <row r="310" spans="1:6" ht="14.25" x14ac:dyDescent="0.15">
      <c r="A310" s="30" t="s">
        <v>41</v>
      </c>
      <c r="B310" s="25">
        <v>302</v>
      </c>
      <c r="C310" s="16">
        <v>3</v>
      </c>
      <c r="D310" s="25">
        <v>62</v>
      </c>
      <c r="E310" s="25">
        <v>548</v>
      </c>
      <c r="F310" s="25" t="s">
        <v>1114</v>
      </c>
    </row>
    <row r="311" spans="1:6" ht="14.25" x14ac:dyDescent="0.15">
      <c r="A311" s="25" t="s">
        <v>41</v>
      </c>
      <c r="B311" s="25">
        <v>303</v>
      </c>
      <c r="C311" s="16">
        <v>3</v>
      </c>
      <c r="D311" s="25">
        <v>63</v>
      </c>
      <c r="E311" s="25">
        <v>557</v>
      </c>
      <c r="F311" s="25" t="s">
        <v>1115</v>
      </c>
    </row>
    <row r="312" spans="1:6" ht="14.25" x14ac:dyDescent="0.15">
      <c r="A312" s="30" t="s">
        <v>41</v>
      </c>
      <c r="B312" s="25">
        <v>304</v>
      </c>
      <c r="C312" s="16">
        <v>3</v>
      </c>
      <c r="D312" s="25">
        <v>64</v>
      </c>
      <c r="E312" s="25">
        <v>565</v>
      </c>
      <c r="F312" s="25" t="s">
        <v>1116</v>
      </c>
    </row>
    <row r="313" spans="1:6" ht="14.25" x14ac:dyDescent="0.15">
      <c r="A313" s="25" t="s">
        <v>41</v>
      </c>
      <c r="B313" s="25">
        <v>305</v>
      </c>
      <c r="C313" s="16">
        <v>3</v>
      </c>
      <c r="D313" s="25">
        <v>65</v>
      </c>
      <c r="E313" s="25">
        <v>574</v>
      </c>
      <c r="F313" s="25" t="s">
        <v>1117</v>
      </c>
    </row>
    <row r="314" spans="1:6" ht="14.25" x14ac:dyDescent="0.15">
      <c r="A314" s="30" t="s">
        <v>41</v>
      </c>
      <c r="B314" s="25">
        <v>306</v>
      </c>
      <c r="C314" s="16">
        <v>3</v>
      </c>
      <c r="D314" s="25">
        <v>66</v>
      </c>
      <c r="E314" s="25">
        <v>582</v>
      </c>
      <c r="F314" s="25" t="s">
        <v>1118</v>
      </c>
    </row>
    <row r="315" spans="1:6" ht="14.25" x14ac:dyDescent="0.15">
      <c r="A315" s="25" t="s">
        <v>41</v>
      </c>
      <c r="B315" s="25">
        <v>307</v>
      </c>
      <c r="C315" s="16">
        <v>3</v>
      </c>
      <c r="D315" s="25">
        <v>67</v>
      </c>
      <c r="E315" s="25">
        <v>591</v>
      </c>
      <c r="F315" s="25" t="s">
        <v>1119</v>
      </c>
    </row>
    <row r="316" spans="1:6" ht="14.25" x14ac:dyDescent="0.15">
      <c r="A316" s="30" t="s">
        <v>41</v>
      </c>
      <c r="B316" s="25">
        <v>308</v>
      </c>
      <c r="C316" s="16">
        <v>3</v>
      </c>
      <c r="D316" s="25">
        <v>68</v>
      </c>
      <c r="E316" s="25">
        <v>599</v>
      </c>
      <c r="F316" s="25" t="s">
        <v>1120</v>
      </c>
    </row>
    <row r="317" spans="1:6" ht="14.25" x14ac:dyDescent="0.15">
      <c r="A317" s="25" t="s">
        <v>41</v>
      </c>
      <c r="B317" s="25">
        <v>309</v>
      </c>
      <c r="C317" s="16">
        <v>3</v>
      </c>
      <c r="D317" s="25">
        <v>69</v>
      </c>
      <c r="E317" s="25">
        <v>608</v>
      </c>
      <c r="F317" s="25" t="s">
        <v>1121</v>
      </c>
    </row>
    <row r="318" spans="1:6" ht="14.25" x14ac:dyDescent="0.15">
      <c r="A318" s="30" t="s">
        <v>41</v>
      </c>
      <c r="B318" s="25">
        <v>310</v>
      </c>
      <c r="C318" s="16">
        <v>3</v>
      </c>
      <c r="D318" s="25">
        <v>70</v>
      </c>
      <c r="E318" s="25">
        <v>616</v>
      </c>
      <c r="F318" s="25" t="s">
        <v>1122</v>
      </c>
    </row>
    <row r="319" spans="1:6" ht="14.25" x14ac:dyDescent="0.15">
      <c r="A319" s="25" t="s">
        <v>41</v>
      </c>
      <c r="B319" s="25">
        <v>311</v>
      </c>
      <c r="C319" s="16">
        <v>3</v>
      </c>
      <c r="D319" s="25">
        <v>71</v>
      </c>
      <c r="E319" s="25">
        <v>625</v>
      </c>
      <c r="F319" s="25" t="s">
        <v>1123</v>
      </c>
    </row>
    <row r="320" spans="1:6" ht="14.25" x14ac:dyDescent="0.15">
      <c r="A320" s="30" t="s">
        <v>41</v>
      </c>
      <c r="B320" s="25">
        <v>312</v>
      </c>
      <c r="C320" s="16">
        <v>3</v>
      </c>
      <c r="D320" s="25">
        <v>72</v>
      </c>
      <c r="E320" s="25">
        <v>633</v>
      </c>
      <c r="F320" s="25" t="s">
        <v>1124</v>
      </c>
    </row>
    <row r="321" spans="1:6" ht="14.25" x14ac:dyDescent="0.15">
      <c r="A321" s="25" t="s">
        <v>41</v>
      </c>
      <c r="B321" s="25">
        <v>313</v>
      </c>
      <c r="C321" s="16">
        <v>3</v>
      </c>
      <c r="D321" s="25">
        <v>73</v>
      </c>
      <c r="E321" s="25">
        <v>642</v>
      </c>
      <c r="F321" s="25" t="s">
        <v>1125</v>
      </c>
    </row>
    <row r="322" spans="1:6" ht="14.25" x14ac:dyDescent="0.15">
      <c r="A322" s="30" t="s">
        <v>41</v>
      </c>
      <c r="B322" s="25">
        <v>314</v>
      </c>
      <c r="C322" s="16">
        <v>3</v>
      </c>
      <c r="D322" s="25">
        <v>74</v>
      </c>
      <c r="E322" s="25">
        <v>650</v>
      </c>
      <c r="F322" s="25" t="s">
        <v>1126</v>
      </c>
    </row>
    <row r="323" spans="1:6" ht="14.25" x14ac:dyDescent="0.15">
      <c r="A323" s="25" t="s">
        <v>41</v>
      </c>
      <c r="B323" s="25">
        <v>315</v>
      </c>
      <c r="C323" s="16">
        <v>3</v>
      </c>
      <c r="D323" s="25">
        <v>75</v>
      </c>
      <c r="E323" s="25">
        <v>659</v>
      </c>
      <c r="F323" s="25" t="s">
        <v>1127</v>
      </c>
    </row>
    <row r="324" spans="1:6" ht="14.25" x14ac:dyDescent="0.15">
      <c r="A324" s="30" t="s">
        <v>41</v>
      </c>
      <c r="B324" s="25">
        <v>316</v>
      </c>
      <c r="C324" s="16">
        <v>3</v>
      </c>
      <c r="D324" s="25">
        <v>76</v>
      </c>
      <c r="E324" s="25">
        <v>667</v>
      </c>
      <c r="F324" s="25" t="s">
        <v>1128</v>
      </c>
    </row>
    <row r="325" spans="1:6" ht="14.25" x14ac:dyDescent="0.15">
      <c r="A325" s="25" t="s">
        <v>41</v>
      </c>
      <c r="B325" s="25">
        <v>317</v>
      </c>
      <c r="C325" s="16">
        <v>3</v>
      </c>
      <c r="D325" s="25">
        <v>77</v>
      </c>
      <c r="E325" s="25">
        <v>676</v>
      </c>
      <c r="F325" s="25" t="s">
        <v>1129</v>
      </c>
    </row>
    <row r="326" spans="1:6" ht="14.25" x14ac:dyDescent="0.15">
      <c r="A326" s="30" t="s">
        <v>41</v>
      </c>
      <c r="B326" s="25">
        <v>318</v>
      </c>
      <c r="C326" s="16">
        <v>3</v>
      </c>
      <c r="D326" s="25">
        <v>78</v>
      </c>
      <c r="E326" s="25">
        <v>684</v>
      </c>
      <c r="F326" s="25" t="s">
        <v>1130</v>
      </c>
    </row>
    <row r="327" spans="1:6" ht="14.25" x14ac:dyDescent="0.15">
      <c r="A327" s="25" t="s">
        <v>41</v>
      </c>
      <c r="B327" s="25">
        <v>319</v>
      </c>
      <c r="C327" s="16">
        <v>3</v>
      </c>
      <c r="D327" s="25">
        <v>79</v>
      </c>
      <c r="E327" s="25">
        <v>693</v>
      </c>
      <c r="F327" s="25" t="s">
        <v>1131</v>
      </c>
    </row>
    <row r="328" spans="1:6" ht="14.25" x14ac:dyDescent="0.15">
      <c r="A328" s="30" t="s">
        <v>41</v>
      </c>
      <c r="B328" s="25">
        <v>320</v>
      </c>
      <c r="C328" s="16">
        <v>3</v>
      </c>
      <c r="D328" s="25">
        <v>80</v>
      </c>
      <c r="E328" s="25">
        <v>701</v>
      </c>
      <c r="F328" s="25" t="s">
        <v>1132</v>
      </c>
    </row>
    <row r="329" spans="1:6" ht="14.25" x14ac:dyDescent="0.15">
      <c r="A329" s="25" t="s">
        <v>41</v>
      </c>
      <c r="B329" s="25">
        <v>321</v>
      </c>
      <c r="C329" s="16">
        <v>3</v>
      </c>
      <c r="D329" s="25">
        <v>81</v>
      </c>
      <c r="E329" s="25">
        <v>710</v>
      </c>
      <c r="F329" s="25" t="s">
        <v>1133</v>
      </c>
    </row>
    <row r="330" spans="1:6" ht="14.25" x14ac:dyDescent="0.15">
      <c r="A330" s="30" t="s">
        <v>41</v>
      </c>
      <c r="B330" s="25">
        <v>322</v>
      </c>
      <c r="C330" s="16">
        <v>3</v>
      </c>
      <c r="D330" s="25">
        <v>82</v>
      </c>
      <c r="E330" s="25">
        <v>718</v>
      </c>
      <c r="F330" s="25" t="s">
        <v>1134</v>
      </c>
    </row>
    <row r="331" spans="1:6" ht="14.25" x14ac:dyDescent="0.15">
      <c r="A331" s="25" t="s">
        <v>41</v>
      </c>
      <c r="B331" s="25">
        <v>323</v>
      </c>
      <c r="C331" s="16">
        <v>3</v>
      </c>
      <c r="D331" s="25">
        <v>83</v>
      </c>
      <c r="E331" s="25">
        <v>727</v>
      </c>
      <c r="F331" s="25" t="s">
        <v>1135</v>
      </c>
    </row>
    <row r="332" spans="1:6" ht="14.25" x14ac:dyDescent="0.15">
      <c r="A332" s="30" t="s">
        <v>41</v>
      </c>
      <c r="B332" s="25">
        <v>324</v>
      </c>
      <c r="C332" s="16">
        <v>3</v>
      </c>
      <c r="D332" s="25">
        <v>84</v>
      </c>
      <c r="E332" s="25">
        <v>735</v>
      </c>
      <c r="F332" s="25" t="s">
        <v>1136</v>
      </c>
    </row>
    <row r="333" spans="1:6" ht="14.25" x14ac:dyDescent="0.15">
      <c r="A333" s="25" t="s">
        <v>41</v>
      </c>
      <c r="B333" s="25">
        <v>325</v>
      </c>
      <c r="C333" s="16">
        <v>3</v>
      </c>
      <c r="D333" s="25">
        <v>85</v>
      </c>
      <c r="E333" s="25">
        <v>744</v>
      </c>
      <c r="F333" s="25" t="s">
        <v>1137</v>
      </c>
    </row>
    <row r="334" spans="1:6" ht="14.25" x14ac:dyDescent="0.15">
      <c r="A334" s="30" t="s">
        <v>41</v>
      </c>
      <c r="B334" s="25">
        <v>326</v>
      </c>
      <c r="C334" s="16">
        <v>3</v>
      </c>
      <c r="D334" s="25">
        <v>86</v>
      </c>
      <c r="E334" s="25">
        <v>752</v>
      </c>
      <c r="F334" s="25" t="s">
        <v>322</v>
      </c>
    </row>
    <row r="335" spans="1:6" ht="14.25" x14ac:dyDescent="0.15">
      <c r="A335" s="25" t="s">
        <v>41</v>
      </c>
      <c r="B335" s="25">
        <v>327</v>
      </c>
      <c r="C335" s="16">
        <v>3</v>
      </c>
      <c r="D335" s="25">
        <v>87</v>
      </c>
      <c r="E335" s="25">
        <v>761</v>
      </c>
      <c r="F335" s="25" t="s">
        <v>1138</v>
      </c>
    </row>
    <row r="336" spans="1:6" ht="14.25" x14ac:dyDescent="0.15">
      <c r="A336" s="30" t="s">
        <v>41</v>
      </c>
      <c r="B336" s="25">
        <v>328</v>
      </c>
      <c r="C336" s="16">
        <v>3</v>
      </c>
      <c r="D336" s="25">
        <v>88</v>
      </c>
      <c r="E336" s="25">
        <v>769</v>
      </c>
      <c r="F336" s="25" t="s">
        <v>1139</v>
      </c>
    </row>
    <row r="337" spans="1:6" ht="14.25" x14ac:dyDescent="0.15">
      <c r="A337" s="25" t="s">
        <v>41</v>
      </c>
      <c r="B337" s="25">
        <v>329</v>
      </c>
      <c r="C337" s="16">
        <v>3</v>
      </c>
      <c r="D337" s="25">
        <v>89</v>
      </c>
      <c r="E337" s="25">
        <v>778</v>
      </c>
      <c r="F337" s="25" t="s">
        <v>1140</v>
      </c>
    </row>
    <row r="338" spans="1:6" ht="14.25" x14ac:dyDescent="0.15">
      <c r="A338" s="30" t="s">
        <v>41</v>
      </c>
      <c r="B338" s="25">
        <v>330</v>
      </c>
      <c r="C338" s="16">
        <v>3</v>
      </c>
      <c r="D338" s="25">
        <v>90</v>
      </c>
      <c r="E338" s="25">
        <v>786</v>
      </c>
      <c r="F338" s="25" t="s">
        <v>1141</v>
      </c>
    </row>
    <row r="339" spans="1:6" ht="14.25" x14ac:dyDescent="0.15">
      <c r="A339" s="25" t="s">
        <v>41</v>
      </c>
      <c r="B339" s="25">
        <v>331</v>
      </c>
      <c r="C339" s="16">
        <v>3</v>
      </c>
      <c r="D339" s="25">
        <v>91</v>
      </c>
      <c r="E339" s="25">
        <v>795</v>
      </c>
      <c r="F339" s="25" t="s">
        <v>1142</v>
      </c>
    </row>
    <row r="340" spans="1:6" ht="14.25" x14ac:dyDescent="0.15">
      <c r="A340" s="30" t="s">
        <v>41</v>
      </c>
      <c r="B340" s="25">
        <v>332</v>
      </c>
      <c r="C340" s="16">
        <v>3</v>
      </c>
      <c r="D340" s="25">
        <v>92</v>
      </c>
      <c r="E340" s="25">
        <v>803</v>
      </c>
      <c r="F340" s="25" t="s">
        <v>1143</v>
      </c>
    </row>
    <row r="341" spans="1:6" ht="14.25" x14ac:dyDescent="0.15">
      <c r="A341" s="25" t="s">
        <v>41</v>
      </c>
      <c r="B341" s="25">
        <v>333</v>
      </c>
      <c r="C341" s="16">
        <v>3</v>
      </c>
      <c r="D341" s="25">
        <v>93</v>
      </c>
      <c r="E341" s="25">
        <v>812</v>
      </c>
      <c r="F341" s="25" t="s">
        <v>1144</v>
      </c>
    </row>
    <row r="342" spans="1:6" ht="14.25" x14ac:dyDescent="0.15">
      <c r="A342" s="30" t="s">
        <v>41</v>
      </c>
      <c r="B342" s="25">
        <v>334</v>
      </c>
      <c r="C342" s="16">
        <v>3</v>
      </c>
      <c r="D342" s="25">
        <v>94</v>
      </c>
      <c r="E342" s="25">
        <v>820</v>
      </c>
      <c r="F342" s="25" t="s">
        <v>1145</v>
      </c>
    </row>
    <row r="343" spans="1:6" ht="14.25" x14ac:dyDescent="0.15">
      <c r="A343" s="25" t="s">
        <v>41</v>
      </c>
      <c r="B343" s="25">
        <v>335</v>
      </c>
      <c r="C343" s="16">
        <v>3</v>
      </c>
      <c r="D343" s="25">
        <v>95</v>
      </c>
      <c r="E343" s="25">
        <v>829</v>
      </c>
      <c r="F343" s="25" t="s">
        <v>1146</v>
      </c>
    </row>
    <row r="344" spans="1:6" ht="14.25" x14ac:dyDescent="0.15">
      <c r="A344" s="30" t="s">
        <v>41</v>
      </c>
      <c r="B344" s="25">
        <v>336</v>
      </c>
      <c r="C344" s="16">
        <v>3</v>
      </c>
      <c r="D344" s="25">
        <v>96</v>
      </c>
      <c r="E344" s="25">
        <v>837</v>
      </c>
      <c r="F344" s="25" t="s">
        <v>1147</v>
      </c>
    </row>
    <row r="345" spans="1:6" ht="14.25" x14ac:dyDescent="0.15">
      <c r="A345" s="25" t="s">
        <v>41</v>
      </c>
      <c r="B345" s="25">
        <v>337</v>
      </c>
      <c r="C345" s="16">
        <v>3</v>
      </c>
      <c r="D345" s="25">
        <v>97</v>
      </c>
      <c r="E345" s="25">
        <v>846</v>
      </c>
      <c r="F345" s="25" t="s">
        <v>1148</v>
      </c>
    </row>
    <row r="346" spans="1:6" ht="14.25" x14ac:dyDescent="0.15">
      <c r="A346" s="30" t="s">
        <v>41</v>
      </c>
      <c r="B346" s="25">
        <v>338</v>
      </c>
      <c r="C346" s="16">
        <v>3</v>
      </c>
      <c r="D346" s="25">
        <v>98</v>
      </c>
      <c r="E346" s="25">
        <v>854</v>
      </c>
      <c r="F346" s="25" t="s">
        <v>1149</v>
      </c>
    </row>
    <row r="347" spans="1:6" ht="14.25" x14ac:dyDescent="0.15">
      <c r="A347" s="25" t="s">
        <v>41</v>
      </c>
      <c r="B347" s="25">
        <v>339</v>
      </c>
      <c r="C347" s="16">
        <v>3</v>
      </c>
      <c r="D347" s="25">
        <v>99</v>
      </c>
      <c r="E347" s="25">
        <v>863</v>
      </c>
      <c r="F347" s="25" t="s">
        <v>1150</v>
      </c>
    </row>
    <row r="348" spans="1:6" ht="14.25" x14ac:dyDescent="0.15">
      <c r="A348" s="30" t="s">
        <v>41</v>
      </c>
      <c r="B348" s="25">
        <v>340</v>
      </c>
      <c r="C348" s="16">
        <v>3</v>
      </c>
      <c r="D348" s="25">
        <v>100</v>
      </c>
      <c r="E348" s="25">
        <v>871</v>
      </c>
      <c r="F348" s="25" t="s">
        <v>1151</v>
      </c>
    </row>
    <row r="349" spans="1:6" ht="14.25" x14ac:dyDescent="0.15">
      <c r="A349" s="25" t="s">
        <v>41</v>
      </c>
      <c r="B349" s="25">
        <v>341</v>
      </c>
      <c r="C349" s="16">
        <v>3</v>
      </c>
      <c r="D349" s="25">
        <v>101</v>
      </c>
      <c r="E349" s="25">
        <v>880</v>
      </c>
      <c r="F349" s="25" t="s">
        <v>1152</v>
      </c>
    </row>
    <row r="350" spans="1:6" ht="14.25" x14ac:dyDescent="0.15">
      <c r="A350" s="30" t="s">
        <v>41</v>
      </c>
      <c r="B350" s="25">
        <v>342</v>
      </c>
      <c r="C350" s="16">
        <v>3</v>
      </c>
      <c r="D350" s="25">
        <v>102</v>
      </c>
      <c r="E350" s="25">
        <v>888</v>
      </c>
      <c r="F350" s="25" t="s">
        <v>1153</v>
      </c>
    </row>
    <row r="351" spans="1:6" ht="14.25" x14ac:dyDescent="0.15">
      <c r="A351" s="25" t="s">
        <v>41</v>
      </c>
      <c r="B351" s="25">
        <v>343</v>
      </c>
      <c r="C351" s="16">
        <v>3</v>
      </c>
      <c r="D351" s="25">
        <v>103</v>
      </c>
      <c r="E351" s="25">
        <v>897</v>
      </c>
      <c r="F351" s="25" t="s">
        <v>1154</v>
      </c>
    </row>
    <row r="352" spans="1:6" ht="14.25" x14ac:dyDescent="0.15">
      <c r="A352" s="30" t="s">
        <v>41</v>
      </c>
      <c r="B352" s="25">
        <v>344</v>
      </c>
      <c r="C352" s="16">
        <v>3</v>
      </c>
      <c r="D352" s="25">
        <v>104</v>
      </c>
      <c r="E352" s="25">
        <v>905</v>
      </c>
      <c r="F352" s="25" t="s">
        <v>1155</v>
      </c>
    </row>
    <row r="353" spans="1:6" ht="14.25" x14ac:dyDescent="0.15">
      <c r="A353" s="25" t="s">
        <v>41</v>
      </c>
      <c r="B353" s="25">
        <v>345</v>
      </c>
      <c r="C353" s="16">
        <v>3</v>
      </c>
      <c r="D353" s="25">
        <v>105</v>
      </c>
      <c r="E353" s="25">
        <v>914</v>
      </c>
      <c r="F353" s="25" t="s">
        <v>1156</v>
      </c>
    </row>
    <row r="354" spans="1:6" ht="14.25" x14ac:dyDescent="0.15">
      <c r="A354" s="30" t="s">
        <v>41</v>
      </c>
      <c r="B354" s="25">
        <v>346</v>
      </c>
      <c r="C354" s="16">
        <v>3</v>
      </c>
      <c r="D354" s="25">
        <v>106</v>
      </c>
      <c r="E354" s="25">
        <v>922</v>
      </c>
      <c r="F354" s="25" t="s">
        <v>1157</v>
      </c>
    </row>
    <row r="355" spans="1:6" ht="14.25" x14ac:dyDescent="0.15">
      <c r="A355" s="25" t="s">
        <v>41</v>
      </c>
      <c r="B355" s="25">
        <v>347</v>
      </c>
      <c r="C355" s="16">
        <v>3</v>
      </c>
      <c r="D355" s="25">
        <v>107</v>
      </c>
      <c r="E355" s="25">
        <v>931</v>
      </c>
      <c r="F355" s="25" t="s">
        <v>1158</v>
      </c>
    </row>
    <row r="356" spans="1:6" ht="14.25" x14ac:dyDescent="0.15">
      <c r="A356" s="30" t="s">
        <v>41</v>
      </c>
      <c r="B356" s="25">
        <v>348</v>
      </c>
      <c r="C356" s="16">
        <v>3</v>
      </c>
      <c r="D356" s="25">
        <v>108</v>
      </c>
      <c r="E356" s="25">
        <v>939</v>
      </c>
      <c r="F356" s="25" t="s">
        <v>1159</v>
      </c>
    </row>
    <row r="357" spans="1:6" ht="14.25" x14ac:dyDescent="0.15">
      <c r="A357" s="25" t="s">
        <v>41</v>
      </c>
      <c r="B357" s="25">
        <v>349</v>
      </c>
      <c r="C357" s="16">
        <v>3</v>
      </c>
      <c r="D357" s="25">
        <v>109</v>
      </c>
      <c r="E357" s="25">
        <v>948</v>
      </c>
      <c r="F357" s="25" t="s">
        <v>323</v>
      </c>
    </row>
    <row r="358" spans="1:6" ht="14.25" x14ac:dyDescent="0.15">
      <c r="A358" s="30" t="s">
        <v>41</v>
      </c>
      <c r="B358" s="25">
        <v>350</v>
      </c>
      <c r="C358" s="16">
        <v>3</v>
      </c>
      <c r="D358" s="25">
        <v>110</v>
      </c>
      <c r="E358" s="25">
        <v>956</v>
      </c>
      <c r="F358" s="25" t="s">
        <v>1160</v>
      </c>
    </row>
    <row r="359" spans="1:6" ht="14.25" x14ac:dyDescent="0.15">
      <c r="A359" s="25" t="s">
        <v>41</v>
      </c>
      <c r="B359" s="25">
        <v>351</v>
      </c>
      <c r="C359" s="16">
        <v>3</v>
      </c>
      <c r="D359" s="25">
        <v>111</v>
      </c>
      <c r="E359" s="25">
        <v>965</v>
      </c>
      <c r="F359" s="25" t="s">
        <v>1161</v>
      </c>
    </row>
    <row r="360" spans="1:6" ht="14.25" x14ac:dyDescent="0.15">
      <c r="A360" s="30" t="s">
        <v>41</v>
      </c>
      <c r="B360" s="25">
        <v>352</v>
      </c>
      <c r="C360" s="16">
        <v>3</v>
      </c>
      <c r="D360" s="25">
        <v>112</v>
      </c>
      <c r="E360" s="25">
        <v>973</v>
      </c>
      <c r="F360" s="25" t="s">
        <v>1162</v>
      </c>
    </row>
    <row r="361" spans="1:6" ht="14.25" x14ac:dyDescent="0.15">
      <c r="A361" s="25" t="s">
        <v>41</v>
      </c>
      <c r="B361" s="25">
        <v>353</v>
      </c>
      <c r="C361" s="16">
        <v>3</v>
      </c>
      <c r="D361" s="25">
        <v>113</v>
      </c>
      <c r="E361" s="25">
        <v>982</v>
      </c>
      <c r="F361" s="25" t="s">
        <v>1163</v>
      </c>
    </row>
    <row r="362" spans="1:6" ht="14.25" x14ac:dyDescent="0.15">
      <c r="A362" s="30" t="s">
        <v>41</v>
      </c>
      <c r="B362" s="25">
        <v>354</v>
      </c>
      <c r="C362" s="16">
        <v>3</v>
      </c>
      <c r="D362" s="25">
        <v>114</v>
      </c>
      <c r="E362" s="25">
        <v>990</v>
      </c>
      <c r="F362" s="25" t="s">
        <v>1166</v>
      </c>
    </row>
    <row r="363" spans="1:6" ht="14.25" x14ac:dyDescent="0.15">
      <c r="A363" s="25" t="s">
        <v>41</v>
      </c>
      <c r="B363" s="25">
        <v>355</v>
      </c>
      <c r="C363" s="16">
        <v>3</v>
      </c>
      <c r="D363" s="25">
        <v>115</v>
      </c>
      <c r="E363" s="25">
        <v>999</v>
      </c>
      <c r="F363" s="25" t="s">
        <v>1164</v>
      </c>
    </row>
    <row r="364" spans="1:6" ht="14.25" x14ac:dyDescent="0.15">
      <c r="A364" s="30" t="s">
        <v>41</v>
      </c>
      <c r="B364" s="25">
        <v>356</v>
      </c>
      <c r="C364" s="16">
        <v>3</v>
      </c>
      <c r="D364" s="25">
        <v>116</v>
      </c>
      <c r="E364" s="25">
        <v>1007</v>
      </c>
      <c r="F364" s="25" t="s">
        <v>1165</v>
      </c>
    </row>
    <row r="365" spans="1:6" ht="14.25" x14ac:dyDescent="0.15">
      <c r="A365" s="25" t="s">
        <v>41</v>
      </c>
      <c r="B365" s="25">
        <v>357</v>
      </c>
      <c r="C365" s="16">
        <v>3</v>
      </c>
      <c r="D365" s="25">
        <v>117</v>
      </c>
      <c r="E365" s="25">
        <v>1016</v>
      </c>
      <c r="F365" s="25" t="s">
        <v>1167</v>
      </c>
    </row>
    <row r="366" spans="1:6" ht="14.25" x14ac:dyDescent="0.15">
      <c r="A366" s="30" t="s">
        <v>41</v>
      </c>
      <c r="B366" s="25">
        <v>358</v>
      </c>
      <c r="C366" s="16">
        <v>3</v>
      </c>
      <c r="D366" s="25">
        <v>118</v>
      </c>
      <c r="E366" s="25">
        <v>1024</v>
      </c>
      <c r="F366" s="25" t="s">
        <v>1168</v>
      </c>
    </row>
    <row r="367" spans="1:6" ht="14.25" x14ac:dyDescent="0.15">
      <c r="A367" s="25" t="s">
        <v>41</v>
      </c>
      <c r="B367" s="25">
        <v>359</v>
      </c>
      <c r="C367" s="16">
        <v>3</v>
      </c>
      <c r="D367" s="25">
        <v>119</v>
      </c>
      <c r="E367" s="25">
        <v>1033</v>
      </c>
      <c r="F367" s="25" t="s">
        <v>1169</v>
      </c>
    </row>
    <row r="368" spans="1:6" ht="14.25" x14ac:dyDescent="0.15">
      <c r="A368" s="30" t="s">
        <v>41</v>
      </c>
      <c r="B368" s="25">
        <v>360</v>
      </c>
      <c r="C368" s="16">
        <v>3</v>
      </c>
      <c r="D368" s="25">
        <v>120</v>
      </c>
      <c r="E368" s="25">
        <v>1041</v>
      </c>
      <c r="F368" s="25" t="s">
        <v>1170</v>
      </c>
    </row>
    <row r="369" spans="1:6" ht="14.25" x14ac:dyDescent="0.15">
      <c r="A369" s="25" t="s">
        <v>41</v>
      </c>
      <c r="B369" s="25">
        <v>361</v>
      </c>
      <c r="C369" s="16">
        <v>4</v>
      </c>
      <c r="D369" s="25">
        <v>1</v>
      </c>
      <c r="E369" s="25">
        <v>15</v>
      </c>
      <c r="F369" s="25"/>
    </row>
    <row r="370" spans="1:6" ht="14.25" x14ac:dyDescent="0.15">
      <c r="A370" s="30" t="s">
        <v>41</v>
      </c>
      <c r="B370" s="25">
        <v>362</v>
      </c>
      <c r="C370" s="16">
        <v>4</v>
      </c>
      <c r="D370" s="25">
        <v>2</v>
      </c>
      <c r="E370" s="25">
        <v>19</v>
      </c>
      <c r="F370" s="25" t="s">
        <v>60</v>
      </c>
    </row>
    <row r="371" spans="1:6" ht="14.25" x14ac:dyDescent="0.15">
      <c r="A371" s="25" t="s">
        <v>41</v>
      </c>
      <c r="B371" s="25">
        <v>363</v>
      </c>
      <c r="C371" s="16">
        <v>4</v>
      </c>
      <c r="D371" s="25">
        <v>3</v>
      </c>
      <c r="E371" s="25">
        <v>24</v>
      </c>
      <c r="F371" s="25" t="s">
        <v>62</v>
      </c>
    </row>
    <row r="372" spans="1:6" ht="14.25" x14ac:dyDescent="0.15">
      <c r="A372" s="30" t="s">
        <v>41</v>
      </c>
      <c r="B372" s="25">
        <v>364</v>
      </c>
      <c r="C372" s="16">
        <v>4</v>
      </c>
      <c r="D372" s="25">
        <v>4</v>
      </c>
      <c r="E372" s="25">
        <v>28</v>
      </c>
      <c r="F372" s="25" t="s">
        <v>1082</v>
      </c>
    </row>
    <row r="373" spans="1:6" ht="14.25" x14ac:dyDescent="0.15">
      <c r="A373" s="25" t="s">
        <v>41</v>
      </c>
      <c r="B373" s="25">
        <v>365</v>
      </c>
      <c r="C373" s="16">
        <v>4</v>
      </c>
      <c r="D373" s="25">
        <v>5</v>
      </c>
      <c r="E373" s="25">
        <v>33</v>
      </c>
      <c r="F373" s="25" t="s">
        <v>1084</v>
      </c>
    </row>
    <row r="374" spans="1:6" ht="14.25" x14ac:dyDescent="0.15">
      <c r="A374" s="30" t="s">
        <v>41</v>
      </c>
      <c r="B374" s="25">
        <v>366</v>
      </c>
      <c r="C374" s="16">
        <v>4</v>
      </c>
      <c r="D374" s="25">
        <v>6</v>
      </c>
      <c r="E374" s="25">
        <v>37</v>
      </c>
      <c r="F374" s="25" t="s">
        <v>1083</v>
      </c>
    </row>
    <row r="375" spans="1:6" ht="14.25" x14ac:dyDescent="0.15">
      <c r="A375" s="25" t="s">
        <v>41</v>
      </c>
      <c r="B375" s="25">
        <v>367</v>
      </c>
      <c r="C375" s="16">
        <v>4</v>
      </c>
      <c r="D375" s="25">
        <v>7</v>
      </c>
      <c r="E375" s="25">
        <v>42</v>
      </c>
      <c r="F375" s="25" t="s">
        <v>1085</v>
      </c>
    </row>
    <row r="376" spans="1:6" ht="14.25" x14ac:dyDescent="0.15">
      <c r="A376" s="30" t="s">
        <v>41</v>
      </c>
      <c r="B376" s="25">
        <v>368</v>
      </c>
      <c r="C376" s="16">
        <v>4</v>
      </c>
      <c r="D376" s="25">
        <v>8</v>
      </c>
      <c r="E376" s="25">
        <v>46</v>
      </c>
      <c r="F376" s="25" t="s">
        <v>74</v>
      </c>
    </row>
    <row r="377" spans="1:6" ht="14.25" x14ac:dyDescent="0.15">
      <c r="A377" s="25" t="s">
        <v>41</v>
      </c>
      <c r="B377" s="25">
        <v>369</v>
      </c>
      <c r="C377" s="16">
        <v>4</v>
      </c>
      <c r="D377" s="25">
        <v>9</v>
      </c>
      <c r="E377" s="25">
        <v>51</v>
      </c>
      <c r="F377" s="25" t="s">
        <v>1086</v>
      </c>
    </row>
    <row r="378" spans="1:6" ht="14.25" x14ac:dyDescent="0.15">
      <c r="A378" s="30" t="s">
        <v>41</v>
      </c>
      <c r="B378" s="25">
        <v>370</v>
      </c>
      <c r="C378" s="16">
        <v>4</v>
      </c>
      <c r="D378" s="25">
        <v>10</v>
      </c>
      <c r="E378" s="25">
        <v>55</v>
      </c>
      <c r="F378" s="25" t="s">
        <v>79</v>
      </c>
    </row>
    <row r="379" spans="1:6" ht="14.25" x14ac:dyDescent="0.15">
      <c r="A379" s="25" t="s">
        <v>41</v>
      </c>
      <c r="B379" s="25">
        <v>371</v>
      </c>
      <c r="C379" s="16">
        <v>4</v>
      </c>
      <c r="D379" s="25">
        <v>11</v>
      </c>
      <c r="E379" s="25">
        <v>60</v>
      </c>
      <c r="F379" s="25" t="s">
        <v>1087</v>
      </c>
    </row>
    <row r="380" spans="1:6" ht="14.25" x14ac:dyDescent="0.15">
      <c r="A380" s="30" t="s">
        <v>41</v>
      </c>
      <c r="B380" s="25">
        <v>372</v>
      </c>
      <c r="C380" s="16">
        <v>4</v>
      </c>
      <c r="D380" s="25">
        <v>12</v>
      </c>
      <c r="E380" s="25">
        <v>64</v>
      </c>
      <c r="F380" s="25" t="s">
        <v>84</v>
      </c>
    </row>
    <row r="381" spans="1:6" ht="14.25" x14ac:dyDescent="0.15">
      <c r="A381" s="25" t="s">
        <v>41</v>
      </c>
      <c r="B381" s="25">
        <v>373</v>
      </c>
      <c r="C381" s="16">
        <v>4</v>
      </c>
      <c r="D381" s="25">
        <v>13</v>
      </c>
      <c r="E381" s="25">
        <v>69</v>
      </c>
      <c r="F381" s="25" t="s">
        <v>1088</v>
      </c>
    </row>
    <row r="382" spans="1:6" ht="14.25" x14ac:dyDescent="0.15">
      <c r="A382" s="30" t="s">
        <v>41</v>
      </c>
      <c r="B382" s="25">
        <v>374</v>
      </c>
      <c r="C382" s="16">
        <v>4</v>
      </c>
      <c r="D382" s="25">
        <v>14</v>
      </c>
      <c r="E382" s="25">
        <v>73</v>
      </c>
      <c r="F382" s="25" t="s">
        <v>89</v>
      </c>
    </row>
    <row r="383" spans="1:6" ht="14.25" x14ac:dyDescent="0.15">
      <c r="A383" s="25" t="s">
        <v>41</v>
      </c>
      <c r="B383" s="25">
        <v>375</v>
      </c>
      <c r="C383" s="16">
        <v>4</v>
      </c>
      <c r="D383" s="25">
        <v>15</v>
      </c>
      <c r="E383" s="25">
        <v>78</v>
      </c>
      <c r="F383" s="25" t="s">
        <v>1089</v>
      </c>
    </row>
    <row r="384" spans="1:6" ht="14.25" x14ac:dyDescent="0.15">
      <c r="A384" s="30" t="s">
        <v>41</v>
      </c>
      <c r="B384" s="25">
        <v>376</v>
      </c>
      <c r="C384" s="16">
        <v>4</v>
      </c>
      <c r="D384" s="25">
        <v>16</v>
      </c>
      <c r="E384" s="25">
        <v>82</v>
      </c>
      <c r="F384" s="25" t="s">
        <v>94</v>
      </c>
    </row>
    <row r="385" spans="1:6" ht="14.25" x14ac:dyDescent="0.15">
      <c r="A385" s="25" t="s">
        <v>41</v>
      </c>
      <c r="B385" s="25">
        <v>377</v>
      </c>
      <c r="C385" s="16">
        <v>4</v>
      </c>
      <c r="D385" s="25">
        <v>17</v>
      </c>
      <c r="E385" s="25">
        <v>87</v>
      </c>
      <c r="F385" s="25" t="s">
        <v>1090</v>
      </c>
    </row>
    <row r="386" spans="1:6" ht="14.25" x14ac:dyDescent="0.15">
      <c r="A386" s="30" t="s">
        <v>41</v>
      </c>
      <c r="B386" s="25">
        <v>378</v>
      </c>
      <c r="C386" s="16">
        <v>4</v>
      </c>
      <c r="D386" s="25">
        <v>18</v>
      </c>
      <c r="E386" s="25">
        <v>91</v>
      </c>
      <c r="F386" s="25" t="s">
        <v>99</v>
      </c>
    </row>
    <row r="387" spans="1:6" ht="14.25" x14ac:dyDescent="0.15">
      <c r="A387" s="25" t="s">
        <v>41</v>
      </c>
      <c r="B387" s="25">
        <v>379</v>
      </c>
      <c r="C387" s="16">
        <v>4</v>
      </c>
      <c r="D387" s="25">
        <v>19</v>
      </c>
      <c r="E387" s="25">
        <v>96</v>
      </c>
      <c r="F387" s="25" t="s">
        <v>1091</v>
      </c>
    </row>
    <row r="388" spans="1:6" ht="14.25" x14ac:dyDescent="0.15">
      <c r="A388" s="30" t="s">
        <v>41</v>
      </c>
      <c r="B388" s="25">
        <v>380</v>
      </c>
      <c r="C388" s="16">
        <v>4</v>
      </c>
      <c r="D388" s="25">
        <v>20</v>
      </c>
      <c r="E388" s="25">
        <v>100</v>
      </c>
      <c r="F388" s="25" t="s">
        <v>104</v>
      </c>
    </row>
    <row r="389" spans="1:6" ht="14.25" x14ac:dyDescent="0.15">
      <c r="A389" s="25" t="s">
        <v>41</v>
      </c>
      <c r="B389" s="25">
        <v>381</v>
      </c>
      <c r="C389" s="16">
        <v>4</v>
      </c>
      <c r="D389" s="25">
        <v>21</v>
      </c>
      <c r="E389" s="25">
        <v>105</v>
      </c>
      <c r="F389" s="25" t="s">
        <v>1092</v>
      </c>
    </row>
    <row r="390" spans="1:6" ht="14.25" x14ac:dyDescent="0.15">
      <c r="A390" s="30" t="s">
        <v>41</v>
      </c>
      <c r="B390" s="25">
        <v>382</v>
      </c>
      <c r="C390" s="16">
        <v>4</v>
      </c>
      <c r="D390" s="25">
        <v>22</v>
      </c>
      <c r="E390" s="25">
        <v>109</v>
      </c>
      <c r="F390" s="25" t="s">
        <v>109</v>
      </c>
    </row>
    <row r="391" spans="1:6" ht="14.25" x14ac:dyDescent="0.15">
      <c r="A391" s="25" t="s">
        <v>41</v>
      </c>
      <c r="B391" s="25">
        <v>383</v>
      </c>
      <c r="C391" s="16">
        <v>4</v>
      </c>
      <c r="D391" s="25">
        <v>23</v>
      </c>
      <c r="E391" s="25">
        <v>114</v>
      </c>
      <c r="F391" s="25" t="s">
        <v>1093</v>
      </c>
    </row>
    <row r="392" spans="1:6" ht="14.25" x14ac:dyDescent="0.15">
      <c r="A392" s="30" t="s">
        <v>41</v>
      </c>
      <c r="B392" s="25">
        <v>384</v>
      </c>
      <c r="C392" s="16">
        <v>4</v>
      </c>
      <c r="D392" s="25">
        <v>24</v>
      </c>
      <c r="E392" s="25">
        <v>118</v>
      </c>
      <c r="F392" s="25" t="s">
        <v>115</v>
      </c>
    </row>
    <row r="393" spans="1:6" ht="14.25" x14ac:dyDescent="0.15">
      <c r="A393" s="25" t="s">
        <v>41</v>
      </c>
      <c r="B393" s="25">
        <v>385</v>
      </c>
      <c r="C393" s="16">
        <v>4</v>
      </c>
      <c r="D393" s="25">
        <v>25</v>
      </c>
      <c r="E393" s="25">
        <v>123</v>
      </c>
      <c r="F393" s="25" t="s">
        <v>118</v>
      </c>
    </row>
    <row r="394" spans="1:6" ht="14.25" x14ac:dyDescent="0.15">
      <c r="A394" s="30" t="s">
        <v>41</v>
      </c>
      <c r="B394" s="25">
        <v>386</v>
      </c>
      <c r="C394" s="16">
        <v>4</v>
      </c>
      <c r="D394" s="25">
        <v>26</v>
      </c>
      <c r="E394" s="25">
        <v>127</v>
      </c>
      <c r="F394" s="25" t="s">
        <v>121</v>
      </c>
    </row>
    <row r="395" spans="1:6" ht="14.25" x14ac:dyDescent="0.15">
      <c r="A395" s="25" t="s">
        <v>41</v>
      </c>
      <c r="B395" s="25">
        <v>387</v>
      </c>
      <c r="C395" s="16">
        <v>4</v>
      </c>
      <c r="D395" s="25">
        <v>27</v>
      </c>
      <c r="E395" s="25">
        <v>132</v>
      </c>
      <c r="F395" s="25" t="s">
        <v>124</v>
      </c>
    </row>
    <row r="396" spans="1:6" ht="14.25" x14ac:dyDescent="0.15">
      <c r="A396" s="30" t="s">
        <v>41</v>
      </c>
      <c r="B396" s="25">
        <v>388</v>
      </c>
      <c r="C396" s="16">
        <v>4</v>
      </c>
      <c r="D396" s="25">
        <v>28</v>
      </c>
      <c r="E396" s="25">
        <v>136</v>
      </c>
      <c r="F396" s="25" t="s">
        <v>127</v>
      </c>
    </row>
    <row r="397" spans="1:6" ht="14.25" x14ac:dyDescent="0.15">
      <c r="A397" s="25" t="s">
        <v>41</v>
      </c>
      <c r="B397" s="25">
        <v>389</v>
      </c>
      <c r="C397" s="16">
        <v>4</v>
      </c>
      <c r="D397" s="25">
        <v>29</v>
      </c>
      <c r="E397" s="25">
        <v>141</v>
      </c>
      <c r="F397" s="25" t="s">
        <v>130</v>
      </c>
    </row>
    <row r="398" spans="1:6" ht="14.25" x14ac:dyDescent="0.15">
      <c r="A398" s="30" t="s">
        <v>41</v>
      </c>
      <c r="B398" s="25">
        <v>390</v>
      </c>
      <c r="C398" s="16">
        <v>4</v>
      </c>
      <c r="D398" s="25">
        <v>30</v>
      </c>
      <c r="E398" s="25">
        <v>145</v>
      </c>
      <c r="F398" s="25" t="s">
        <v>133</v>
      </c>
    </row>
    <row r="399" spans="1:6" ht="14.25" x14ac:dyDescent="0.15">
      <c r="A399" s="25" t="s">
        <v>41</v>
      </c>
      <c r="B399" s="25">
        <v>391</v>
      </c>
      <c r="C399" s="16">
        <v>4</v>
      </c>
      <c r="D399" s="25">
        <v>31</v>
      </c>
      <c r="E399" s="25">
        <v>150</v>
      </c>
      <c r="F399" s="25" t="s">
        <v>136</v>
      </c>
    </row>
    <row r="400" spans="1:6" ht="14.25" x14ac:dyDescent="0.15">
      <c r="A400" s="30" t="s">
        <v>41</v>
      </c>
      <c r="B400" s="25">
        <v>392</v>
      </c>
      <c r="C400" s="16">
        <v>4</v>
      </c>
      <c r="D400" s="25">
        <v>32</v>
      </c>
      <c r="E400" s="25">
        <v>154</v>
      </c>
      <c r="F400" s="25" t="s">
        <v>139</v>
      </c>
    </row>
    <row r="401" spans="1:6" ht="14.25" x14ac:dyDescent="0.15">
      <c r="A401" s="25" t="s">
        <v>41</v>
      </c>
      <c r="B401" s="25">
        <v>393</v>
      </c>
      <c r="C401" s="16">
        <v>4</v>
      </c>
      <c r="D401" s="25">
        <v>33</v>
      </c>
      <c r="E401" s="25">
        <v>159</v>
      </c>
      <c r="F401" s="25" t="s">
        <v>1094</v>
      </c>
    </row>
    <row r="402" spans="1:6" ht="14.25" x14ac:dyDescent="0.15">
      <c r="A402" s="30" t="s">
        <v>41</v>
      </c>
      <c r="B402" s="25">
        <v>394</v>
      </c>
      <c r="C402" s="16">
        <v>4</v>
      </c>
      <c r="D402" s="25">
        <v>34</v>
      </c>
      <c r="E402" s="25">
        <v>163</v>
      </c>
      <c r="F402" s="25" t="s">
        <v>149</v>
      </c>
    </row>
    <row r="403" spans="1:6" ht="14.25" x14ac:dyDescent="0.15">
      <c r="A403" s="25" t="s">
        <v>41</v>
      </c>
      <c r="B403" s="25">
        <v>395</v>
      </c>
      <c r="C403" s="16">
        <v>4</v>
      </c>
      <c r="D403" s="25">
        <v>35</v>
      </c>
      <c r="E403" s="25">
        <v>168</v>
      </c>
      <c r="F403" s="25" t="s">
        <v>154</v>
      </c>
    </row>
    <row r="404" spans="1:6" ht="14.25" x14ac:dyDescent="0.15">
      <c r="A404" s="30" t="s">
        <v>41</v>
      </c>
      <c r="B404" s="25">
        <v>396</v>
      </c>
      <c r="C404" s="16">
        <v>4</v>
      </c>
      <c r="D404" s="25">
        <v>36</v>
      </c>
      <c r="E404" s="25">
        <v>172</v>
      </c>
      <c r="F404" s="25" t="s">
        <v>159</v>
      </c>
    </row>
    <row r="405" spans="1:6" ht="14.25" x14ac:dyDescent="0.15">
      <c r="A405" s="25" t="s">
        <v>41</v>
      </c>
      <c r="B405" s="25">
        <v>397</v>
      </c>
      <c r="C405" s="16">
        <v>4</v>
      </c>
      <c r="D405" s="25">
        <v>37</v>
      </c>
      <c r="E405" s="25">
        <v>177</v>
      </c>
      <c r="F405" s="25" t="s">
        <v>164</v>
      </c>
    </row>
    <row r="406" spans="1:6" ht="14.25" x14ac:dyDescent="0.15">
      <c r="A406" s="30" t="s">
        <v>41</v>
      </c>
      <c r="B406" s="25">
        <v>398</v>
      </c>
      <c r="C406" s="16">
        <v>4</v>
      </c>
      <c r="D406" s="25">
        <v>38</v>
      </c>
      <c r="E406" s="25">
        <v>181</v>
      </c>
      <c r="F406" s="25" t="s">
        <v>169</v>
      </c>
    </row>
    <row r="407" spans="1:6" ht="14.25" x14ac:dyDescent="0.15">
      <c r="A407" s="25" t="s">
        <v>41</v>
      </c>
      <c r="B407" s="25">
        <v>399</v>
      </c>
      <c r="C407" s="16">
        <v>4</v>
      </c>
      <c r="D407" s="25">
        <v>39</v>
      </c>
      <c r="E407" s="25">
        <v>186</v>
      </c>
      <c r="F407" s="25" t="s">
        <v>174</v>
      </c>
    </row>
    <row r="408" spans="1:6" ht="14.25" x14ac:dyDescent="0.15">
      <c r="A408" s="30" t="s">
        <v>41</v>
      </c>
      <c r="B408" s="25">
        <v>400</v>
      </c>
      <c r="C408" s="16">
        <v>4</v>
      </c>
      <c r="D408" s="25">
        <v>40</v>
      </c>
      <c r="E408" s="25">
        <v>190</v>
      </c>
      <c r="F408" s="25" t="s">
        <v>179</v>
      </c>
    </row>
    <row r="409" spans="1:6" ht="14.25" x14ac:dyDescent="0.15">
      <c r="A409" s="25" t="s">
        <v>41</v>
      </c>
      <c r="B409" s="25">
        <v>401</v>
      </c>
      <c r="C409" s="16">
        <v>4</v>
      </c>
      <c r="D409" s="25">
        <v>41</v>
      </c>
      <c r="E409" s="25">
        <v>195</v>
      </c>
      <c r="F409" s="25" t="s">
        <v>1095</v>
      </c>
    </row>
    <row r="410" spans="1:6" ht="14.25" x14ac:dyDescent="0.15">
      <c r="A410" s="30" t="s">
        <v>41</v>
      </c>
      <c r="B410" s="25">
        <v>402</v>
      </c>
      <c r="C410" s="16">
        <v>4</v>
      </c>
      <c r="D410" s="25">
        <v>42</v>
      </c>
      <c r="E410" s="25">
        <v>199</v>
      </c>
      <c r="F410" s="25" t="s">
        <v>1096</v>
      </c>
    </row>
    <row r="411" spans="1:6" ht="14.25" x14ac:dyDescent="0.15">
      <c r="A411" s="25" t="s">
        <v>41</v>
      </c>
      <c r="B411" s="25">
        <v>403</v>
      </c>
      <c r="C411" s="16">
        <v>4</v>
      </c>
      <c r="D411" s="25">
        <v>43</v>
      </c>
      <c r="E411" s="25">
        <v>204</v>
      </c>
      <c r="F411" s="25" t="s">
        <v>1097</v>
      </c>
    </row>
    <row r="412" spans="1:6" ht="14.25" x14ac:dyDescent="0.15">
      <c r="A412" s="30" t="s">
        <v>41</v>
      </c>
      <c r="B412" s="25">
        <v>404</v>
      </c>
      <c r="C412" s="16">
        <v>4</v>
      </c>
      <c r="D412" s="25">
        <v>44</v>
      </c>
      <c r="E412" s="25">
        <v>208</v>
      </c>
      <c r="F412" s="25" t="s">
        <v>1098</v>
      </c>
    </row>
    <row r="413" spans="1:6" ht="14.25" x14ac:dyDescent="0.15">
      <c r="A413" s="25" t="s">
        <v>41</v>
      </c>
      <c r="B413" s="25">
        <v>405</v>
      </c>
      <c r="C413" s="16">
        <v>4</v>
      </c>
      <c r="D413" s="25">
        <v>45</v>
      </c>
      <c r="E413" s="25">
        <v>213</v>
      </c>
      <c r="F413" s="25" t="s">
        <v>1099</v>
      </c>
    </row>
    <row r="414" spans="1:6" ht="14.25" x14ac:dyDescent="0.15">
      <c r="A414" s="30" t="s">
        <v>41</v>
      </c>
      <c r="B414" s="25">
        <v>406</v>
      </c>
      <c r="C414" s="16">
        <v>4</v>
      </c>
      <c r="D414" s="25">
        <v>46</v>
      </c>
      <c r="E414" s="25">
        <v>217</v>
      </c>
      <c r="F414" s="25" t="s">
        <v>1100</v>
      </c>
    </row>
    <row r="415" spans="1:6" ht="14.25" x14ac:dyDescent="0.15">
      <c r="A415" s="25" t="s">
        <v>41</v>
      </c>
      <c r="B415" s="25">
        <v>407</v>
      </c>
      <c r="C415" s="16">
        <v>4</v>
      </c>
      <c r="D415" s="25">
        <v>47</v>
      </c>
      <c r="E415" s="25">
        <v>222</v>
      </c>
      <c r="F415" s="25" t="s">
        <v>1101</v>
      </c>
    </row>
    <row r="416" spans="1:6" ht="14.25" x14ac:dyDescent="0.15">
      <c r="A416" s="30" t="s">
        <v>41</v>
      </c>
      <c r="B416" s="25">
        <v>408</v>
      </c>
      <c r="C416" s="16">
        <v>4</v>
      </c>
      <c r="D416" s="25">
        <v>48</v>
      </c>
      <c r="E416" s="25">
        <v>226</v>
      </c>
      <c r="F416" s="25" t="s">
        <v>1102</v>
      </c>
    </row>
    <row r="417" spans="1:6" ht="14.25" x14ac:dyDescent="0.15">
      <c r="A417" s="25" t="s">
        <v>41</v>
      </c>
      <c r="B417" s="25">
        <v>409</v>
      </c>
      <c r="C417" s="16">
        <v>4</v>
      </c>
      <c r="D417" s="25">
        <v>49</v>
      </c>
      <c r="E417" s="25">
        <v>231</v>
      </c>
      <c r="F417" s="25" t="s">
        <v>1103</v>
      </c>
    </row>
    <row r="418" spans="1:6" ht="14.25" x14ac:dyDescent="0.15">
      <c r="A418" s="30" t="s">
        <v>41</v>
      </c>
      <c r="B418" s="25">
        <v>410</v>
      </c>
      <c r="C418" s="16">
        <v>4</v>
      </c>
      <c r="D418" s="25">
        <v>50</v>
      </c>
      <c r="E418" s="25">
        <v>235</v>
      </c>
      <c r="F418" s="25" t="s">
        <v>630</v>
      </c>
    </row>
    <row r="419" spans="1:6" ht="14.25" x14ac:dyDescent="0.15">
      <c r="A419" s="25" t="s">
        <v>41</v>
      </c>
      <c r="B419" s="25">
        <v>411</v>
      </c>
      <c r="C419" s="16">
        <v>4</v>
      </c>
      <c r="D419" s="25">
        <v>51</v>
      </c>
      <c r="E419" s="25">
        <v>240</v>
      </c>
      <c r="F419" s="25" t="s">
        <v>1104</v>
      </c>
    </row>
    <row r="420" spans="1:6" ht="14.25" x14ac:dyDescent="0.15">
      <c r="A420" s="30" t="s">
        <v>41</v>
      </c>
      <c r="B420" s="25">
        <v>412</v>
      </c>
      <c r="C420" s="16">
        <v>4</v>
      </c>
      <c r="D420" s="25">
        <v>52</v>
      </c>
      <c r="E420" s="25">
        <v>244</v>
      </c>
      <c r="F420" s="25" t="s">
        <v>1105</v>
      </c>
    </row>
    <row r="421" spans="1:6" ht="14.25" x14ac:dyDescent="0.15">
      <c r="A421" s="25" t="s">
        <v>41</v>
      </c>
      <c r="B421" s="25">
        <v>413</v>
      </c>
      <c r="C421" s="16">
        <v>4</v>
      </c>
      <c r="D421" s="25">
        <v>53</v>
      </c>
      <c r="E421" s="25">
        <v>249</v>
      </c>
      <c r="F421" s="25" t="s">
        <v>1106</v>
      </c>
    </row>
    <row r="422" spans="1:6" ht="14.25" x14ac:dyDescent="0.15">
      <c r="A422" s="30" t="s">
        <v>41</v>
      </c>
      <c r="B422" s="25">
        <v>414</v>
      </c>
      <c r="C422" s="16">
        <v>4</v>
      </c>
      <c r="D422" s="25">
        <v>54</v>
      </c>
      <c r="E422" s="25">
        <v>253</v>
      </c>
      <c r="F422" s="25" t="s">
        <v>1107</v>
      </c>
    </row>
    <row r="423" spans="1:6" ht="14.25" x14ac:dyDescent="0.15">
      <c r="A423" s="25" t="s">
        <v>41</v>
      </c>
      <c r="B423" s="25">
        <v>415</v>
      </c>
      <c r="C423" s="16">
        <v>4</v>
      </c>
      <c r="D423" s="25">
        <v>55</v>
      </c>
      <c r="E423" s="25">
        <v>258</v>
      </c>
      <c r="F423" s="25" t="s">
        <v>1108</v>
      </c>
    </row>
    <row r="424" spans="1:6" ht="14.25" x14ac:dyDescent="0.15">
      <c r="A424" s="30" t="s">
        <v>41</v>
      </c>
      <c r="B424" s="25">
        <v>416</v>
      </c>
      <c r="C424" s="16">
        <v>4</v>
      </c>
      <c r="D424" s="25">
        <v>56</v>
      </c>
      <c r="E424" s="25">
        <v>262</v>
      </c>
      <c r="F424" s="25" t="s">
        <v>1109</v>
      </c>
    </row>
    <row r="425" spans="1:6" ht="14.25" x14ac:dyDescent="0.15">
      <c r="A425" s="25" t="s">
        <v>41</v>
      </c>
      <c r="B425" s="25">
        <v>417</v>
      </c>
      <c r="C425" s="16">
        <v>4</v>
      </c>
      <c r="D425" s="25">
        <v>57</v>
      </c>
      <c r="E425" s="25">
        <v>267</v>
      </c>
      <c r="F425" s="25" t="s">
        <v>1110</v>
      </c>
    </row>
    <row r="426" spans="1:6" ht="14.25" x14ac:dyDescent="0.15">
      <c r="A426" s="30" t="s">
        <v>41</v>
      </c>
      <c r="B426" s="25">
        <v>418</v>
      </c>
      <c r="C426" s="16">
        <v>4</v>
      </c>
      <c r="D426" s="25">
        <v>58</v>
      </c>
      <c r="E426" s="25">
        <v>271</v>
      </c>
      <c r="F426" s="25" t="s">
        <v>1111</v>
      </c>
    </row>
    <row r="427" spans="1:6" ht="14.25" x14ac:dyDescent="0.15">
      <c r="A427" s="25" t="s">
        <v>41</v>
      </c>
      <c r="B427" s="25">
        <v>419</v>
      </c>
      <c r="C427" s="16">
        <v>4</v>
      </c>
      <c r="D427" s="25">
        <v>59</v>
      </c>
      <c r="E427" s="25">
        <v>276</v>
      </c>
      <c r="F427" s="25" t="s">
        <v>1112</v>
      </c>
    </row>
    <row r="428" spans="1:6" ht="14.25" x14ac:dyDescent="0.15">
      <c r="A428" s="30" t="s">
        <v>41</v>
      </c>
      <c r="B428" s="25">
        <v>420</v>
      </c>
      <c r="C428" s="16">
        <v>4</v>
      </c>
      <c r="D428" s="25">
        <v>60</v>
      </c>
      <c r="E428" s="25">
        <v>280</v>
      </c>
      <c r="F428" s="25" t="s">
        <v>631</v>
      </c>
    </row>
    <row r="429" spans="1:6" ht="14.25" x14ac:dyDescent="0.15">
      <c r="A429" s="25" t="s">
        <v>41</v>
      </c>
      <c r="B429" s="25">
        <v>421</v>
      </c>
      <c r="C429" s="16">
        <v>4</v>
      </c>
      <c r="D429" s="25">
        <v>61</v>
      </c>
      <c r="E429" s="25">
        <v>285</v>
      </c>
      <c r="F429" s="25" t="s">
        <v>1113</v>
      </c>
    </row>
    <row r="430" spans="1:6" ht="14.25" x14ac:dyDescent="0.15">
      <c r="A430" s="30" t="s">
        <v>41</v>
      </c>
      <c r="B430" s="25">
        <v>422</v>
      </c>
      <c r="C430" s="16">
        <v>4</v>
      </c>
      <c r="D430" s="25">
        <v>62</v>
      </c>
      <c r="E430" s="25">
        <v>289</v>
      </c>
      <c r="F430" s="25" t="s">
        <v>1114</v>
      </c>
    </row>
    <row r="431" spans="1:6" ht="14.25" x14ac:dyDescent="0.15">
      <c r="A431" s="25" t="s">
        <v>41</v>
      </c>
      <c r="B431" s="25">
        <v>423</v>
      </c>
      <c r="C431" s="16">
        <v>4</v>
      </c>
      <c r="D431" s="25">
        <v>63</v>
      </c>
      <c r="E431" s="25">
        <v>294</v>
      </c>
      <c r="F431" s="25" t="s">
        <v>1115</v>
      </c>
    </row>
    <row r="432" spans="1:6" ht="14.25" x14ac:dyDescent="0.15">
      <c r="A432" s="30" t="s">
        <v>41</v>
      </c>
      <c r="B432" s="25">
        <v>424</v>
      </c>
      <c r="C432" s="16">
        <v>4</v>
      </c>
      <c r="D432" s="25">
        <v>64</v>
      </c>
      <c r="E432" s="25">
        <v>298</v>
      </c>
      <c r="F432" s="25" t="s">
        <v>1116</v>
      </c>
    </row>
    <row r="433" spans="1:6" ht="14.25" x14ac:dyDescent="0.15">
      <c r="A433" s="25" t="s">
        <v>41</v>
      </c>
      <c r="B433" s="25">
        <v>425</v>
      </c>
      <c r="C433" s="16">
        <v>4</v>
      </c>
      <c r="D433" s="25">
        <v>65</v>
      </c>
      <c r="E433" s="25">
        <v>303</v>
      </c>
      <c r="F433" s="25" t="s">
        <v>1117</v>
      </c>
    </row>
    <row r="434" spans="1:6" ht="14.25" x14ac:dyDescent="0.15">
      <c r="A434" s="30" t="s">
        <v>41</v>
      </c>
      <c r="B434" s="25">
        <v>426</v>
      </c>
      <c r="C434" s="16">
        <v>4</v>
      </c>
      <c r="D434" s="25">
        <v>66</v>
      </c>
      <c r="E434" s="25">
        <v>307</v>
      </c>
      <c r="F434" s="25" t="s">
        <v>1118</v>
      </c>
    </row>
    <row r="435" spans="1:6" ht="14.25" x14ac:dyDescent="0.15">
      <c r="A435" s="25" t="s">
        <v>41</v>
      </c>
      <c r="B435" s="25">
        <v>427</v>
      </c>
      <c r="C435" s="16">
        <v>4</v>
      </c>
      <c r="D435" s="25">
        <v>67</v>
      </c>
      <c r="E435" s="25">
        <v>312</v>
      </c>
      <c r="F435" s="25" t="s">
        <v>1119</v>
      </c>
    </row>
    <row r="436" spans="1:6" ht="14.25" x14ac:dyDescent="0.15">
      <c r="A436" s="30" t="s">
        <v>41</v>
      </c>
      <c r="B436" s="25">
        <v>428</v>
      </c>
      <c r="C436" s="16">
        <v>4</v>
      </c>
      <c r="D436" s="25">
        <v>68</v>
      </c>
      <c r="E436" s="25">
        <v>316</v>
      </c>
      <c r="F436" s="25" t="s">
        <v>1120</v>
      </c>
    </row>
    <row r="437" spans="1:6" ht="14.25" x14ac:dyDescent="0.15">
      <c r="A437" s="25" t="s">
        <v>41</v>
      </c>
      <c r="B437" s="25">
        <v>429</v>
      </c>
      <c r="C437" s="16">
        <v>4</v>
      </c>
      <c r="D437" s="25">
        <v>69</v>
      </c>
      <c r="E437" s="25">
        <v>321</v>
      </c>
      <c r="F437" s="25" t="s">
        <v>1121</v>
      </c>
    </row>
    <row r="438" spans="1:6" ht="14.25" x14ac:dyDescent="0.15">
      <c r="A438" s="30" t="s">
        <v>41</v>
      </c>
      <c r="B438" s="25">
        <v>430</v>
      </c>
      <c r="C438" s="16">
        <v>4</v>
      </c>
      <c r="D438" s="25">
        <v>70</v>
      </c>
      <c r="E438" s="25">
        <v>325</v>
      </c>
      <c r="F438" s="25" t="s">
        <v>1122</v>
      </c>
    </row>
    <row r="439" spans="1:6" ht="14.25" x14ac:dyDescent="0.15">
      <c r="A439" s="25" t="s">
        <v>41</v>
      </c>
      <c r="B439" s="25">
        <v>431</v>
      </c>
      <c r="C439" s="16">
        <v>4</v>
      </c>
      <c r="D439" s="25">
        <v>71</v>
      </c>
      <c r="E439" s="25">
        <v>330</v>
      </c>
      <c r="F439" s="25" t="s">
        <v>1123</v>
      </c>
    </row>
    <row r="440" spans="1:6" ht="14.25" x14ac:dyDescent="0.15">
      <c r="A440" s="30" t="s">
        <v>41</v>
      </c>
      <c r="B440" s="25">
        <v>432</v>
      </c>
      <c r="C440" s="16">
        <v>4</v>
      </c>
      <c r="D440" s="25">
        <v>72</v>
      </c>
      <c r="E440" s="25">
        <v>334</v>
      </c>
      <c r="F440" s="25" t="s">
        <v>1124</v>
      </c>
    </row>
    <row r="441" spans="1:6" ht="14.25" x14ac:dyDescent="0.15">
      <c r="A441" s="25" t="s">
        <v>41</v>
      </c>
      <c r="B441" s="25">
        <v>433</v>
      </c>
      <c r="C441" s="16">
        <v>4</v>
      </c>
      <c r="D441" s="25">
        <v>73</v>
      </c>
      <c r="E441" s="25">
        <v>339</v>
      </c>
      <c r="F441" s="25" t="s">
        <v>1125</v>
      </c>
    </row>
    <row r="442" spans="1:6" ht="14.25" x14ac:dyDescent="0.15">
      <c r="A442" s="30" t="s">
        <v>41</v>
      </c>
      <c r="B442" s="25">
        <v>434</v>
      </c>
      <c r="C442" s="16">
        <v>4</v>
      </c>
      <c r="D442" s="25">
        <v>74</v>
      </c>
      <c r="E442" s="25">
        <v>343</v>
      </c>
      <c r="F442" s="25" t="s">
        <v>1126</v>
      </c>
    </row>
    <row r="443" spans="1:6" ht="14.25" x14ac:dyDescent="0.15">
      <c r="A443" s="25" t="s">
        <v>41</v>
      </c>
      <c r="B443" s="25">
        <v>435</v>
      </c>
      <c r="C443" s="16">
        <v>4</v>
      </c>
      <c r="D443" s="25">
        <v>75</v>
      </c>
      <c r="E443" s="25">
        <v>348</v>
      </c>
      <c r="F443" s="25" t="s">
        <v>1127</v>
      </c>
    </row>
    <row r="444" spans="1:6" ht="14.25" x14ac:dyDescent="0.15">
      <c r="A444" s="30" t="s">
        <v>41</v>
      </c>
      <c r="B444" s="25">
        <v>436</v>
      </c>
      <c r="C444" s="16">
        <v>4</v>
      </c>
      <c r="D444" s="25">
        <v>76</v>
      </c>
      <c r="E444" s="25">
        <v>352</v>
      </c>
      <c r="F444" s="25" t="s">
        <v>1128</v>
      </c>
    </row>
    <row r="445" spans="1:6" ht="14.25" x14ac:dyDescent="0.15">
      <c r="A445" s="25" t="s">
        <v>41</v>
      </c>
      <c r="B445" s="25">
        <v>437</v>
      </c>
      <c r="C445" s="16">
        <v>4</v>
      </c>
      <c r="D445" s="25">
        <v>77</v>
      </c>
      <c r="E445" s="25">
        <v>357</v>
      </c>
      <c r="F445" s="25" t="s">
        <v>1129</v>
      </c>
    </row>
    <row r="446" spans="1:6" ht="14.25" x14ac:dyDescent="0.15">
      <c r="A446" s="30" t="s">
        <v>41</v>
      </c>
      <c r="B446" s="25">
        <v>438</v>
      </c>
      <c r="C446" s="16">
        <v>4</v>
      </c>
      <c r="D446" s="25">
        <v>78</v>
      </c>
      <c r="E446" s="25">
        <v>361</v>
      </c>
      <c r="F446" s="25" t="s">
        <v>1130</v>
      </c>
    </row>
    <row r="447" spans="1:6" ht="14.25" x14ac:dyDescent="0.15">
      <c r="A447" s="25" t="s">
        <v>41</v>
      </c>
      <c r="B447" s="25">
        <v>439</v>
      </c>
      <c r="C447" s="16">
        <v>4</v>
      </c>
      <c r="D447" s="25">
        <v>79</v>
      </c>
      <c r="E447" s="25">
        <v>366</v>
      </c>
      <c r="F447" s="25" t="s">
        <v>1131</v>
      </c>
    </row>
    <row r="448" spans="1:6" ht="14.25" x14ac:dyDescent="0.15">
      <c r="A448" s="30" t="s">
        <v>41</v>
      </c>
      <c r="B448" s="25">
        <v>440</v>
      </c>
      <c r="C448" s="16">
        <v>4</v>
      </c>
      <c r="D448" s="25">
        <v>80</v>
      </c>
      <c r="E448" s="25">
        <v>370</v>
      </c>
      <c r="F448" s="25" t="s">
        <v>1132</v>
      </c>
    </row>
    <row r="449" spans="1:6" ht="14.25" x14ac:dyDescent="0.15">
      <c r="A449" s="25" t="s">
        <v>41</v>
      </c>
      <c r="B449" s="25">
        <v>441</v>
      </c>
      <c r="C449" s="16">
        <v>4</v>
      </c>
      <c r="D449" s="25">
        <v>81</v>
      </c>
      <c r="E449" s="25">
        <v>375</v>
      </c>
      <c r="F449" s="25" t="s">
        <v>1133</v>
      </c>
    </row>
    <row r="450" spans="1:6" ht="14.25" x14ac:dyDescent="0.15">
      <c r="A450" s="30" t="s">
        <v>41</v>
      </c>
      <c r="B450" s="25">
        <v>442</v>
      </c>
      <c r="C450" s="16">
        <v>4</v>
      </c>
      <c r="D450" s="25">
        <v>82</v>
      </c>
      <c r="E450" s="25">
        <v>379</v>
      </c>
      <c r="F450" s="25" t="s">
        <v>1134</v>
      </c>
    </row>
    <row r="451" spans="1:6" ht="14.25" x14ac:dyDescent="0.15">
      <c r="A451" s="25" t="s">
        <v>41</v>
      </c>
      <c r="B451" s="25">
        <v>443</v>
      </c>
      <c r="C451" s="16">
        <v>4</v>
      </c>
      <c r="D451" s="25">
        <v>83</v>
      </c>
      <c r="E451" s="25">
        <v>384</v>
      </c>
      <c r="F451" s="25" t="s">
        <v>1135</v>
      </c>
    </row>
    <row r="452" spans="1:6" ht="14.25" x14ac:dyDescent="0.15">
      <c r="A452" s="30" t="s">
        <v>41</v>
      </c>
      <c r="B452" s="25">
        <v>444</v>
      </c>
      <c r="C452" s="16">
        <v>4</v>
      </c>
      <c r="D452" s="25">
        <v>84</v>
      </c>
      <c r="E452" s="25">
        <v>388</v>
      </c>
      <c r="F452" s="25" t="s">
        <v>1136</v>
      </c>
    </row>
    <row r="453" spans="1:6" ht="14.25" x14ac:dyDescent="0.15">
      <c r="A453" s="25" t="s">
        <v>41</v>
      </c>
      <c r="B453" s="25">
        <v>445</v>
      </c>
      <c r="C453" s="16">
        <v>4</v>
      </c>
      <c r="D453" s="25">
        <v>85</v>
      </c>
      <c r="E453" s="25">
        <v>393</v>
      </c>
      <c r="F453" s="25" t="s">
        <v>1137</v>
      </c>
    </row>
    <row r="454" spans="1:6" ht="14.25" x14ac:dyDescent="0.15">
      <c r="A454" s="30" t="s">
        <v>41</v>
      </c>
      <c r="B454" s="25">
        <v>446</v>
      </c>
      <c r="C454" s="16">
        <v>4</v>
      </c>
      <c r="D454" s="25">
        <v>86</v>
      </c>
      <c r="E454" s="25">
        <v>397</v>
      </c>
      <c r="F454" s="25" t="s">
        <v>322</v>
      </c>
    </row>
    <row r="455" spans="1:6" ht="14.25" x14ac:dyDescent="0.15">
      <c r="A455" s="25" t="s">
        <v>41</v>
      </c>
      <c r="B455" s="25">
        <v>447</v>
      </c>
      <c r="C455" s="16">
        <v>4</v>
      </c>
      <c r="D455" s="25">
        <v>87</v>
      </c>
      <c r="E455" s="25">
        <v>402</v>
      </c>
      <c r="F455" s="25" t="s">
        <v>1138</v>
      </c>
    </row>
    <row r="456" spans="1:6" ht="14.25" x14ac:dyDescent="0.15">
      <c r="A456" s="30" t="s">
        <v>41</v>
      </c>
      <c r="B456" s="25">
        <v>448</v>
      </c>
      <c r="C456" s="16">
        <v>4</v>
      </c>
      <c r="D456" s="25">
        <v>88</v>
      </c>
      <c r="E456" s="25">
        <v>406</v>
      </c>
      <c r="F456" s="25" t="s">
        <v>1139</v>
      </c>
    </row>
    <row r="457" spans="1:6" ht="14.25" x14ac:dyDescent="0.15">
      <c r="A457" s="25" t="s">
        <v>41</v>
      </c>
      <c r="B457" s="25">
        <v>449</v>
      </c>
      <c r="C457" s="16">
        <v>4</v>
      </c>
      <c r="D457" s="25">
        <v>89</v>
      </c>
      <c r="E457" s="25">
        <v>411</v>
      </c>
      <c r="F457" s="25" t="s">
        <v>1140</v>
      </c>
    </row>
    <row r="458" spans="1:6" ht="14.25" x14ac:dyDescent="0.15">
      <c r="A458" s="30" t="s">
        <v>41</v>
      </c>
      <c r="B458" s="25">
        <v>450</v>
      </c>
      <c r="C458" s="16">
        <v>4</v>
      </c>
      <c r="D458" s="25">
        <v>90</v>
      </c>
      <c r="E458" s="25">
        <v>415</v>
      </c>
      <c r="F458" s="25" t="s">
        <v>1141</v>
      </c>
    </row>
    <row r="459" spans="1:6" ht="14.25" x14ac:dyDescent="0.15">
      <c r="A459" s="25" t="s">
        <v>41</v>
      </c>
      <c r="B459" s="25">
        <v>451</v>
      </c>
      <c r="C459" s="16">
        <v>4</v>
      </c>
      <c r="D459" s="25">
        <v>91</v>
      </c>
      <c r="E459" s="25">
        <v>420</v>
      </c>
      <c r="F459" s="25" t="s">
        <v>1142</v>
      </c>
    </row>
    <row r="460" spans="1:6" ht="14.25" x14ac:dyDescent="0.15">
      <c r="A460" s="30" t="s">
        <v>41</v>
      </c>
      <c r="B460" s="25">
        <v>452</v>
      </c>
      <c r="C460" s="16">
        <v>4</v>
      </c>
      <c r="D460" s="25">
        <v>92</v>
      </c>
      <c r="E460" s="25">
        <v>424</v>
      </c>
      <c r="F460" s="25" t="s">
        <v>1143</v>
      </c>
    </row>
    <row r="461" spans="1:6" ht="14.25" x14ac:dyDescent="0.15">
      <c r="A461" s="25" t="s">
        <v>41</v>
      </c>
      <c r="B461" s="25">
        <v>453</v>
      </c>
      <c r="C461" s="16">
        <v>4</v>
      </c>
      <c r="D461" s="25">
        <v>93</v>
      </c>
      <c r="E461" s="25">
        <v>429</v>
      </c>
      <c r="F461" s="25" t="s">
        <v>1144</v>
      </c>
    </row>
    <row r="462" spans="1:6" ht="14.25" x14ac:dyDescent="0.15">
      <c r="A462" s="30" t="s">
        <v>41</v>
      </c>
      <c r="B462" s="25">
        <v>454</v>
      </c>
      <c r="C462" s="16">
        <v>4</v>
      </c>
      <c r="D462" s="25">
        <v>94</v>
      </c>
      <c r="E462" s="25">
        <v>433</v>
      </c>
      <c r="F462" s="25" t="s">
        <v>1145</v>
      </c>
    </row>
    <row r="463" spans="1:6" ht="14.25" x14ac:dyDescent="0.15">
      <c r="A463" s="25" t="s">
        <v>41</v>
      </c>
      <c r="B463" s="25">
        <v>455</v>
      </c>
      <c r="C463" s="16">
        <v>4</v>
      </c>
      <c r="D463" s="25">
        <v>95</v>
      </c>
      <c r="E463" s="25">
        <v>438</v>
      </c>
      <c r="F463" s="25" t="s">
        <v>1146</v>
      </c>
    </row>
    <row r="464" spans="1:6" ht="14.25" x14ac:dyDescent="0.15">
      <c r="A464" s="30" t="s">
        <v>41</v>
      </c>
      <c r="B464" s="25">
        <v>456</v>
      </c>
      <c r="C464" s="16">
        <v>4</v>
      </c>
      <c r="D464" s="25">
        <v>96</v>
      </c>
      <c r="E464" s="25">
        <v>442</v>
      </c>
      <c r="F464" s="25" t="s">
        <v>1147</v>
      </c>
    </row>
    <row r="465" spans="1:6" ht="14.25" x14ac:dyDescent="0.15">
      <c r="A465" s="25" t="s">
        <v>41</v>
      </c>
      <c r="B465" s="25">
        <v>457</v>
      </c>
      <c r="C465" s="16">
        <v>4</v>
      </c>
      <c r="D465" s="25">
        <v>97</v>
      </c>
      <c r="E465" s="25">
        <v>447</v>
      </c>
      <c r="F465" s="25" t="s">
        <v>1148</v>
      </c>
    </row>
    <row r="466" spans="1:6" ht="14.25" x14ac:dyDescent="0.15">
      <c r="A466" s="30" t="s">
        <v>41</v>
      </c>
      <c r="B466" s="25">
        <v>458</v>
      </c>
      <c r="C466" s="16">
        <v>4</v>
      </c>
      <c r="D466" s="25">
        <v>98</v>
      </c>
      <c r="E466" s="25">
        <v>451</v>
      </c>
      <c r="F466" s="25" t="s">
        <v>1149</v>
      </c>
    </row>
    <row r="467" spans="1:6" ht="14.25" x14ac:dyDescent="0.15">
      <c r="A467" s="25" t="s">
        <v>41</v>
      </c>
      <c r="B467" s="25">
        <v>459</v>
      </c>
      <c r="C467" s="16">
        <v>4</v>
      </c>
      <c r="D467" s="25">
        <v>99</v>
      </c>
      <c r="E467" s="25">
        <v>456</v>
      </c>
      <c r="F467" s="25" t="s">
        <v>1150</v>
      </c>
    </row>
    <row r="468" spans="1:6" ht="14.25" x14ac:dyDescent="0.15">
      <c r="A468" s="30" t="s">
        <v>41</v>
      </c>
      <c r="B468" s="25">
        <v>460</v>
      </c>
      <c r="C468" s="16">
        <v>4</v>
      </c>
      <c r="D468" s="25">
        <v>100</v>
      </c>
      <c r="E468" s="25">
        <v>460</v>
      </c>
      <c r="F468" s="25" t="s">
        <v>1151</v>
      </c>
    </row>
    <row r="469" spans="1:6" ht="14.25" x14ac:dyDescent="0.15">
      <c r="A469" s="25" t="s">
        <v>41</v>
      </c>
      <c r="B469" s="25">
        <v>461</v>
      </c>
      <c r="C469" s="16">
        <v>4</v>
      </c>
      <c r="D469" s="25">
        <v>101</v>
      </c>
      <c r="E469" s="25">
        <v>465</v>
      </c>
      <c r="F469" s="25" t="s">
        <v>1152</v>
      </c>
    </row>
    <row r="470" spans="1:6" ht="14.25" x14ac:dyDescent="0.15">
      <c r="A470" s="30" t="s">
        <v>41</v>
      </c>
      <c r="B470" s="25">
        <v>462</v>
      </c>
      <c r="C470" s="16">
        <v>4</v>
      </c>
      <c r="D470" s="25">
        <v>102</v>
      </c>
      <c r="E470" s="25">
        <v>469</v>
      </c>
      <c r="F470" s="25" t="s">
        <v>1153</v>
      </c>
    </row>
    <row r="471" spans="1:6" ht="14.25" x14ac:dyDescent="0.15">
      <c r="A471" s="25" t="s">
        <v>41</v>
      </c>
      <c r="B471" s="25">
        <v>463</v>
      </c>
      <c r="C471" s="16">
        <v>4</v>
      </c>
      <c r="D471" s="25">
        <v>103</v>
      </c>
      <c r="E471" s="25">
        <v>474</v>
      </c>
      <c r="F471" s="25" t="s">
        <v>1154</v>
      </c>
    </row>
    <row r="472" spans="1:6" ht="14.25" x14ac:dyDescent="0.15">
      <c r="A472" s="30" t="s">
        <v>41</v>
      </c>
      <c r="B472" s="25">
        <v>464</v>
      </c>
      <c r="C472" s="16">
        <v>4</v>
      </c>
      <c r="D472" s="25">
        <v>104</v>
      </c>
      <c r="E472" s="25">
        <v>478</v>
      </c>
      <c r="F472" s="25" t="s">
        <v>1155</v>
      </c>
    </row>
    <row r="473" spans="1:6" ht="14.25" x14ac:dyDescent="0.15">
      <c r="A473" s="25" t="s">
        <v>41</v>
      </c>
      <c r="B473" s="25">
        <v>465</v>
      </c>
      <c r="C473" s="16">
        <v>4</v>
      </c>
      <c r="D473" s="25">
        <v>105</v>
      </c>
      <c r="E473" s="25">
        <v>483</v>
      </c>
      <c r="F473" s="25" t="s">
        <v>1156</v>
      </c>
    </row>
    <row r="474" spans="1:6" ht="14.25" x14ac:dyDescent="0.15">
      <c r="A474" s="30" t="s">
        <v>41</v>
      </c>
      <c r="B474" s="25">
        <v>466</v>
      </c>
      <c r="C474" s="16">
        <v>4</v>
      </c>
      <c r="D474" s="25">
        <v>106</v>
      </c>
      <c r="E474" s="25">
        <v>487</v>
      </c>
      <c r="F474" s="25" t="s">
        <v>1157</v>
      </c>
    </row>
    <row r="475" spans="1:6" ht="14.25" x14ac:dyDescent="0.15">
      <c r="A475" s="25" t="s">
        <v>41</v>
      </c>
      <c r="B475" s="25">
        <v>467</v>
      </c>
      <c r="C475" s="16">
        <v>4</v>
      </c>
      <c r="D475" s="25">
        <v>107</v>
      </c>
      <c r="E475" s="25">
        <v>492</v>
      </c>
      <c r="F475" s="25" t="s">
        <v>1158</v>
      </c>
    </row>
    <row r="476" spans="1:6" ht="14.25" x14ac:dyDescent="0.15">
      <c r="A476" s="30" t="s">
        <v>41</v>
      </c>
      <c r="B476" s="25">
        <v>468</v>
      </c>
      <c r="C476" s="16">
        <v>4</v>
      </c>
      <c r="D476" s="25">
        <v>108</v>
      </c>
      <c r="E476" s="25">
        <v>496</v>
      </c>
      <c r="F476" s="25" t="s">
        <v>1159</v>
      </c>
    </row>
    <row r="477" spans="1:6" ht="14.25" x14ac:dyDescent="0.15">
      <c r="A477" s="25" t="s">
        <v>41</v>
      </c>
      <c r="B477" s="25">
        <v>469</v>
      </c>
      <c r="C477" s="16">
        <v>4</v>
      </c>
      <c r="D477" s="25">
        <v>109</v>
      </c>
      <c r="E477" s="25">
        <v>501</v>
      </c>
      <c r="F477" s="25" t="s">
        <v>323</v>
      </c>
    </row>
    <row r="478" spans="1:6" ht="14.25" x14ac:dyDescent="0.15">
      <c r="A478" s="30" t="s">
        <v>41</v>
      </c>
      <c r="B478" s="25">
        <v>470</v>
      </c>
      <c r="C478" s="16">
        <v>4</v>
      </c>
      <c r="D478" s="25">
        <v>110</v>
      </c>
      <c r="E478" s="25">
        <v>505</v>
      </c>
      <c r="F478" s="25" t="s">
        <v>1160</v>
      </c>
    </row>
    <row r="479" spans="1:6" ht="14.25" x14ac:dyDescent="0.15">
      <c r="A479" s="25" t="s">
        <v>41</v>
      </c>
      <c r="B479" s="25">
        <v>471</v>
      </c>
      <c r="C479" s="16">
        <v>4</v>
      </c>
      <c r="D479" s="25">
        <v>111</v>
      </c>
      <c r="E479" s="25">
        <v>510</v>
      </c>
      <c r="F479" s="25" t="s">
        <v>1161</v>
      </c>
    </row>
    <row r="480" spans="1:6" ht="14.25" x14ac:dyDescent="0.15">
      <c r="A480" s="30" t="s">
        <v>41</v>
      </c>
      <c r="B480" s="25">
        <v>472</v>
      </c>
      <c r="C480" s="16">
        <v>4</v>
      </c>
      <c r="D480" s="25">
        <v>112</v>
      </c>
      <c r="E480" s="25">
        <v>514</v>
      </c>
      <c r="F480" s="25" t="s">
        <v>1162</v>
      </c>
    </row>
    <row r="481" spans="1:6" ht="14.25" x14ac:dyDescent="0.15">
      <c r="A481" s="25" t="s">
        <v>41</v>
      </c>
      <c r="B481" s="25">
        <v>473</v>
      </c>
      <c r="C481" s="16">
        <v>4</v>
      </c>
      <c r="D481" s="25">
        <v>113</v>
      </c>
      <c r="E481" s="25">
        <v>519</v>
      </c>
      <c r="F481" s="25" t="s">
        <v>1163</v>
      </c>
    </row>
    <row r="482" spans="1:6" ht="14.25" x14ac:dyDescent="0.15">
      <c r="A482" s="30" t="s">
        <v>41</v>
      </c>
      <c r="B482" s="25">
        <v>474</v>
      </c>
      <c r="C482" s="16">
        <v>4</v>
      </c>
      <c r="D482" s="25">
        <v>114</v>
      </c>
      <c r="E482" s="25">
        <v>523</v>
      </c>
      <c r="F482" s="25" t="s">
        <v>1166</v>
      </c>
    </row>
    <row r="483" spans="1:6" ht="14.25" x14ac:dyDescent="0.15">
      <c r="A483" s="25" t="s">
        <v>41</v>
      </c>
      <c r="B483" s="25">
        <v>475</v>
      </c>
      <c r="C483" s="16">
        <v>4</v>
      </c>
      <c r="D483" s="25">
        <v>115</v>
      </c>
      <c r="E483" s="25">
        <v>528</v>
      </c>
      <c r="F483" s="25" t="s">
        <v>1164</v>
      </c>
    </row>
    <row r="484" spans="1:6" ht="14.25" x14ac:dyDescent="0.15">
      <c r="A484" s="30" t="s">
        <v>41</v>
      </c>
      <c r="B484" s="25">
        <v>476</v>
      </c>
      <c r="C484" s="16">
        <v>4</v>
      </c>
      <c r="D484" s="25">
        <v>116</v>
      </c>
      <c r="E484" s="25">
        <v>532</v>
      </c>
      <c r="F484" s="25" t="s">
        <v>1165</v>
      </c>
    </row>
    <row r="485" spans="1:6" ht="14.25" x14ac:dyDescent="0.15">
      <c r="A485" s="25" t="s">
        <v>41</v>
      </c>
      <c r="B485" s="25">
        <v>477</v>
      </c>
      <c r="C485" s="16">
        <v>4</v>
      </c>
      <c r="D485" s="25">
        <v>117</v>
      </c>
      <c r="E485" s="25">
        <v>537</v>
      </c>
      <c r="F485" s="25" t="s">
        <v>1167</v>
      </c>
    </row>
    <row r="486" spans="1:6" ht="14.25" x14ac:dyDescent="0.15">
      <c r="A486" s="30" t="s">
        <v>41</v>
      </c>
      <c r="B486" s="25">
        <v>478</v>
      </c>
      <c r="C486" s="16">
        <v>4</v>
      </c>
      <c r="D486" s="25">
        <v>118</v>
      </c>
      <c r="E486" s="25">
        <v>541</v>
      </c>
      <c r="F486" s="25" t="s">
        <v>1168</v>
      </c>
    </row>
    <row r="487" spans="1:6" ht="14.25" x14ac:dyDescent="0.15">
      <c r="A487" s="25" t="s">
        <v>41</v>
      </c>
      <c r="B487" s="25">
        <v>479</v>
      </c>
      <c r="C487" s="16">
        <v>4</v>
      </c>
      <c r="D487" s="25">
        <v>119</v>
      </c>
      <c r="E487" s="25">
        <v>546</v>
      </c>
      <c r="F487" s="25" t="s">
        <v>1169</v>
      </c>
    </row>
    <row r="488" spans="1:6" ht="14.25" x14ac:dyDescent="0.15">
      <c r="A488" s="30" t="s">
        <v>41</v>
      </c>
      <c r="B488" s="25">
        <v>480</v>
      </c>
      <c r="C488" s="16">
        <v>4</v>
      </c>
      <c r="D488" s="25">
        <v>120</v>
      </c>
      <c r="E488" s="25">
        <v>550</v>
      </c>
      <c r="F488" s="25" t="s">
        <v>1170</v>
      </c>
    </row>
    <row r="489" spans="1:6" ht="14.25" x14ac:dyDescent="0.15">
      <c r="A489" s="25" t="s">
        <v>41</v>
      </c>
      <c r="B489" s="25">
        <v>481</v>
      </c>
      <c r="C489" s="16">
        <v>5</v>
      </c>
      <c r="D489" s="25">
        <v>1</v>
      </c>
      <c r="E489" s="25">
        <v>10</v>
      </c>
      <c r="F489" s="25"/>
    </row>
    <row r="490" spans="1:6" ht="14.25" x14ac:dyDescent="0.15">
      <c r="A490" s="30" t="s">
        <v>41</v>
      </c>
      <c r="B490" s="25">
        <v>482</v>
      </c>
      <c r="C490" s="16">
        <v>5</v>
      </c>
      <c r="D490" s="25">
        <v>2</v>
      </c>
      <c r="E490" s="25">
        <v>13</v>
      </c>
      <c r="F490" s="25" t="s">
        <v>60</v>
      </c>
    </row>
    <row r="491" spans="1:6" ht="14.25" x14ac:dyDescent="0.15">
      <c r="A491" s="25" t="s">
        <v>41</v>
      </c>
      <c r="B491" s="25">
        <v>483</v>
      </c>
      <c r="C491" s="16">
        <v>5</v>
      </c>
      <c r="D491" s="25">
        <v>3</v>
      </c>
      <c r="E491" s="25">
        <v>16</v>
      </c>
      <c r="F491" s="25" t="s">
        <v>62</v>
      </c>
    </row>
    <row r="492" spans="1:6" ht="14.25" x14ac:dyDescent="0.15">
      <c r="A492" s="30" t="s">
        <v>41</v>
      </c>
      <c r="B492" s="25">
        <v>484</v>
      </c>
      <c r="C492" s="16">
        <v>5</v>
      </c>
      <c r="D492" s="25">
        <v>4</v>
      </c>
      <c r="E492" s="25">
        <v>19</v>
      </c>
      <c r="F492" s="25" t="s">
        <v>1082</v>
      </c>
    </row>
    <row r="493" spans="1:6" ht="14.25" x14ac:dyDescent="0.15">
      <c r="A493" s="25" t="s">
        <v>41</v>
      </c>
      <c r="B493" s="25">
        <v>485</v>
      </c>
      <c r="C493" s="16">
        <v>5</v>
      </c>
      <c r="D493" s="25">
        <v>5</v>
      </c>
      <c r="E493" s="25">
        <v>22</v>
      </c>
      <c r="F493" s="25" t="s">
        <v>1084</v>
      </c>
    </row>
    <row r="494" spans="1:6" ht="14.25" x14ac:dyDescent="0.15">
      <c r="A494" s="30" t="s">
        <v>41</v>
      </c>
      <c r="B494" s="25">
        <v>486</v>
      </c>
      <c r="C494" s="16">
        <v>5</v>
      </c>
      <c r="D494" s="25">
        <v>6</v>
      </c>
      <c r="E494" s="25">
        <v>25</v>
      </c>
      <c r="F494" s="25" t="s">
        <v>1083</v>
      </c>
    </row>
    <row r="495" spans="1:6" ht="14.25" x14ac:dyDescent="0.15">
      <c r="A495" s="25" t="s">
        <v>41</v>
      </c>
      <c r="B495" s="25">
        <v>487</v>
      </c>
      <c r="C495" s="16">
        <v>5</v>
      </c>
      <c r="D495" s="25">
        <v>7</v>
      </c>
      <c r="E495" s="25">
        <v>28</v>
      </c>
      <c r="F495" s="25" t="s">
        <v>1085</v>
      </c>
    </row>
    <row r="496" spans="1:6" ht="14.25" x14ac:dyDescent="0.15">
      <c r="A496" s="30" t="s">
        <v>41</v>
      </c>
      <c r="B496" s="25">
        <v>488</v>
      </c>
      <c r="C496" s="16">
        <v>5</v>
      </c>
      <c r="D496" s="25">
        <v>8</v>
      </c>
      <c r="E496" s="25">
        <v>31</v>
      </c>
      <c r="F496" s="25" t="s">
        <v>74</v>
      </c>
    </row>
    <row r="497" spans="1:6" ht="14.25" x14ac:dyDescent="0.15">
      <c r="A497" s="25" t="s">
        <v>41</v>
      </c>
      <c r="B497" s="25">
        <v>489</v>
      </c>
      <c r="C497" s="16">
        <v>5</v>
      </c>
      <c r="D497" s="25">
        <v>9</v>
      </c>
      <c r="E497" s="25">
        <v>34</v>
      </c>
      <c r="F497" s="25" t="s">
        <v>1086</v>
      </c>
    </row>
    <row r="498" spans="1:6" ht="14.25" x14ac:dyDescent="0.15">
      <c r="A498" s="30" t="s">
        <v>41</v>
      </c>
      <c r="B498" s="25">
        <v>490</v>
      </c>
      <c r="C498" s="16">
        <v>5</v>
      </c>
      <c r="D498" s="25">
        <v>10</v>
      </c>
      <c r="E498" s="25">
        <v>37</v>
      </c>
      <c r="F498" s="25" t="s">
        <v>79</v>
      </c>
    </row>
    <row r="499" spans="1:6" ht="14.25" x14ac:dyDescent="0.15">
      <c r="A499" s="25" t="s">
        <v>41</v>
      </c>
      <c r="B499" s="25">
        <v>491</v>
      </c>
      <c r="C499" s="16">
        <v>5</v>
      </c>
      <c r="D499" s="25">
        <v>11</v>
      </c>
      <c r="E499" s="25">
        <v>40</v>
      </c>
      <c r="F499" s="25" t="s">
        <v>1087</v>
      </c>
    </row>
    <row r="500" spans="1:6" ht="14.25" x14ac:dyDescent="0.15">
      <c r="A500" s="30" t="s">
        <v>41</v>
      </c>
      <c r="B500" s="25">
        <v>492</v>
      </c>
      <c r="C500" s="16">
        <v>5</v>
      </c>
      <c r="D500" s="25">
        <v>12</v>
      </c>
      <c r="E500" s="25">
        <v>43</v>
      </c>
      <c r="F500" s="25" t="s">
        <v>84</v>
      </c>
    </row>
    <row r="501" spans="1:6" ht="14.25" x14ac:dyDescent="0.15">
      <c r="A501" s="25" t="s">
        <v>41</v>
      </c>
      <c r="B501" s="25">
        <v>493</v>
      </c>
      <c r="C501" s="16">
        <v>5</v>
      </c>
      <c r="D501" s="25">
        <v>13</v>
      </c>
      <c r="E501" s="25">
        <v>46</v>
      </c>
      <c r="F501" s="25" t="s">
        <v>1088</v>
      </c>
    </row>
    <row r="502" spans="1:6" ht="14.25" x14ac:dyDescent="0.15">
      <c r="A502" s="30" t="s">
        <v>41</v>
      </c>
      <c r="B502" s="25">
        <v>494</v>
      </c>
      <c r="C502" s="16">
        <v>5</v>
      </c>
      <c r="D502" s="25">
        <v>14</v>
      </c>
      <c r="E502" s="25">
        <v>49</v>
      </c>
      <c r="F502" s="25" t="s">
        <v>89</v>
      </c>
    </row>
    <row r="503" spans="1:6" ht="14.25" x14ac:dyDescent="0.15">
      <c r="A503" s="25" t="s">
        <v>41</v>
      </c>
      <c r="B503" s="25">
        <v>495</v>
      </c>
      <c r="C503" s="16">
        <v>5</v>
      </c>
      <c r="D503" s="25">
        <v>15</v>
      </c>
      <c r="E503" s="25">
        <v>52</v>
      </c>
      <c r="F503" s="25" t="s">
        <v>1089</v>
      </c>
    </row>
    <row r="504" spans="1:6" ht="14.25" x14ac:dyDescent="0.15">
      <c r="A504" s="30" t="s">
        <v>41</v>
      </c>
      <c r="B504" s="25">
        <v>496</v>
      </c>
      <c r="C504" s="16">
        <v>5</v>
      </c>
      <c r="D504" s="25">
        <v>16</v>
      </c>
      <c r="E504" s="25">
        <v>55</v>
      </c>
      <c r="F504" s="25" t="s">
        <v>94</v>
      </c>
    </row>
    <row r="505" spans="1:6" ht="14.25" x14ac:dyDescent="0.15">
      <c r="A505" s="25" t="s">
        <v>41</v>
      </c>
      <c r="B505" s="25">
        <v>497</v>
      </c>
      <c r="C505" s="16">
        <v>5</v>
      </c>
      <c r="D505" s="25">
        <v>17</v>
      </c>
      <c r="E505" s="25">
        <v>58</v>
      </c>
      <c r="F505" s="25" t="s">
        <v>1090</v>
      </c>
    </row>
    <row r="506" spans="1:6" ht="14.25" x14ac:dyDescent="0.15">
      <c r="A506" s="30" t="s">
        <v>41</v>
      </c>
      <c r="B506" s="25">
        <v>498</v>
      </c>
      <c r="C506" s="16">
        <v>5</v>
      </c>
      <c r="D506" s="25">
        <v>18</v>
      </c>
      <c r="E506" s="25">
        <v>61</v>
      </c>
      <c r="F506" s="25" t="s">
        <v>99</v>
      </c>
    </row>
    <row r="507" spans="1:6" ht="14.25" x14ac:dyDescent="0.15">
      <c r="A507" s="25" t="s">
        <v>41</v>
      </c>
      <c r="B507" s="25">
        <v>499</v>
      </c>
      <c r="C507" s="16">
        <v>5</v>
      </c>
      <c r="D507" s="25">
        <v>19</v>
      </c>
      <c r="E507" s="25">
        <v>64</v>
      </c>
      <c r="F507" s="25" t="s">
        <v>1091</v>
      </c>
    </row>
    <row r="508" spans="1:6" ht="14.25" x14ac:dyDescent="0.15">
      <c r="A508" s="30" t="s">
        <v>41</v>
      </c>
      <c r="B508" s="25">
        <v>500</v>
      </c>
      <c r="C508" s="16">
        <v>5</v>
      </c>
      <c r="D508" s="25">
        <v>20</v>
      </c>
      <c r="E508" s="25">
        <v>67</v>
      </c>
      <c r="F508" s="25" t="s">
        <v>104</v>
      </c>
    </row>
    <row r="509" spans="1:6" ht="14.25" x14ac:dyDescent="0.15">
      <c r="A509" s="25" t="s">
        <v>41</v>
      </c>
      <c r="B509" s="25">
        <v>501</v>
      </c>
      <c r="C509" s="16">
        <v>5</v>
      </c>
      <c r="D509" s="25">
        <v>21</v>
      </c>
      <c r="E509" s="25">
        <v>70</v>
      </c>
      <c r="F509" s="25" t="s">
        <v>1092</v>
      </c>
    </row>
    <row r="510" spans="1:6" ht="14.25" x14ac:dyDescent="0.15">
      <c r="A510" s="30" t="s">
        <v>41</v>
      </c>
      <c r="B510" s="25">
        <v>502</v>
      </c>
      <c r="C510" s="16">
        <v>5</v>
      </c>
      <c r="D510" s="25">
        <v>22</v>
      </c>
      <c r="E510" s="25">
        <v>73</v>
      </c>
      <c r="F510" s="25" t="s">
        <v>109</v>
      </c>
    </row>
    <row r="511" spans="1:6" ht="14.25" x14ac:dyDescent="0.15">
      <c r="A511" s="25" t="s">
        <v>41</v>
      </c>
      <c r="B511" s="25">
        <v>503</v>
      </c>
      <c r="C511" s="16">
        <v>5</v>
      </c>
      <c r="D511" s="25">
        <v>23</v>
      </c>
      <c r="E511" s="25">
        <v>76</v>
      </c>
      <c r="F511" s="25" t="s">
        <v>1093</v>
      </c>
    </row>
    <row r="512" spans="1:6" ht="14.25" x14ac:dyDescent="0.15">
      <c r="A512" s="30" t="s">
        <v>41</v>
      </c>
      <c r="B512" s="25">
        <v>504</v>
      </c>
      <c r="C512" s="16">
        <v>5</v>
      </c>
      <c r="D512" s="25">
        <v>24</v>
      </c>
      <c r="E512" s="25">
        <v>79</v>
      </c>
      <c r="F512" s="25" t="s">
        <v>115</v>
      </c>
    </row>
    <row r="513" spans="1:6" ht="14.25" x14ac:dyDescent="0.15">
      <c r="A513" s="25" t="s">
        <v>41</v>
      </c>
      <c r="B513" s="25">
        <v>505</v>
      </c>
      <c r="C513" s="16">
        <v>5</v>
      </c>
      <c r="D513" s="25">
        <v>25</v>
      </c>
      <c r="E513" s="25">
        <v>82</v>
      </c>
      <c r="F513" s="25" t="s">
        <v>118</v>
      </c>
    </row>
    <row r="514" spans="1:6" ht="14.25" x14ac:dyDescent="0.15">
      <c r="A514" s="30" t="s">
        <v>41</v>
      </c>
      <c r="B514" s="25">
        <v>506</v>
      </c>
      <c r="C514" s="16">
        <v>5</v>
      </c>
      <c r="D514" s="25">
        <v>26</v>
      </c>
      <c r="E514" s="25">
        <v>85</v>
      </c>
      <c r="F514" s="25" t="s">
        <v>121</v>
      </c>
    </row>
    <row r="515" spans="1:6" ht="14.25" x14ac:dyDescent="0.15">
      <c r="A515" s="25" t="s">
        <v>41</v>
      </c>
      <c r="B515" s="25">
        <v>507</v>
      </c>
      <c r="C515" s="16">
        <v>5</v>
      </c>
      <c r="D515" s="25">
        <v>27</v>
      </c>
      <c r="E515" s="25">
        <v>88</v>
      </c>
      <c r="F515" s="25" t="s">
        <v>124</v>
      </c>
    </row>
    <row r="516" spans="1:6" ht="14.25" x14ac:dyDescent="0.15">
      <c r="A516" s="30" t="s">
        <v>41</v>
      </c>
      <c r="B516" s="25">
        <v>508</v>
      </c>
      <c r="C516" s="16">
        <v>5</v>
      </c>
      <c r="D516" s="25">
        <v>28</v>
      </c>
      <c r="E516" s="25">
        <v>91</v>
      </c>
      <c r="F516" s="25" t="s">
        <v>127</v>
      </c>
    </row>
    <row r="517" spans="1:6" ht="14.25" x14ac:dyDescent="0.15">
      <c r="A517" s="25" t="s">
        <v>41</v>
      </c>
      <c r="B517" s="25">
        <v>509</v>
      </c>
      <c r="C517" s="16">
        <v>5</v>
      </c>
      <c r="D517" s="25">
        <v>29</v>
      </c>
      <c r="E517" s="25">
        <v>94</v>
      </c>
      <c r="F517" s="25" t="s">
        <v>130</v>
      </c>
    </row>
    <row r="518" spans="1:6" ht="14.25" x14ac:dyDescent="0.15">
      <c r="A518" s="30" t="s">
        <v>41</v>
      </c>
      <c r="B518" s="25">
        <v>510</v>
      </c>
      <c r="C518" s="16">
        <v>5</v>
      </c>
      <c r="D518" s="25">
        <v>30</v>
      </c>
      <c r="E518" s="25">
        <v>97</v>
      </c>
      <c r="F518" s="25" t="s">
        <v>133</v>
      </c>
    </row>
    <row r="519" spans="1:6" ht="14.25" x14ac:dyDescent="0.15">
      <c r="A519" s="25" t="s">
        <v>41</v>
      </c>
      <c r="B519" s="25">
        <v>511</v>
      </c>
      <c r="C519" s="16">
        <v>5</v>
      </c>
      <c r="D519" s="25">
        <v>31</v>
      </c>
      <c r="E519" s="25">
        <v>100</v>
      </c>
      <c r="F519" s="25" t="s">
        <v>136</v>
      </c>
    </row>
    <row r="520" spans="1:6" ht="14.25" x14ac:dyDescent="0.15">
      <c r="A520" s="30" t="s">
        <v>41</v>
      </c>
      <c r="B520" s="25">
        <v>512</v>
      </c>
      <c r="C520" s="16">
        <v>5</v>
      </c>
      <c r="D520" s="25">
        <v>32</v>
      </c>
      <c r="E520" s="25">
        <v>103</v>
      </c>
      <c r="F520" s="25" t="s">
        <v>139</v>
      </c>
    </row>
    <row r="521" spans="1:6" ht="14.25" x14ac:dyDescent="0.15">
      <c r="A521" s="25" t="s">
        <v>41</v>
      </c>
      <c r="B521" s="25">
        <v>513</v>
      </c>
      <c r="C521" s="16">
        <v>5</v>
      </c>
      <c r="D521" s="25">
        <v>33</v>
      </c>
      <c r="E521" s="25">
        <v>106</v>
      </c>
      <c r="F521" s="25" t="s">
        <v>1094</v>
      </c>
    </row>
    <row r="522" spans="1:6" ht="14.25" x14ac:dyDescent="0.15">
      <c r="A522" s="30" t="s">
        <v>41</v>
      </c>
      <c r="B522" s="25">
        <v>514</v>
      </c>
      <c r="C522" s="16">
        <v>5</v>
      </c>
      <c r="D522" s="25">
        <v>34</v>
      </c>
      <c r="E522" s="25">
        <v>109</v>
      </c>
      <c r="F522" s="25" t="s">
        <v>149</v>
      </c>
    </row>
    <row r="523" spans="1:6" ht="14.25" x14ac:dyDescent="0.15">
      <c r="A523" s="25" t="s">
        <v>41</v>
      </c>
      <c r="B523" s="25">
        <v>515</v>
      </c>
      <c r="C523" s="16">
        <v>5</v>
      </c>
      <c r="D523" s="25">
        <v>35</v>
      </c>
      <c r="E523" s="25">
        <v>112</v>
      </c>
      <c r="F523" s="25" t="s">
        <v>154</v>
      </c>
    </row>
    <row r="524" spans="1:6" ht="14.25" x14ac:dyDescent="0.15">
      <c r="A524" s="30" t="s">
        <v>41</v>
      </c>
      <c r="B524" s="25">
        <v>516</v>
      </c>
      <c r="C524" s="16">
        <v>5</v>
      </c>
      <c r="D524" s="25">
        <v>36</v>
      </c>
      <c r="E524" s="25">
        <v>115</v>
      </c>
      <c r="F524" s="25" t="s">
        <v>159</v>
      </c>
    </row>
    <row r="525" spans="1:6" ht="14.25" x14ac:dyDescent="0.15">
      <c r="A525" s="25" t="s">
        <v>41</v>
      </c>
      <c r="B525" s="25">
        <v>517</v>
      </c>
      <c r="C525" s="16">
        <v>5</v>
      </c>
      <c r="D525" s="25">
        <v>37</v>
      </c>
      <c r="E525" s="25">
        <v>118</v>
      </c>
      <c r="F525" s="25" t="s">
        <v>164</v>
      </c>
    </row>
    <row r="526" spans="1:6" ht="14.25" x14ac:dyDescent="0.15">
      <c r="A526" s="30" t="s">
        <v>41</v>
      </c>
      <c r="B526" s="25">
        <v>518</v>
      </c>
      <c r="C526" s="16">
        <v>5</v>
      </c>
      <c r="D526" s="25">
        <v>38</v>
      </c>
      <c r="E526" s="25">
        <v>121</v>
      </c>
      <c r="F526" s="25" t="s">
        <v>169</v>
      </c>
    </row>
    <row r="527" spans="1:6" ht="14.25" x14ac:dyDescent="0.15">
      <c r="A527" s="25" t="s">
        <v>41</v>
      </c>
      <c r="B527" s="25">
        <v>519</v>
      </c>
      <c r="C527" s="16">
        <v>5</v>
      </c>
      <c r="D527" s="25">
        <v>39</v>
      </c>
      <c r="E527" s="25">
        <v>124</v>
      </c>
      <c r="F527" s="25" t="s">
        <v>174</v>
      </c>
    </row>
    <row r="528" spans="1:6" ht="14.25" x14ac:dyDescent="0.15">
      <c r="A528" s="30" t="s">
        <v>41</v>
      </c>
      <c r="B528" s="25">
        <v>520</v>
      </c>
      <c r="C528" s="16">
        <v>5</v>
      </c>
      <c r="D528" s="25">
        <v>40</v>
      </c>
      <c r="E528" s="25">
        <v>127</v>
      </c>
      <c r="F528" s="25" t="s">
        <v>179</v>
      </c>
    </row>
    <row r="529" spans="1:6" ht="14.25" x14ac:dyDescent="0.15">
      <c r="A529" s="25" t="s">
        <v>41</v>
      </c>
      <c r="B529" s="25">
        <v>521</v>
      </c>
      <c r="C529" s="16">
        <v>5</v>
      </c>
      <c r="D529" s="25">
        <v>41</v>
      </c>
      <c r="E529" s="25">
        <v>130</v>
      </c>
      <c r="F529" s="25" t="s">
        <v>1095</v>
      </c>
    </row>
    <row r="530" spans="1:6" ht="14.25" x14ac:dyDescent="0.15">
      <c r="A530" s="30" t="s">
        <v>41</v>
      </c>
      <c r="B530" s="25">
        <v>522</v>
      </c>
      <c r="C530" s="16">
        <v>5</v>
      </c>
      <c r="D530" s="25">
        <v>42</v>
      </c>
      <c r="E530" s="25">
        <v>133</v>
      </c>
      <c r="F530" s="25" t="s">
        <v>1096</v>
      </c>
    </row>
    <row r="531" spans="1:6" ht="14.25" x14ac:dyDescent="0.15">
      <c r="A531" s="25" t="s">
        <v>41</v>
      </c>
      <c r="B531" s="25">
        <v>523</v>
      </c>
      <c r="C531" s="16">
        <v>5</v>
      </c>
      <c r="D531" s="25">
        <v>43</v>
      </c>
      <c r="E531" s="25">
        <v>136</v>
      </c>
      <c r="F531" s="25" t="s">
        <v>1097</v>
      </c>
    </row>
    <row r="532" spans="1:6" ht="14.25" x14ac:dyDescent="0.15">
      <c r="A532" s="30" t="s">
        <v>41</v>
      </c>
      <c r="B532" s="25">
        <v>524</v>
      </c>
      <c r="C532" s="16">
        <v>5</v>
      </c>
      <c r="D532" s="25">
        <v>44</v>
      </c>
      <c r="E532" s="25">
        <v>139</v>
      </c>
      <c r="F532" s="25" t="s">
        <v>1098</v>
      </c>
    </row>
    <row r="533" spans="1:6" ht="14.25" x14ac:dyDescent="0.15">
      <c r="A533" s="25" t="s">
        <v>41</v>
      </c>
      <c r="B533" s="25">
        <v>525</v>
      </c>
      <c r="C533" s="16">
        <v>5</v>
      </c>
      <c r="D533" s="25">
        <v>45</v>
      </c>
      <c r="E533" s="25">
        <v>142</v>
      </c>
      <c r="F533" s="25" t="s">
        <v>1099</v>
      </c>
    </row>
    <row r="534" spans="1:6" ht="14.25" x14ac:dyDescent="0.15">
      <c r="A534" s="30" t="s">
        <v>41</v>
      </c>
      <c r="B534" s="25">
        <v>526</v>
      </c>
      <c r="C534" s="16">
        <v>5</v>
      </c>
      <c r="D534" s="25">
        <v>46</v>
      </c>
      <c r="E534" s="25">
        <v>145</v>
      </c>
      <c r="F534" s="25" t="s">
        <v>1100</v>
      </c>
    </row>
    <row r="535" spans="1:6" ht="14.25" x14ac:dyDescent="0.15">
      <c r="A535" s="25" t="s">
        <v>41</v>
      </c>
      <c r="B535" s="25">
        <v>527</v>
      </c>
      <c r="C535" s="16">
        <v>5</v>
      </c>
      <c r="D535" s="25">
        <v>47</v>
      </c>
      <c r="E535" s="25">
        <v>148</v>
      </c>
      <c r="F535" s="25" t="s">
        <v>1101</v>
      </c>
    </row>
    <row r="536" spans="1:6" ht="14.25" x14ac:dyDescent="0.15">
      <c r="A536" s="30" t="s">
        <v>41</v>
      </c>
      <c r="B536" s="25">
        <v>528</v>
      </c>
      <c r="C536" s="16">
        <v>5</v>
      </c>
      <c r="D536" s="25">
        <v>48</v>
      </c>
      <c r="E536" s="25">
        <v>151</v>
      </c>
      <c r="F536" s="25" t="s">
        <v>1102</v>
      </c>
    </row>
    <row r="537" spans="1:6" ht="14.25" x14ac:dyDescent="0.15">
      <c r="A537" s="25" t="s">
        <v>41</v>
      </c>
      <c r="B537" s="25">
        <v>529</v>
      </c>
      <c r="C537" s="16">
        <v>5</v>
      </c>
      <c r="D537" s="25">
        <v>49</v>
      </c>
      <c r="E537" s="25">
        <v>154</v>
      </c>
      <c r="F537" s="25" t="s">
        <v>1103</v>
      </c>
    </row>
    <row r="538" spans="1:6" ht="14.25" x14ac:dyDescent="0.15">
      <c r="A538" s="30" t="s">
        <v>41</v>
      </c>
      <c r="B538" s="25">
        <v>530</v>
      </c>
      <c r="C538" s="16">
        <v>5</v>
      </c>
      <c r="D538" s="25">
        <v>50</v>
      </c>
      <c r="E538" s="25">
        <v>157</v>
      </c>
      <c r="F538" s="25" t="s">
        <v>630</v>
      </c>
    </row>
    <row r="539" spans="1:6" ht="14.25" x14ac:dyDescent="0.15">
      <c r="A539" s="25" t="s">
        <v>41</v>
      </c>
      <c r="B539" s="25">
        <v>531</v>
      </c>
      <c r="C539" s="16">
        <v>5</v>
      </c>
      <c r="D539" s="25">
        <v>51</v>
      </c>
      <c r="E539" s="25">
        <v>160</v>
      </c>
      <c r="F539" s="25" t="s">
        <v>1104</v>
      </c>
    </row>
    <row r="540" spans="1:6" ht="14.25" x14ac:dyDescent="0.15">
      <c r="A540" s="30" t="s">
        <v>41</v>
      </c>
      <c r="B540" s="25">
        <v>532</v>
      </c>
      <c r="C540" s="16">
        <v>5</v>
      </c>
      <c r="D540" s="25">
        <v>52</v>
      </c>
      <c r="E540" s="25">
        <v>163</v>
      </c>
      <c r="F540" s="25" t="s">
        <v>1105</v>
      </c>
    </row>
    <row r="541" spans="1:6" ht="14.25" x14ac:dyDescent="0.15">
      <c r="A541" s="25" t="s">
        <v>41</v>
      </c>
      <c r="B541" s="25">
        <v>533</v>
      </c>
      <c r="C541" s="16">
        <v>5</v>
      </c>
      <c r="D541" s="25">
        <v>53</v>
      </c>
      <c r="E541" s="25">
        <v>166</v>
      </c>
      <c r="F541" s="25" t="s">
        <v>1106</v>
      </c>
    </row>
    <row r="542" spans="1:6" ht="14.25" x14ac:dyDescent="0.15">
      <c r="A542" s="30" t="s">
        <v>41</v>
      </c>
      <c r="B542" s="25">
        <v>534</v>
      </c>
      <c r="C542" s="16">
        <v>5</v>
      </c>
      <c r="D542" s="25">
        <v>54</v>
      </c>
      <c r="E542" s="25">
        <v>169</v>
      </c>
      <c r="F542" s="25" t="s">
        <v>1107</v>
      </c>
    </row>
    <row r="543" spans="1:6" ht="14.25" x14ac:dyDescent="0.15">
      <c r="A543" s="25" t="s">
        <v>41</v>
      </c>
      <c r="B543" s="25">
        <v>535</v>
      </c>
      <c r="C543" s="16">
        <v>5</v>
      </c>
      <c r="D543" s="25">
        <v>55</v>
      </c>
      <c r="E543" s="25">
        <v>172</v>
      </c>
      <c r="F543" s="25" t="s">
        <v>1108</v>
      </c>
    </row>
    <row r="544" spans="1:6" ht="14.25" x14ac:dyDescent="0.15">
      <c r="A544" s="30" t="s">
        <v>41</v>
      </c>
      <c r="B544" s="25">
        <v>536</v>
      </c>
      <c r="C544" s="16">
        <v>5</v>
      </c>
      <c r="D544" s="25">
        <v>56</v>
      </c>
      <c r="E544" s="25">
        <v>175</v>
      </c>
      <c r="F544" s="25" t="s">
        <v>1109</v>
      </c>
    </row>
    <row r="545" spans="1:6" ht="14.25" x14ac:dyDescent="0.15">
      <c r="A545" s="25" t="s">
        <v>41</v>
      </c>
      <c r="B545" s="25">
        <v>537</v>
      </c>
      <c r="C545" s="16">
        <v>5</v>
      </c>
      <c r="D545" s="25">
        <v>57</v>
      </c>
      <c r="E545" s="25">
        <v>178</v>
      </c>
      <c r="F545" s="25" t="s">
        <v>1110</v>
      </c>
    </row>
    <row r="546" spans="1:6" ht="14.25" x14ac:dyDescent="0.15">
      <c r="A546" s="30" t="s">
        <v>41</v>
      </c>
      <c r="B546" s="25">
        <v>538</v>
      </c>
      <c r="C546" s="16">
        <v>5</v>
      </c>
      <c r="D546" s="25">
        <v>58</v>
      </c>
      <c r="E546" s="25">
        <v>181</v>
      </c>
      <c r="F546" s="25" t="s">
        <v>1111</v>
      </c>
    </row>
    <row r="547" spans="1:6" ht="14.25" x14ac:dyDescent="0.15">
      <c r="A547" s="25" t="s">
        <v>41</v>
      </c>
      <c r="B547" s="25">
        <v>539</v>
      </c>
      <c r="C547" s="16">
        <v>5</v>
      </c>
      <c r="D547" s="25">
        <v>59</v>
      </c>
      <c r="E547" s="25">
        <v>184</v>
      </c>
      <c r="F547" s="25" t="s">
        <v>1112</v>
      </c>
    </row>
    <row r="548" spans="1:6" ht="14.25" x14ac:dyDescent="0.15">
      <c r="A548" s="30" t="s">
        <v>41</v>
      </c>
      <c r="B548" s="25">
        <v>540</v>
      </c>
      <c r="C548" s="16">
        <v>5</v>
      </c>
      <c r="D548" s="25">
        <v>60</v>
      </c>
      <c r="E548" s="25">
        <v>187</v>
      </c>
      <c r="F548" s="25" t="s">
        <v>631</v>
      </c>
    </row>
    <row r="549" spans="1:6" ht="14.25" x14ac:dyDescent="0.15">
      <c r="A549" s="25" t="s">
        <v>41</v>
      </c>
      <c r="B549" s="25">
        <v>541</v>
      </c>
      <c r="C549" s="16">
        <v>5</v>
      </c>
      <c r="D549" s="25">
        <v>61</v>
      </c>
      <c r="E549" s="25">
        <v>190</v>
      </c>
      <c r="F549" s="25" t="s">
        <v>1113</v>
      </c>
    </row>
    <row r="550" spans="1:6" ht="14.25" x14ac:dyDescent="0.15">
      <c r="A550" s="30" t="s">
        <v>41</v>
      </c>
      <c r="B550" s="25">
        <v>542</v>
      </c>
      <c r="C550" s="16">
        <v>5</v>
      </c>
      <c r="D550" s="25">
        <v>62</v>
      </c>
      <c r="E550" s="25">
        <v>193</v>
      </c>
      <c r="F550" s="25" t="s">
        <v>1114</v>
      </c>
    </row>
    <row r="551" spans="1:6" ht="14.25" x14ac:dyDescent="0.15">
      <c r="A551" s="25" t="s">
        <v>41</v>
      </c>
      <c r="B551" s="25">
        <v>543</v>
      </c>
      <c r="C551" s="16">
        <v>5</v>
      </c>
      <c r="D551" s="25">
        <v>63</v>
      </c>
      <c r="E551" s="25">
        <v>196</v>
      </c>
      <c r="F551" s="25" t="s">
        <v>1115</v>
      </c>
    </row>
    <row r="552" spans="1:6" ht="14.25" x14ac:dyDescent="0.15">
      <c r="A552" s="30" t="s">
        <v>41</v>
      </c>
      <c r="B552" s="25">
        <v>544</v>
      </c>
      <c r="C552" s="16">
        <v>5</v>
      </c>
      <c r="D552" s="25">
        <v>64</v>
      </c>
      <c r="E552" s="25">
        <v>199</v>
      </c>
      <c r="F552" s="25" t="s">
        <v>1116</v>
      </c>
    </row>
    <row r="553" spans="1:6" ht="14.25" x14ac:dyDescent="0.15">
      <c r="A553" s="25" t="s">
        <v>41</v>
      </c>
      <c r="B553" s="25">
        <v>545</v>
      </c>
      <c r="C553" s="16">
        <v>5</v>
      </c>
      <c r="D553" s="25">
        <v>65</v>
      </c>
      <c r="E553" s="25">
        <v>202</v>
      </c>
      <c r="F553" s="25" t="s">
        <v>1117</v>
      </c>
    </row>
    <row r="554" spans="1:6" ht="14.25" x14ac:dyDescent="0.15">
      <c r="A554" s="30" t="s">
        <v>41</v>
      </c>
      <c r="B554" s="25">
        <v>546</v>
      </c>
      <c r="C554" s="16">
        <v>5</v>
      </c>
      <c r="D554" s="25">
        <v>66</v>
      </c>
      <c r="E554" s="25">
        <v>205</v>
      </c>
      <c r="F554" s="25" t="s">
        <v>1118</v>
      </c>
    </row>
    <row r="555" spans="1:6" ht="14.25" x14ac:dyDescent="0.15">
      <c r="A555" s="25" t="s">
        <v>41</v>
      </c>
      <c r="B555" s="25">
        <v>547</v>
      </c>
      <c r="C555" s="16">
        <v>5</v>
      </c>
      <c r="D555" s="25">
        <v>67</v>
      </c>
      <c r="E555" s="25">
        <v>208</v>
      </c>
      <c r="F555" s="25" t="s">
        <v>1119</v>
      </c>
    </row>
    <row r="556" spans="1:6" ht="14.25" x14ac:dyDescent="0.15">
      <c r="A556" s="30" t="s">
        <v>41</v>
      </c>
      <c r="B556" s="25">
        <v>548</v>
      </c>
      <c r="C556" s="16">
        <v>5</v>
      </c>
      <c r="D556" s="25">
        <v>68</v>
      </c>
      <c r="E556" s="25">
        <v>211</v>
      </c>
      <c r="F556" s="25" t="s">
        <v>1120</v>
      </c>
    </row>
    <row r="557" spans="1:6" ht="14.25" x14ac:dyDescent="0.15">
      <c r="A557" s="25" t="s">
        <v>41</v>
      </c>
      <c r="B557" s="25">
        <v>549</v>
      </c>
      <c r="C557" s="16">
        <v>5</v>
      </c>
      <c r="D557" s="25">
        <v>69</v>
      </c>
      <c r="E557" s="25">
        <v>214</v>
      </c>
      <c r="F557" s="25" t="s">
        <v>1121</v>
      </c>
    </row>
    <row r="558" spans="1:6" ht="14.25" x14ac:dyDescent="0.15">
      <c r="A558" s="30" t="s">
        <v>41</v>
      </c>
      <c r="B558" s="25">
        <v>550</v>
      </c>
      <c r="C558" s="16">
        <v>5</v>
      </c>
      <c r="D558" s="25">
        <v>70</v>
      </c>
      <c r="E558" s="25">
        <v>217</v>
      </c>
      <c r="F558" s="25" t="s">
        <v>1122</v>
      </c>
    </row>
    <row r="559" spans="1:6" ht="14.25" x14ac:dyDescent="0.15">
      <c r="A559" s="25" t="s">
        <v>41</v>
      </c>
      <c r="B559" s="25">
        <v>551</v>
      </c>
      <c r="C559" s="16">
        <v>5</v>
      </c>
      <c r="D559" s="25">
        <v>71</v>
      </c>
      <c r="E559" s="25">
        <v>220</v>
      </c>
      <c r="F559" s="25" t="s">
        <v>1123</v>
      </c>
    </row>
    <row r="560" spans="1:6" ht="14.25" x14ac:dyDescent="0.15">
      <c r="A560" s="30" t="s">
        <v>41</v>
      </c>
      <c r="B560" s="25">
        <v>552</v>
      </c>
      <c r="C560" s="16">
        <v>5</v>
      </c>
      <c r="D560" s="25">
        <v>72</v>
      </c>
      <c r="E560" s="25">
        <v>223</v>
      </c>
      <c r="F560" s="25" t="s">
        <v>1124</v>
      </c>
    </row>
    <row r="561" spans="1:6" ht="14.25" x14ac:dyDescent="0.15">
      <c r="A561" s="25" t="s">
        <v>41</v>
      </c>
      <c r="B561" s="25">
        <v>553</v>
      </c>
      <c r="C561" s="16">
        <v>5</v>
      </c>
      <c r="D561" s="25">
        <v>73</v>
      </c>
      <c r="E561" s="25">
        <v>226</v>
      </c>
      <c r="F561" s="25" t="s">
        <v>1125</v>
      </c>
    </row>
    <row r="562" spans="1:6" ht="14.25" x14ac:dyDescent="0.15">
      <c r="A562" s="30" t="s">
        <v>41</v>
      </c>
      <c r="B562" s="25">
        <v>554</v>
      </c>
      <c r="C562" s="16">
        <v>5</v>
      </c>
      <c r="D562" s="25">
        <v>74</v>
      </c>
      <c r="E562" s="25">
        <v>229</v>
      </c>
      <c r="F562" s="25" t="s">
        <v>1126</v>
      </c>
    </row>
    <row r="563" spans="1:6" ht="14.25" x14ac:dyDescent="0.15">
      <c r="A563" s="25" t="s">
        <v>41</v>
      </c>
      <c r="B563" s="25">
        <v>555</v>
      </c>
      <c r="C563" s="16">
        <v>5</v>
      </c>
      <c r="D563" s="25">
        <v>75</v>
      </c>
      <c r="E563" s="25">
        <v>232</v>
      </c>
      <c r="F563" s="25" t="s">
        <v>1127</v>
      </c>
    </row>
    <row r="564" spans="1:6" ht="14.25" x14ac:dyDescent="0.15">
      <c r="A564" s="30" t="s">
        <v>41</v>
      </c>
      <c r="B564" s="25">
        <v>556</v>
      </c>
      <c r="C564" s="16">
        <v>5</v>
      </c>
      <c r="D564" s="25">
        <v>76</v>
      </c>
      <c r="E564" s="25">
        <v>235</v>
      </c>
      <c r="F564" s="25" t="s">
        <v>1128</v>
      </c>
    </row>
    <row r="565" spans="1:6" ht="14.25" x14ac:dyDescent="0.15">
      <c r="A565" s="25" t="s">
        <v>41</v>
      </c>
      <c r="B565" s="25">
        <v>557</v>
      </c>
      <c r="C565" s="16">
        <v>5</v>
      </c>
      <c r="D565" s="25">
        <v>77</v>
      </c>
      <c r="E565" s="25">
        <v>238</v>
      </c>
      <c r="F565" s="25" t="s">
        <v>1129</v>
      </c>
    </row>
    <row r="566" spans="1:6" ht="14.25" x14ac:dyDescent="0.15">
      <c r="A566" s="30" t="s">
        <v>41</v>
      </c>
      <c r="B566" s="25">
        <v>558</v>
      </c>
      <c r="C566" s="16">
        <v>5</v>
      </c>
      <c r="D566" s="25">
        <v>78</v>
      </c>
      <c r="E566" s="25">
        <v>241</v>
      </c>
      <c r="F566" s="25" t="s">
        <v>1130</v>
      </c>
    </row>
    <row r="567" spans="1:6" ht="14.25" x14ac:dyDescent="0.15">
      <c r="A567" s="25" t="s">
        <v>41</v>
      </c>
      <c r="B567" s="25">
        <v>559</v>
      </c>
      <c r="C567" s="16">
        <v>5</v>
      </c>
      <c r="D567" s="25">
        <v>79</v>
      </c>
      <c r="E567" s="25">
        <v>244</v>
      </c>
      <c r="F567" s="25" t="s">
        <v>1131</v>
      </c>
    </row>
    <row r="568" spans="1:6" ht="14.25" x14ac:dyDescent="0.15">
      <c r="A568" s="30" t="s">
        <v>41</v>
      </c>
      <c r="B568" s="25">
        <v>560</v>
      </c>
      <c r="C568" s="16">
        <v>5</v>
      </c>
      <c r="D568" s="25">
        <v>80</v>
      </c>
      <c r="E568" s="25">
        <v>247</v>
      </c>
      <c r="F568" s="25" t="s">
        <v>1132</v>
      </c>
    </row>
    <row r="569" spans="1:6" ht="14.25" x14ac:dyDescent="0.15">
      <c r="A569" s="25" t="s">
        <v>41</v>
      </c>
      <c r="B569" s="25">
        <v>561</v>
      </c>
      <c r="C569" s="16">
        <v>5</v>
      </c>
      <c r="D569" s="25">
        <v>81</v>
      </c>
      <c r="E569" s="25">
        <v>250</v>
      </c>
      <c r="F569" s="25" t="s">
        <v>1133</v>
      </c>
    </row>
    <row r="570" spans="1:6" ht="14.25" x14ac:dyDescent="0.15">
      <c r="A570" s="30" t="s">
        <v>41</v>
      </c>
      <c r="B570" s="25">
        <v>562</v>
      </c>
      <c r="C570" s="16">
        <v>5</v>
      </c>
      <c r="D570" s="25">
        <v>82</v>
      </c>
      <c r="E570" s="25">
        <v>253</v>
      </c>
      <c r="F570" s="25" t="s">
        <v>1134</v>
      </c>
    </row>
    <row r="571" spans="1:6" ht="14.25" x14ac:dyDescent="0.15">
      <c r="A571" s="25" t="s">
        <v>41</v>
      </c>
      <c r="B571" s="25">
        <v>563</v>
      </c>
      <c r="C571" s="16">
        <v>5</v>
      </c>
      <c r="D571" s="25">
        <v>83</v>
      </c>
      <c r="E571" s="25">
        <v>256</v>
      </c>
      <c r="F571" s="25" t="s">
        <v>1135</v>
      </c>
    </row>
    <row r="572" spans="1:6" ht="14.25" x14ac:dyDescent="0.15">
      <c r="A572" s="30" t="s">
        <v>41</v>
      </c>
      <c r="B572" s="25">
        <v>564</v>
      </c>
      <c r="C572" s="16">
        <v>5</v>
      </c>
      <c r="D572" s="25">
        <v>84</v>
      </c>
      <c r="E572" s="25">
        <v>259</v>
      </c>
      <c r="F572" s="25" t="s">
        <v>1136</v>
      </c>
    </row>
    <row r="573" spans="1:6" ht="14.25" x14ac:dyDescent="0.15">
      <c r="A573" s="25" t="s">
        <v>41</v>
      </c>
      <c r="B573" s="25">
        <v>565</v>
      </c>
      <c r="C573" s="16">
        <v>5</v>
      </c>
      <c r="D573" s="25">
        <v>85</v>
      </c>
      <c r="E573" s="25">
        <v>262</v>
      </c>
      <c r="F573" s="25" t="s">
        <v>1137</v>
      </c>
    </row>
    <row r="574" spans="1:6" ht="14.25" x14ac:dyDescent="0.15">
      <c r="A574" s="30" t="s">
        <v>41</v>
      </c>
      <c r="B574" s="25">
        <v>566</v>
      </c>
      <c r="C574" s="16">
        <v>5</v>
      </c>
      <c r="D574" s="25">
        <v>86</v>
      </c>
      <c r="E574" s="25">
        <v>265</v>
      </c>
      <c r="F574" s="25" t="s">
        <v>322</v>
      </c>
    </row>
    <row r="575" spans="1:6" ht="14.25" x14ac:dyDescent="0.15">
      <c r="A575" s="25" t="s">
        <v>41</v>
      </c>
      <c r="B575" s="25">
        <v>567</v>
      </c>
      <c r="C575" s="16">
        <v>5</v>
      </c>
      <c r="D575" s="25">
        <v>87</v>
      </c>
      <c r="E575" s="25">
        <v>268</v>
      </c>
      <c r="F575" s="25" t="s">
        <v>1138</v>
      </c>
    </row>
    <row r="576" spans="1:6" ht="14.25" x14ac:dyDescent="0.15">
      <c r="A576" s="30" t="s">
        <v>41</v>
      </c>
      <c r="B576" s="25">
        <v>568</v>
      </c>
      <c r="C576" s="16">
        <v>5</v>
      </c>
      <c r="D576" s="25">
        <v>88</v>
      </c>
      <c r="E576" s="25">
        <v>271</v>
      </c>
      <c r="F576" s="25" t="s">
        <v>1139</v>
      </c>
    </row>
    <row r="577" spans="1:6" ht="14.25" x14ac:dyDescent="0.15">
      <c r="A577" s="25" t="s">
        <v>41</v>
      </c>
      <c r="B577" s="25">
        <v>569</v>
      </c>
      <c r="C577" s="16">
        <v>5</v>
      </c>
      <c r="D577" s="25">
        <v>89</v>
      </c>
      <c r="E577" s="25">
        <v>274</v>
      </c>
      <c r="F577" s="25" t="s">
        <v>1140</v>
      </c>
    </row>
    <row r="578" spans="1:6" ht="14.25" x14ac:dyDescent="0.15">
      <c r="A578" s="30" t="s">
        <v>41</v>
      </c>
      <c r="B578" s="25">
        <v>570</v>
      </c>
      <c r="C578" s="16">
        <v>5</v>
      </c>
      <c r="D578" s="25">
        <v>90</v>
      </c>
      <c r="E578" s="25">
        <v>277</v>
      </c>
      <c r="F578" s="25" t="s">
        <v>1141</v>
      </c>
    </row>
    <row r="579" spans="1:6" ht="14.25" x14ac:dyDescent="0.15">
      <c r="A579" s="25" t="s">
        <v>41</v>
      </c>
      <c r="B579" s="25">
        <v>571</v>
      </c>
      <c r="C579" s="16">
        <v>5</v>
      </c>
      <c r="D579" s="25">
        <v>91</v>
      </c>
      <c r="E579" s="25">
        <v>280</v>
      </c>
      <c r="F579" s="25" t="s">
        <v>1142</v>
      </c>
    </row>
    <row r="580" spans="1:6" ht="14.25" x14ac:dyDescent="0.15">
      <c r="A580" s="30" t="s">
        <v>41</v>
      </c>
      <c r="B580" s="25">
        <v>572</v>
      </c>
      <c r="C580" s="16">
        <v>5</v>
      </c>
      <c r="D580" s="25">
        <v>92</v>
      </c>
      <c r="E580" s="25">
        <v>283</v>
      </c>
      <c r="F580" s="25" t="s">
        <v>1143</v>
      </c>
    </row>
    <row r="581" spans="1:6" ht="14.25" x14ac:dyDescent="0.15">
      <c r="A581" s="25" t="s">
        <v>41</v>
      </c>
      <c r="B581" s="25">
        <v>573</v>
      </c>
      <c r="C581" s="16">
        <v>5</v>
      </c>
      <c r="D581" s="25">
        <v>93</v>
      </c>
      <c r="E581" s="25">
        <v>286</v>
      </c>
      <c r="F581" s="25" t="s">
        <v>1144</v>
      </c>
    </row>
    <row r="582" spans="1:6" ht="14.25" x14ac:dyDescent="0.15">
      <c r="A582" s="30" t="s">
        <v>41</v>
      </c>
      <c r="B582" s="25">
        <v>574</v>
      </c>
      <c r="C582" s="16">
        <v>5</v>
      </c>
      <c r="D582" s="25">
        <v>94</v>
      </c>
      <c r="E582" s="25">
        <v>289</v>
      </c>
      <c r="F582" s="25" t="s">
        <v>1145</v>
      </c>
    </row>
    <row r="583" spans="1:6" ht="14.25" x14ac:dyDescent="0.15">
      <c r="A583" s="25" t="s">
        <v>41</v>
      </c>
      <c r="B583" s="25">
        <v>575</v>
      </c>
      <c r="C583" s="16">
        <v>5</v>
      </c>
      <c r="D583" s="25">
        <v>95</v>
      </c>
      <c r="E583" s="25">
        <v>292</v>
      </c>
      <c r="F583" s="25" t="s">
        <v>1146</v>
      </c>
    </row>
    <row r="584" spans="1:6" ht="14.25" x14ac:dyDescent="0.15">
      <c r="A584" s="30" t="s">
        <v>41</v>
      </c>
      <c r="B584" s="25">
        <v>576</v>
      </c>
      <c r="C584" s="16">
        <v>5</v>
      </c>
      <c r="D584" s="25">
        <v>96</v>
      </c>
      <c r="E584" s="25">
        <v>295</v>
      </c>
      <c r="F584" s="25" t="s">
        <v>1147</v>
      </c>
    </row>
    <row r="585" spans="1:6" ht="14.25" x14ac:dyDescent="0.15">
      <c r="A585" s="25" t="s">
        <v>41</v>
      </c>
      <c r="B585" s="25">
        <v>577</v>
      </c>
      <c r="C585" s="16">
        <v>5</v>
      </c>
      <c r="D585" s="25">
        <v>97</v>
      </c>
      <c r="E585" s="25">
        <v>298</v>
      </c>
      <c r="F585" s="25" t="s">
        <v>1148</v>
      </c>
    </row>
    <row r="586" spans="1:6" ht="14.25" x14ac:dyDescent="0.15">
      <c r="A586" s="30" t="s">
        <v>41</v>
      </c>
      <c r="B586" s="25">
        <v>578</v>
      </c>
      <c r="C586" s="16">
        <v>5</v>
      </c>
      <c r="D586" s="25">
        <v>98</v>
      </c>
      <c r="E586" s="25">
        <v>301</v>
      </c>
      <c r="F586" s="25" t="s">
        <v>1149</v>
      </c>
    </row>
    <row r="587" spans="1:6" ht="14.25" x14ac:dyDescent="0.15">
      <c r="A587" s="25" t="s">
        <v>41</v>
      </c>
      <c r="B587" s="25">
        <v>579</v>
      </c>
      <c r="C587" s="16">
        <v>5</v>
      </c>
      <c r="D587" s="25">
        <v>99</v>
      </c>
      <c r="E587" s="25">
        <v>304</v>
      </c>
      <c r="F587" s="25" t="s">
        <v>1150</v>
      </c>
    </row>
    <row r="588" spans="1:6" ht="14.25" x14ac:dyDescent="0.15">
      <c r="A588" s="30" t="s">
        <v>41</v>
      </c>
      <c r="B588" s="25">
        <v>580</v>
      </c>
      <c r="C588" s="16">
        <v>5</v>
      </c>
      <c r="D588" s="25">
        <v>100</v>
      </c>
      <c r="E588" s="25">
        <v>307</v>
      </c>
      <c r="F588" s="25" t="s">
        <v>1151</v>
      </c>
    </row>
    <row r="589" spans="1:6" ht="14.25" x14ac:dyDescent="0.15">
      <c r="A589" s="25" t="s">
        <v>41</v>
      </c>
      <c r="B589" s="25">
        <v>581</v>
      </c>
      <c r="C589" s="16">
        <v>5</v>
      </c>
      <c r="D589" s="25">
        <v>101</v>
      </c>
      <c r="E589" s="25">
        <v>310</v>
      </c>
      <c r="F589" s="25" t="s">
        <v>1152</v>
      </c>
    </row>
    <row r="590" spans="1:6" ht="14.25" x14ac:dyDescent="0.15">
      <c r="A590" s="30" t="s">
        <v>41</v>
      </c>
      <c r="B590" s="25">
        <v>582</v>
      </c>
      <c r="C590" s="16">
        <v>5</v>
      </c>
      <c r="D590" s="25">
        <v>102</v>
      </c>
      <c r="E590" s="25">
        <v>313</v>
      </c>
      <c r="F590" s="25" t="s">
        <v>1153</v>
      </c>
    </row>
    <row r="591" spans="1:6" ht="14.25" x14ac:dyDescent="0.15">
      <c r="A591" s="25" t="s">
        <v>41</v>
      </c>
      <c r="B591" s="25">
        <v>583</v>
      </c>
      <c r="C591" s="16">
        <v>5</v>
      </c>
      <c r="D591" s="25">
        <v>103</v>
      </c>
      <c r="E591" s="25">
        <v>316</v>
      </c>
      <c r="F591" s="25" t="s">
        <v>1154</v>
      </c>
    </row>
    <row r="592" spans="1:6" ht="14.25" x14ac:dyDescent="0.15">
      <c r="A592" s="30" t="s">
        <v>41</v>
      </c>
      <c r="B592" s="25">
        <v>584</v>
      </c>
      <c r="C592" s="16">
        <v>5</v>
      </c>
      <c r="D592" s="25">
        <v>104</v>
      </c>
      <c r="E592" s="25">
        <v>319</v>
      </c>
      <c r="F592" s="25" t="s">
        <v>1155</v>
      </c>
    </row>
    <row r="593" spans="1:6" ht="14.25" x14ac:dyDescent="0.15">
      <c r="A593" s="25" t="s">
        <v>41</v>
      </c>
      <c r="B593" s="25">
        <v>585</v>
      </c>
      <c r="C593" s="16">
        <v>5</v>
      </c>
      <c r="D593" s="25">
        <v>105</v>
      </c>
      <c r="E593" s="25">
        <v>322</v>
      </c>
      <c r="F593" s="25" t="s">
        <v>1156</v>
      </c>
    </row>
    <row r="594" spans="1:6" ht="14.25" x14ac:dyDescent="0.15">
      <c r="A594" s="30" t="s">
        <v>41</v>
      </c>
      <c r="B594" s="25">
        <v>586</v>
      </c>
      <c r="C594" s="16">
        <v>5</v>
      </c>
      <c r="D594" s="25">
        <v>106</v>
      </c>
      <c r="E594" s="25">
        <v>325</v>
      </c>
      <c r="F594" s="25" t="s">
        <v>1157</v>
      </c>
    </row>
    <row r="595" spans="1:6" ht="14.25" x14ac:dyDescent="0.15">
      <c r="A595" s="25" t="s">
        <v>41</v>
      </c>
      <c r="B595" s="25">
        <v>587</v>
      </c>
      <c r="C595" s="16">
        <v>5</v>
      </c>
      <c r="D595" s="25">
        <v>107</v>
      </c>
      <c r="E595" s="25">
        <v>328</v>
      </c>
      <c r="F595" s="25" t="s">
        <v>1158</v>
      </c>
    </row>
    <row r="596" spans="1:6" ht="14.25" x14ac:dyDescent="0.15">
      <c r="A596" s="30" t="s">
        <v>41</v>
      </c>
      <c r="B596" s="25">
        <v>588</v>
      </c>
      <c r="C596" s="16">
        <v>5</v>
      </c>
      <c r="D596" s="25">
        <v>108</v>
      </c>
      <c r="E596" s="25">
        <v>331</v>
      </c>
      <c r="F596" s="25" t="s">
        <v>1159</v>
      </c>
    </row>
    <row r="597" spans="1:6" ht="14.25" x14ac:dyDescent="0.15">
      <c r="A597" s="25" t="s">
        <v>41</v>
      </c>
      <c r="B597" s="25">
        <v>589</v>
      </c>
      <c r="C597" s="16">
        <v>5</v>
      </c>
      <c r="D597" s="25">
        <v>109</v>
      </c>
      <c r="E597" s="25">
        <v>334</v>
      </c>
      <c r="F597" s="25" t="s">
        <v>323</v>
      </c>
    </row>
    <row r="598" spans="1:6" ht="14.25" x14ac:dyDescent="0.15">
      <c r="A598" s="30" t="s">
        <v>41</v>
      </c>
      <c r="B598" s="25">
        <v>590</v>
      </c>
      <c r="C598" s="16">
        <v>5</v>
      </c>
      <c r="D598" s="25">
        <v>110</v>
      </c>
      <c r="E598" s="25">
        <v>337</v>
      </c>
      <c r="F598" s="25" t="s">
        <v>1160</v>
      </c>
    </row>
    <row r="599" spans="1:6" ht="14.25" x14ac:dyDescent="0.15">
      <c r="A599" s="25" t="s">
        <v>41</v>
      </c>
      <c r="B599" s="25">
        <v>591</v>
      </c>
      <c r="C599" s="16">
        <v>5</v>
      </c>
      <c r="D599" s="25">
        <v>111</v>
      </c>
      <c r="E599" s="25">
        <v>340</v>
      </c>
      <c r="F599" s="25" t="s">
        <v>1161</v>
      </c>
    </row>
    <row r="600" spans="1:6" ht="14.25" x14ac:dyDescent="0.15">
      <c r="A600" s="30" t="s">
        <v>41</v>
      </c>
      <c r="B600" s="25">
        <v>592</v>
      </c>
      <c r="C600" s="16">
        <v>5</v>
      </c>
      <c r="D600" s="25">
        <v>112</v>
      </c>
      <c r="E600" s="25">
        <v>343</v>
      </c>
      <c r="F600" s="25" t="s">
        <v>1162</v>
      </c>
    </row>
    <row r="601" spans="1:6" ht="14.25" x14ac:dyDescent="0.15">
      <c r="A601" s="25" t="s">
        <v>41</v>
      </c>
      <c r="B601" s="25">
        <v>593</v>
      </c>
      <c r="C601" s="16">
        <v>5</v>
      </c>
      <c r="D601" s="25">
        <v>113</v>
      </c>
      <c r="E601" s="25">
        <v>346</v>
      </c>
      <c r="F601" s="25" t="s">
        <v>1163</v>
      </c>
    </row>
    <row r="602" spans="1:6" ht="14.25" x14ac:dyDescent="0.15">
      <c r="A602" s="30" t="s">
        <v>41</v>
      </c>
      <c r="B602" s="25">
        <v>594</v>
      </c>
      <c r="C602" s="16">
        <v>5</v>
      </c>
      <c r="D602" s="25">
        <v>114</v>
      </c>
      <c r="E602" s="25">
        <v>349</v>
      </c>
      <c r="F602" s="25" t="s">
        <v>1166</v>
      </c>
    </row>
    <row r="603" spans="1:6" ht="14.25" x14ac:dyDescent="0.15">
      <c r="A603" s="25" t="s">
        <v>41</v>
      </c>
      <c r="B603" s="25">
        <v>595</v>
      </c>
      <c r="C603" s="16">
        <v>5</v>
      </c>
      <c r="D603" s="25">
        <v>115</v>
      </c>
      <c r="E603" s="25">
        <v>352</v>
      </c>
      <c r="F603" s="25" t="s">
        <v>1164</v>
      </c>
    </row>
    <row r="604" spans="1:6" ht="14.25" x14ac:dyDescent="0.15">
      <c r="A604" s="30" t="s">
        <v>41</v>
      </c>
      <c r="B604" s="25">
        <v>596</v>
      </c>
      <c r="C604" s="16">
        <v>5</v>
      </c>
      <c r="D604" s="25">
        <v>116</v>
      </c>
      <c r="E604" s="25">
        <v>355</v>
      </c>
      <c r="F604" s="25" t="s">
        <v>1165</v>
      </c>
    </row>
    <row r="605" spans="1:6" ht="14.25" x14ac:dyDescent="0.15">
      <c r="A605" s="25" t="s">
        <v>41</v>
      </c>
      <c r="B605" s="25">
        <v>597</v>
      </c>
      <c r="C605" s="16">
        <v>5</v>
      </c>
      <c r="D605" s="25">
        <v>117</v>
      </c>
      <c r="E605" s="25">
        <v>358</v>
      </c>
      <c r="F605" s="25" t="s">
        <v>1167</v>
      </c>
    </row>
    <row r="606" spans="1:6" ht="14.25" x14ac:dyDescent="0.15">
      <c r="A606" s="30" t="s">
        <v>41</v>
      </c>
      <c r="B606" s="25">
        <v>598</v>
      </c>
      <c r="C606" s="16">
        <v>5</v>
      </c>
      <c r="D606" s="25">
        <v>118</v>
      </c>
      <c r="E606" s="25">
        <v>361</v>
      </c>
      <c r="F606" s="25" t="s">
        <v>1168</v>
      </c>
    </row>
    <row r="607" spans="1:6" ht="14.25" x14ac:dyDescent="0.15">
      <c r="A607" s="25" t="s">
        <v>41</v>
      </c>
      <c r="B607" s="25">
        <v>599</v>
      </c>
      <c r="C607" s="16">
        <v>5</v>
      </c>
      <c r="D607" s="25">
        <v>119</v>
      </c>
      <c r="E607" s="25">
        <v>364</v>
      </c>
      <c r="F607" s="25" t="s">
        <v>1169</v>
      </c>
    </row>
    <row r="608" spans="1:6" ht="14.25" x14ac:dyDescent="0.15">
      <c r="A608" s="30" t="s">
        <v>41</v>
      </c>
      <c r="B608" s="25">
        <v>600</v>
      </c>
      <c r="C608" s="16">
        <v>5</v>
      </c>
      <c r="D608" s="25">
        <v>120</v>
      </c>
      <c r="E608" s="25">
        <v>367</v>
      </c>
      <c r="F608" s="25" t="s">
        <v>1170</v>
      </c>
    </row>
    <row r="609" spans="1:6" ht="14.25" x14ac:dyDescent="0.15">
      <c r="A609" s="25" t="s">
        <v>41</v>
      </c>
      <c r="B609" s="25">
        <v>601</v>
      </c>
      <c r="C609" s="16">
        <v>6</v>
      </c>
      <c r="D609" s="25">
        <v>1</v>
      </c>
      <c r="E609" s="25">
        <v>8</v>
      </c>
      <c r="F609" s="25"/>
    </row>
    <row r="610" spans="1:6" ht="14.25" x14ac:dyDescent="0.15">
      <c r="A610" s="30" t="s">
        <v>41</v>
      </c>
      <c r="B610" s="25">
        <v>602</v>
      </c>
      <c r="C610" s="16">
        <v>6</v>
      </c>
      <c r="D610" s="25">
        <v>2</v>
      </c>
      <c r="E610" s="25">
        <v>10</v>
      </c>
      <c r="F610" s="25" t="s">
        <v>60</v>
      </c>
    </row>
    <row r="611" spans="1:6" ht="14.25" x14ac:dyDescent="0.15">
      <c r="A611" s="25" t="s">
        <v>41</v>
      </c>
      <c r="B611" s="25">
        <v>603</v>
      </c>
      <c r="C611" s="16">
        <v>6</v>
      </c>
      <c r="D611" s="25">
        <v>3</v>
      </c>
      <c r="E611" s="25">
        <v>12</v>
      </c>
      <c r="F611" s="25" t="s">
        <v>62</v>
      </c>
    </row>
    <row r="612" spans="1:6" ht="14.25" x14ac:dyDescent="0.15">
      <c r="A612" s="30" t="s">
        <v>41</v>
      </c>
      <c r="B612" s="25">
        <v>604</v>
      </c>
      <c r="C612" s="16">
        <v>6</v>
      </c>
      <c r="D612" s="25">
        <v>4</v>
      </c>
      <c r="E612" s="25">
        <v>14</v>
      </c>
      <c r="F612" s="25" t="s">
        <v>1082</v>
      </c>
    </row>
    <row r="613" spans="1:6" ht="14.25" x14ac:dyDescent="0.15">
      <c r="A613" s="25" t="s">
        <v>41</v>
      </c>
      <c r="B613" s="25">
        <v>605</v>
      </c>
      <c r="C613" s="16">
        <v>6</v>
      </c>
      <c r="D613" s="25">
        <v>5</v>
      </c>
      <c r="E613" s="25">
        <v>16</v>
      </c>
      <c r="F613" s="25" t="s">
        <v>1084</v>
      </c>
    </row>
    <row r="614" spans="1:6" ht="14.25" x14ac:dyDescent="0.15">
      <c r="A614" s="30" t="s">
        <v>41</v>
      </c>
      <c r="B614" s="25">
        <v>606</v>
      </c>
      <c r="C614" s="16">
        <v>6</v>
      </c>
      <c r="D614" s="25">
        <v>6</v>
      </c>
      <c r="E614" s="25">
        <v>18</v>
      </c>
      <c r="F614" s="25" t="s">
        <v>1083</v>
      </c>
    </row>
    <row r="615" spans="1:6" ht="14.25" x14ac:dyDescent="0.15">
      <c r="A615" s="25" t="s">
        <v>41</v>
      </c>
      <c r="B615" s="25">
        <v>607</v>
      </c>
      <c r="C615" s="16">
        <v>6</v>
      </c>
      <c r="D615" s="25">
        <v>7</v>
      </c>
      <c r="E615" s="25">
        <v>20</v>
      </c>
      <c r="F615" s="25" t="s">
        <v>1085</v>
      </c>
    </row>
    <row r="616" spans="1:6" ht="14.25" x14ac:dyDescent="0.15">
      <c r="A616" s="30" t="s">
        <v>41</v>
      </c>
      <c r="B616" s="25">
        <v>608</v>
      </c>
      <c r="C616" s="16">
        <v>6</v>
      </c>
      <c r="D616" s="25">
        <v>8</v>
      </c>
      <c r="E616" s="25">
        <v>22</v>
      </c>
      <c r="F616" s="25" t="s">
        <v>74</v>
      </c>
    </row>
    <row r="617" spans="1:6" ht="14.25" x14ac:dyDescent="0.15">
      <c r="A617" s="25" t="s">
        <v>41</v>
      </c>
      <c r="B617" s="25">
        <v>609</v>
      </c>
      <c r="C617" s="16">
        <v>6</v>
      </c>
      <c r="D617" s="25">
        <v>9</v>
      </c>
      <c r="E617" s="25">
        <v>24</v>
      </c>
      <c r="F617" s="25" t="s">
        <v>1086</v>
      </c>
    </row>
    <row r="618" spans="1:6" ht="14.25" x14ac:dyDescent="0.15">
      <c r="A618" s="30" t="s">
        <v>41</v>
      </c>
      <c r="B618" s="25">
        <v>610</v>
      </c>
      <c r="C618" s="16">
        <v>6</v>
      </c>
      <c r="D618" s="25">
        <v>10</v>
      </c>
      <c r="E618" s="25">
        <v>26</v>
      </c>
      <c r="F618" s="25" t="s">
        <v>79</v>
      </c>
    </row>
    <row r="619" spans="1:6" ht="14.25" x14ac:dyDescent="0.15">
      <c r="A619" s="25" t="s">
        <v>41</v>
      </c>
      <c r="B619" s="25">
        <v>611</v>
      </c>
      <c r="C619" s="16">
        <v>6</v>
      </c>
      <c r="D619" s="25">
        <v>11</v>
      </c>
      <c r="E619" s="25">
        <v>28</v>
      </c>
      <c r="F619" s="25" t="s">
        <v>1087</v>
      </c>
    </row>
    <row r="620" spans="1:6" ht="14.25" x14ac:dyDescent="0.15">
      <c r="A620" s="30" t="s">
        <v>41</v>
      </c>
      <c r="B620" s="25">
        <v>612</v>
      </c>
      <c r="C620" s="16">
        <v>6</v>
      </c>
      <c r="D620" s="25">
        <v>12</v>
      </c>
      <c r="E620" s="25">
        <v>30</v>
      </c>
      <c r="F620" s="25" t="s">
        <v>84</v>
      </c>
    </row>
    <row r="621" spans="1:6" ht="14.25" x14ac:dyDescent="0.15">
      <c r="A621" s="25" t="s">
        <v>41</v>
      </c>
      <c r="B621" s="25">
        <v>613</v>
      </c>
      <c r="C621" s="16">
        <v>6</v>
      </c>
      <c r="D621" s="25">
        <v>13</v>
      </c>
      <c r="E621" s="25">
        <v>32</v>
      </c>
      <c r="F621" s="25" t="s">
        <v>1088</v>
      </c>
    </row>
    <row r="622" spans="1:6" ht="14.25" x14ac:dyDescent="0.15">
      <c r="A622" s="30" t="s">
        <v>41</v>
      </c>
      <c r="B622" s="25">
        <v>614</v>
      </c>
      <c r="C622" s="16">
        <v>6</v>
      </c>
      <c r="D622" s="25">
        <v>14</v>
      </c>
      <c r="E622" s="25">
        <v>34</v>
      </c>
      <c r="F622" s="25" t="s">
        <v>89</v>
      </c>
    </row>
    <row r="623" spans="1:6" ht="14.25" x14ac:dyDescent="0.15">
      <c r="A623" s="25" t="s">
        <v>41</v>
      </c>
      <c r="B623" s="25">
        <v>615</v>
      </c>
      <c r="C623" s="16">
        <v>6</v>
      </c>
      <c r="D623" s="25">
        <v>15</v>
      </c>
      <c r="E623" s="25">
        <v>36</v>
      </c>
      <c r="F623" s="25" t="s">
        <v>1089</v>
      </c>
    </row>
    <row r="624" spans="1:6" ht="14.25" x14ac:dyDescent="0.15">
      <c r="A624" s="30" t="s">
        <v>41</v>
      </c>
      <c r="B624" s="25">
        <v>616</v>
      </c>
      <c r="C624" s="16">
        <v>6</v>
      </c>
      <c r="D624" s="25">
        <v>16</v>
      </c>
      <c r="E624" s="25">
        <v>38</v>
      </c>
      <c r="F624" s="25" t="s">
        <v>94</v>
      </c>
    </row>
    <row r="625" spans="1:6" ht="14.25" x14ac:dyDescent="0.15">
      <c r="A625" s="25" t="s">
        <v>41</v>
      </c>
      <c r="B625" s="25">
        <v>617</v>
      </c>
      <c r="C625" s="16">
        <v>6</v>
      </c>
      <c r="D625" s="25">
        <v>17</v>
      </c>
      <c r="E625" s="25">
        <v>40</v>
      </c>
      <c r="F625" s="25" t="s">
        <v>1090</v>
      </c>
    </row>
    <row r="626" spans="1:6" ht="14.25" x14ac:dyDescent="0.15">
      <c r="A626" s="30" t="s">
        <v>41</v>
      </c>
      <c r="B626" s="25">
        <v>618</v>
      </c>
      <c r="C626" s="16">
        <v>6</v>
      </c>
      <c r="D626" s="25">
        <v>18</v>
      </c>
      <c r="E626" s="25">
        <v>42</v>
      </c>
      <c r="F626" s="25" t="s">
        <v>99</v>
      </c>
    </row>
    <row r="627" spans="1:6" ht="14.25" x14ac:dyDescent="0.15">
      <c r="A627" s="25" t="s">
        <v>41</v>
      </c>
      <c r="B627" s="25">
        <v>619</v>
      </c>
      <c r="C627" s="16">
        <v>6</v>
      </c>
      <c r="D627" s="25">
        <v>19</v>
      </c>
      <c r="E627" s="25">
        <v>44</v>
      </c>
      <c r="F627" s="25" t="s">
        <v>1091</v>
      </c>
    </row>
    <row r="628" spans="1:6" ht="14.25" x14ac:dyDescent="0.15">
      <c r="A628" s="30" t="s">
        <v>41</v>
      </c>
      <c r="B628" s="25">
        <v>620</v>
      </c>
      <c r="C628" s="16">
        <v>6</v>
      </c>
      <c r="D628" s="25">
        <v>20</v>
      </c>
      <c r="E628" s="25">
        <v>46</v>
      </c>
      <c r="F628" s="25" t="s">
        <v>104</v>
      </c>
    </row>
    <row r="629" spans="1:6" ht="14.25" x14ac:dyDescent="0.15">
      <c r="A629" s="25" t="s">
        <v>41</v>
      </c>
      <c r="B629" s="25">
        <v>621</v>
      </c>
      <c r="C629" s="16">
        <v>6</v>
      </c>
      <c r="D629" s="25">
        <v>21</v>
      </c>
      <c r="E629" s="25">
        <v>48</v>
      </c>
      <c r="F629" s="25" t="s">
        <v>1092</v>
      </c>
    </row>
    <row r="630" spans="1:6" ht="14.25" x14ac:dyDescent="0.15">
      <c r="A630" s="30" t="s">
        <v>41</v>
      </c>
      <c r="B630" s="25">
        <v>622</v>
      </c>
      <c r="C630" s="16">
        <v>6</v>
      </c>
      <c r="D630" s="25">
        <v>22</v>
      </c>
      <c r="E630" s="25">
        <v>50</v>
      </c>
      <c r="F630" s="25" t="s">
        <v>109</v>
      </c>
    </row>
    <row r="631" spans="1:6" ht="14.25" x14ac:dyDescent="0.15">
      <c r="A631" s="25" t="s">
        <v>41</v>
      </c>
      <c r="B631" s="25">
        <v>623</v>
      </c>
      <c r="C631" s="16">
        <v>6</v>
      </c>
      <c r="D631" s="25">
        <v>23</v>
      </c>
      <c r="E631" s="25">
        <v>52</v>
      </c>
      <c r="F631" s="25" t="s">
        <v>1093</v>
      </c>
    </row>
    <row r="632" spans="1:6" ht="14.25" x14ac:dyDescent="0.15">
      <c r="A632" s="30" t="s">
        <v>41</v>
      </c>
      <c r="B632" s="25">
        <v>624</v>
      </c>
      <c r="C632" s="16">
        <v>6</v>
      </c>
      <c r="D632" s="25">
        <v>24</v>
      </c>
      <c r="E632" s="25">
        <v>54</v>
      </c>
      <c r="F632" s="25" t="s">
        <v>115</v>
      </c>
    </row>
    <row r="633" spans="1:6" ht="14.25" x14ac:dyDescent="0.15">
      <c r="A633" s="25" t="s">
        <v>41</v>
      </c>
      <c r="B633" s="25">
        <v>625</v>
      </c>
      <c r="C633" s="16">
        <v>6</v>
      </c>
      <c r="D633" s="25">
        <v>25</v>
      </c>
      <c r="E633" s="25">
        <v>56</v>
      </c>
      <c r="F633" s="25" t="s">
        <v>118</v>
      </c>
    </row>
    <row r="634" spans="1:6" ht="14.25" x14ac:dyDescent="0.15">
      <c r="A634" s="30" t="s">
        <v>41</v>
      </c>
      <c r="B634" s="25">
        <v>626</v>
      </c>
      <c r="C634" s="16">
        <v>6</v>
      </c>
      <c r="D634" s="25">
        <v>26</v>
      </c>
      <c r="E634" s="25">
        <v>58</v>
      </c>
      <c r="F634" s="25" t="s">
        <v>121</v>
      </c>
    </row>
    <row r="635" spans="1:6" ht="14.25" x14ac:dyDescent="0.15">
      <c r="A635" s="25" t="s">
        <v>41</v>
      </c>
      <c r="B635" s="25">
        <v>627</v>
      </c>
      <c r="C635" s="16">
        <v>6</v>
      </c>
      <c r="D635" s="25">
        <v>27</v>
      </c>
      <c r="E635" s="25">
        <v>60</v>
      </c>
      <c r="F635" s="25" t="s">
        <v>124</v>
      </c>
    </row>
    <row r="636" spans="1:6" ht="14.25" x14ac:dyDescent="0.15">
      <c r="A636" s="30" t="s">
        <v>41</v>
      </c>
      <c r="B636" s="25">
        <v>628</v>
      </c>
      <c r="C636" s="16">
        <v>6</v>
      </c>
      <c r="D636" s="25">
        <v>28</v>
      </c>
      <c r="E636" s="25">
        <v>62</v>
      </c>
      <c r="F636" s="25" t="s">
        <v>127</v>
      </c>
    </row>
    <row r="637" spans="1:6" ht="14.25" x14ac:dyDescent="0.15">
      <c r="A637" s="25" t="s">
        <v>41</v>
      </c>
      <c r="B637" s="25">
        <v>629</v>
      </c>
      <c r="C637" s="16">
        <v>6</v>
      </c>
      <c r="D637" s="25">
        <v>29</v>
      </c>
      <c r="E637" s="25">
        <v>64</v>
      </c>
      <c r="F637" s="25" t="s">
        <v>130</v>
      </c>
    </row>
    <row r="638" spans="1:6" ht="14.25" x14ac:dyDescent="0.15">
      <c r="A638" s="30" t="s">
        <v>41</v>
      </c>
      <c r="B638" s="25">
        <v>630</v>
      </c>
      <c r="C638" s="16">
        <v>6</v>
      </c>
      <c r="D638" s="25">
        <v>30</v>
      </c>
      <c r="E638" s="25">
        <v>66</v>
      </c>
      <c r="F638" s="25" t="s">
        <v>133</v>
      </c>
    </row>
    <row r="639" spans="1:6" ht="14.25" x14ac:dyDescent="0.15">
      <c r="A639" s="25" t="s">
        <v>41</v>
      </c>
      <c r="B639" s="25">
        <v>631</v>
      </c>
      <c r="C639" s="16">
        <v>6</v>
      </c>
      <c r="D639" s="25">
        <v>31</v>
      </c>
      <c r="E639" s="25">
        <v>68</v>
      </c>
      <c r="F639" s="25" t="s">
        <v>136</v>
      </c>
    </row>
    <row r="640" spans="1:6" ht="14.25" x14ac:dyDescent="0.15">
      <c r="A640" s="30" t="s">
        <v>41</v>
      </c>
      <c r="B640" s="25">
        <v>632</v>
      </c>
      <c r="C640" s="16">
        <v>6</v>
      </c>
      <c r="D640" s="25">
        <v>32</v>
      </c>
      <c r="E640" s="25">
        <v>70</v>
      </c>
      <c r="F640" s="25" t="s">
        <v>139</v>
      </c>
    </row>
    <row r="641" spans="1:6" ht="14.25" x14ac:dyDescent="0.15">
      <c r="A641" s="25" t="s">
        <v>41</v>
      </c>
      <c r="B641" s="25">
        <v>633</v>
      </c>
      <c r="C641" s="16">
        <v>6</v>
      </c>
      <c r="D641" s="25">
        <v>33</v>
      </c>
      <c r="E641" s="25">
        <v>72</v>
      </c>
      <c r="F641" s="25" t="s">
        <v>1094</v>
      </c>
    </row>
    <row r="642" spans="1:6" ht="14.25" x14ac:dyDescent="0.15">
      <c r="A642" s="30" t="s">
        <v>41</v>
      </c>
      <c r="B642" s="25">
        <v>634</v>
      </c>
      <c r="C642" s="16">
        <v>6</v>
      </c>
      <c r="D642" s="25">
        <v>34</v>
      </c>
      <c r="E642" s="25">
        <v>74</v>
      </c>
      <c r="F642" s="25" t="s">
        <v>149</v>
      </c>
    </row>
    <row r="643" spans="1:6" ht="14.25" x14ac:dyDescent="0.15">
      <c r="A643" s="25" t="s">
        <v>41</v>
      </c>
      <c r="B643" s="25">
        <v>635</v>
      </c>
      <c r="C643" s="16">
        <v>6</v>
      </c>
      <c r="D643" s="25">
        <v>35</v>
      </c>
      <c r="E643" s="25">
        <v>76</v>
      </c>
      <c r="F643" s="25" t="s">
        <v>154</v>
      </c>
    </row>
    <row r="644" spans="1:6" ht="14.25" x14ac:dyDescent="0.15">
      <c r="A644" s="30" t="s">
        <v>41</v>
      </c>
      <c r="B644" s="25">
        <v>636</v>
      </c>
      <c r="C644" s="16">
        <v>6</v>
      </c>
      <c r="D644" s="25">
        <v>36</v>
      </c>
      <c r="E644" s="25">
        <v>78</v>
      </c>
      <c r="F644" s="25" t="s">
        <v>159</v>
      </c>
    </row>
    <row r="645" spans="1:6" ht="14.25" x14ac:dyDescent="0.15">
      <c r="A645" s="25" t="s">
        <v>41</v>
      </c>
      <c r="B645" s="25">
        <v>637</v>
      </c>
      <c r="C645" s="16">
        <v>6</v>
      </c>
      <c r="D645" s="25">
        <v>37</v>
      </c>
      <c r="E645" s="25">
        <v>80</v>
      </c>
      <c r="F645" s="25" t="s">
        <v>164</v>
      </c>
    </row>
    <row r="646" spans="1:6" ht="14.25" x14ac:dyDescent="0.15">
      <c r="A646" s="30" t="s">
        <v>41</v>
      </c>
      <c r="B646" s="25">
        <v>638</v>
      </c>
      <c r="C646" s="16">
        <v>6</v>
      </c>
      <c r="D646" s="25">
        <v>38</v>
      </c>
      <c r="E646" s="25">
        <v>82</v>
      </c>
      <c r="F646" s="25" t="s">
        <v>169</v>
      </c>
    </row>
    <row r="647" spans="1:6" ht="14.25" x14ac:dyDescent="0.15">
      <c r="A647" s="25" t="s">
        <v>41</v>
      </c>
      <c r="B647" s="25">
        <v>639</v>
      </c>
      <c r="C647" s="16">
        <v>6</v>
      </c>
      <c r="D647" s="25">
        <v>39</v>
      </c>
      <c r="E647" s="25">
        <v>84</v>
      </c>
      <c r="F647" s="25" t="s">
        <v>174</v>
      </c>
    </row>
    <row r="648" spans="1:6" ht="14.25" x14ac:dyDescent="0.15">
      <c r="A648" s="30" t="s">
        <v>41</v>
      </c>
      <c r="B648" s="25">
        <v>640</v>
      </c>
      <c r="C648" s="16">
        <v>6</v>
      </c>
      <c r="D648" s="25">
        <v>40</v>
      </c>
      <c r="E648" s="25">
        <v>86</v>
      </c>
      <c r="F648" s="25" t="s">
        <v>179</v>
      </c>
    </row>
    <row r="649" spans="1:6" ht="14.25" x14ac:dyDescent="0.15">
      <c r="A649" s="25" t="s">
        <v>41</v>
      </c>
      <c r="B649" s="25">
        <v>641</v>
      </c>
      <c r="C649" s="16">
        <v>6</v>
      </c>
      <c r="D649" s="25">
        <v>41</v>
      </c>
      <c r="E649" s="25">
        <v>88</v>
      </c>
      <c r="F649" s="25" t="s">
        <v>1095</v>
      </c>
    </row>
    <row r="650" spans="1:6" ht="14.25" x14ac:dyDescent="0.15">
      <c r="A650" s="30" t="s">
        <v>41</v>
      </c>
      <c r="B650" s="25">
        <v>642</v>
      </c>
      <c r="C650" s="16">
        <v>6</v>
      </c>
      <c r="D650" s="25">
        <v>42</v>
      </c>
      <c r="E650" s="25">
        <v>90</v>
      </c>
      <c r="F650" s="25" t="s">
        <v>1096</v>
      </c>
    </row>
    <row r="651" spans="1:6" ht="14.25" x14ac:dyDescent="0.15">
      <c r="A651" s="25" t="s">
        <v>41</v>
      </c>
      <c r="B651" s="25">
        <v>643</v>
      </c>
      <c r="C651" s="16">
        <v>6</v>
      </c>
      <c r="D651" s="25">
        <v>43</v>
      </c>
      <c r="E651" s="25">
        <v>92</v>
      </c>
      <c r="F651" s="25" t="s">
        <v>1097</v>
      </c>
    </row>
    <row r="652" spans="1:6" ht="14.25" x14ac:dyDescent="0.15">
      <c r="A652" s="30" t="s">
        <v>41</v>
      </c>
      <c r="B652" s="25">
        <v>644</v>
      </c>
      <c r="C652" s="16">
        <v>6</v>
      </c>
      <c r="D652" s="25">
        <v>44</v>
      </c>
      <c r="E652" s="25">
        <v>94</v>
      </c>
      <c r="F652" s="25" t="s">
        <v>1098</v>
      </c>
    </row>
    <row r="653" spans="1:6" ht="14.25" x14ac:dyDescent="0.15">
      <c r="A653" s="25" t="s">
        <v>41</v>
      </c>
      <c r="B653" s="25">
        <v>645</v>
      </c>
      <c r="C653" s="16">
        <v>6</v>
      </c>
      <c r="D653" s="25">
        <v>45</v>
      </c>
      <c r="E653" s="25">
        <v>96</v>
      </c>
      <c r="F653" s="25" t="s">
        <v>1099</v>
      </c>
    </row>
    <row r="654" spans="1:6" ht="14.25" x14ac:dyDescent="0.15">
      <c r="A654" s="30" t="s">
        <v>41</v>
      </c>
      <c r="B654" s="25">
        <v>646</v>
      </c>
      <c r="C654" s="16">
        <v>6</v>
      </c>
      <c r="D654" s="25">
        <v>46</v>
      </c>
      <c r="E654" s="25">
        <v>98</v>
      </c>
      <c r="F654" s="25" t="s">
        <v>1100</v>
      </c>
    </row>
    <row r="655" spans="1:6" ht="14.25" x14ac:dyDescent="0.15">
      <c r="A655" s="25" t="s">
        <v>41</v>
      </c>
      <c r="B655" s="25">
        <v>647</v>
      </c>
      <c r="C655" s="16">
        <v>6</v>
      </c>
      <c r="D655" s="25">
        <v>47</v>
      </c>
      <c r="E655" s="25">
        <v>100</v>
      </c>
      <c r="F655" s="25" t="s">
        <v>1101</v>
      </c>
    </row>
    <row r="656" spans="1:6" ht="14.25" x14ac:dyDescent="0.15">
      <c r="A656" s="30" t="s">
        <v>41</v>
      </c>
      <c r="B656" s="25">
        <v>648</v>
      </c>
      <c r="C656" s="16">
        <v>6</v>
      </c>
      <c r="D656" s="25">
        <v>48</v>
      </c>
      <c r="E656" s="25">
        <v>102</v>
      </c>
      <c r="F656" s="25" t="s">
        <v>1102</v>
      </c>
    </row>
    <row r="657" spans="1:6" ht="14.25" x14ac:dyDescent="0.15">
      <c r="A657" s="25" t="s">
        <v>41</v>
      </c>
      <c r="B657" s="25">
        <v>649</v>
      </c>
      <c r="C657" s="16">
        <v>6</v>
      </c>
      <c r="D657" s="25">
        <v>49</v>
      </c>
      <c r="E657" s="25">
        <v>104</v>
      </c>
      <c r="F657" s="25" t="s">
        <v>1103</v>
      </c>
    </row>
    <row r="658" spans="1:6" ht="14.25" x14ac:dyDescent="0.15">
      <c r="A658" s="30" t="s">
        <v>41</v>
      </c>
      <c r="B658" s="25">
        <v>650</v>
      </c>
      <c r="C658" s="16">
        <v>6</v>
      </c>
      <c r="D658" s="25">
        <v>50</v>
      </c>
      <c r="E658" s="25">
        <v>106</v>
      </c>
      <c r="F658" s="25" t="s">
        <v>630</v>
      </c>
    </row>
    <row r="659" spans="1:6" ht="14.25" x14ac:dyDescent="0.15">
      <c r="A659" s="25" t="s">
        <v>41</v>
      </c>
      <c r="B659" s="25">
        <v>651</v>
      </c>
      <c r="C659" s="16">
        <v>6</v>
      </c>
      <c r="D659" s="25">
        <v>51</v>
      </c>
      <c r="E659" s="25">
        <v>108</v>
      </c>
      <c r="F659" s="25" t="s">
        <v>1104</v>
      </c>
    </row>
    <row r="660" spans="1:6" ht="14.25" x14ac:dyDescent="0.15">
      <c r="A660" s="30" t="s">
        <v>41</v>
      </c>
      <c r="B660" s="25">
        <v>652</v>
      </c>
      <c r="C660" s="16">
        <v>6</v>
      </c>
      <c r="D660" s="25">
        <v>52</v>
      </c>
      <c r="E660" s="25">
        <v>110</v>
      </c>
      <c r="F660" s="25" t="s">
        <v>1105</v>
      </c>
    </row>
    <row r="661" spans="1:6" ht="14.25" x14ac:dyDescent="0.15">
      <c r="A661" s="25" t="s">
        <v>41</v>
      </c>
      <c r="B661" s="25">
        <v>653</v>
      </c>
      <c r="C661" s="16">
        <v>6</v>
      </c>
      <c r="D661" s="25">
        <v>53</v>
      </c>
      <c r="E661" s="25">
        <v>112</v>
      </c>
      <c r="F661" s="25" t="s">
        <v>1106</v>
      </c>
    </row>
    <row r="662" spans="1:6" ht="14.25" x14ac:dyDescent="0.15">
      <c r="A662" s="30" t="s">
        <v>41</v>
      </c>
      <c r="B662" s="25">
        <v>654</v>
      </c>
      <c r="C662" s="16">
        <v>6</v>
      </c>
      <c r="D662" s="25">
        <v>54</v>
      </c>
      <c r="E662" s="25">
        <v>114</v>
      </c>
      <c r="F662" s="25" t="s">
        <v>1107</v>
      </c>
    </row>
    <row r="663" spans="1:6" ht="14.25" x14ac:dyDescent="0.15">
      <c r="A663" s="25" t="s">
        <v>41</v>
      </c>
      <c r="B663" s="25">
        <v>655</v>
      </c>
      <c r="C663" s="16">
        <v>6</v>
      </c>
      <c r="D663" s="25">
        <v>55</v>
      </c>
      <c r="E663" s="25">
        <v>116</v>
      </c>
      <c r="F663" s="25" t="s">
        <v>1108</v>
      </c>
    </row>
    <row r="664" spans="1:6" ht="14.25" x14ac:dyDescent="0.15">
      <c r="A664" s="30" t="s">
        <v>41</v>
      </c>
      <c r="B664" s="25">
        <v>656</v>
      </c>
      <c r="C664" s="16">
        <v>6</v>
      </c>
      <c r="D664" s="25">
        <v>56</v>
      </c>
      <c r="E664" s="25">
        <v>118</v>
      </c>
      <c r="F664" s="25" t="s">
        <v>1109</v>
      </c>
    </row>
    <row r="665" spans="1:6" ht="14.25" x14ac:dyDescent="0.15">
      <c r="A665" s="25" t="s">
        <v>41</v>
      </c>
      <c r="B665" s="25">
        <v>657</v>
      </c>
      <c r="C665" s="16">
        <v>6</v>
      </c>
      <c r="D665" s="25">
        <v>57</v>
      </c>
      <c r="E665" s="25">
        <v>120</v>
      </c>
      <c r="F665" s="25" t="s">
        <v>1110</v>
      </c>
    </row>
    <row r="666" spans="1:6" ht="14.25" x14ac:dyDescent="0.15">
      <c r="A666" s="30" t="s">
        <v>41</v>
      </c>
      <c r="B666" s="25">
        <v>658</v>
      </c>
      <c r="C666" s="16">
        <v>6</v>
      </c>
      <c r="D666" s="25">
        <v>58</v>
      </c>
      <c r="E666" s="25">
        <v>122</v>
      </c>
      <c r="F666" s="25" t="s">
        <v>1111</v>
      </c>
    </row>
    <row r="667" spans="1:6" ht="14.25" x14ac:dyDescent="0.15">
      <c r="A667" s="25" t="s">
        <v>41</v>
      </c>
      <c r="B667" s="25">
        <v>659</v>
      </c>
      <c r="C667" s="16">
        <v>6</v>
      </c>
      <c r="D667" s="25">
        <v>59</v>
      </c>
      <c r="E667" s="25">
        <v>124</v>
      </c>
      <c r="F667" s="25" t="s">
        <v>1112</v>
      </c>
    </row>
    <row r="668" spans="1:6" ht="14.25" x14ac:dyDescent="0.15">
      <c r="A668" s="30" t="s">
        <v>41</v>
      </c>
      <c r="B668" s="25">
        <v>660</v>
      </c>
      <c r="C668" s="16">
        <v>6</v>
      </c>
      <c r="D668" s="25">
        <v>60</v>
      </c>
      <c r="E668" s="25">
        <v>126</v>
      </c>
      <c r="F668" s="25" t="s">
        <v>631</v>
      </c>
    </row>
    <row r="669" spans="1:6" ht="14.25" x14ac:dyDescent="0.15">
      <c r="A669" s="25" t="s">
        <v>41</v>
      </c>
      <c r="B669" s="25">
        <v>661</v>
      </c>
      <c r="C669" s="16">
        <v>6</v>
      </c>
      <c r="D669" s="25">
        <v>61</v>
      </c>
      <c r="E669" s="25">
        <v>128</v>
      </c>
      <c r="F669" s="25" t="s">
        <v>1113</v>
      </c>
    </row>
    <row r="670" spans="1:6" ht="14.25" x14ac:dyDescent="0.15">
      <c r="A670" s="30" t="s">
        <v>41</v>
      </c>
      <c r="B670" s="25">
        <v>662</v>
      </c>
      <c r="C670" s="16">
        <v>6</v>
      </c>
      <c r="D670" s="25">
        <v>62</v>
      </c>
      <c r="E670" s="25">
        <v>130</v>
      </c>
      <c r="F670" s="25" t="s">
        <v>1114</v>
      </c>
    </row>
    <row r="671" spans="1:6" ht="14.25" x14ac:dyDescent="0.15">
      <c r="A671" s="25" t="s">
        <v>41</v>
      </c>
      <c r="B671" s="25">
        <v>663</v>
      </c>
      <c r="C671" s="16">
        <v>6</v>
      </c>
      <c r="D671" s="25">
        <v>63</v>
      </c>
      <c r="E671" s="25">
        <v>132</v>
      </c>
      <c r="F671" s="25" t="s">
        <v>1115</v>
      </c>
    </row>
    <row r="672" spans="1:6" ht="14.25" x14ac:dyDescent="0.15">
      <c r="A672" s="30" t="s">
        <v>41</v>
      </c>
      <c r="B672" s="25">
        <v>664</v>
      </c>
      <c r="C672" s="16">
        <v>6</v>
      </c>
      <c r="D672" s="25">
        <v>64</v>
      </c>
      <c r="E672" s="25">
        <v>134</v>
      </c>
      <c r="F672" s="25" t="s">
        <v>1116</v>
      </c>
    </row>
    <row r="673" spans="1:6" ht="14.25" x14ac:dyDescent="0.15">
      <c r="A673" s="25" t="s">
        <v>41</v>
      </c>
      <c r="B673" s="25">
        <v>665</v>
      </c>
      <c r="C673" s="16">
        <v>6</v>
      </c>
      <c r="D673" s="25">
        <v>65</v>
      </c>
      <c r="E673" s="25">
        <v>136</v>
      </c>
      <c r="F673" s="25" t="s">
        <v>1117</v>
      </c>
    </row>
    <row r="674" spans="1:6" ht="14.25" x14ac:dyDescent="0.15">
      <c r="A674" s="30" t="s">
        <v>41</v>
      </c>
      <c r="B674" s="25">
        <v>666</v>
      </c>
      <c r="C674" s="16">
        <v>6</v>
      </c>
      <c r="D674" s="25">
        <v>66</v>
      </c>
      <c r="E674" s="25">
        <v>138</v>
      </c>
      <c r="F674" s="25" t="s">
        <v>1118</v>
      </c>
    </row>
    <row r="675" spans="1:6" ht="14.25" x14ac:dyDescent="0.15">
      <c r="A675" s="25" t="s">
        <v>41</v>
      </c>
      <c r="B675" s="25">
        <v>667</v>
      </c>
      <c r="C675" s="16">
        <v>6</v>
      </c>
      <c r="D675" s="25">
        <v>67</v>
      </c>
      <c r="E675" s="25">
        <v>140</v>
      </c>
      <c r="F675" s="25" t="s">
        <v>1119</v>
      </c>
    </row>
    <row r="676" spans="1:6" ht="14.25" x14ac:dyDescent="0.15">
      <c r="A676" s="30" t="s">
        <v>41</v>
      </c>
      <c r="B676" s="25">
        <v>668</v>
      </c>
      <c r="C676" s="16">
        <v>6</v>
      </c>
      <c r="D676" s="25">
        <v>68</v>
      </c>
      <c r="E676" s="25">
        <v>142</v>
      </c>
      <c r="F676" s="25" t="s">
        <v>1120</v>
      </c>
    </row>
    <row r="677" spans="1:6" ht="14.25" x14ac:dyDescent="0.15">
      <c r="A677" s="25" t="s">
        <v>41</v>
      </c>
      <c r="B677" s="25">
        <v>669</v>
      </c>
      <c r="C677" s="16">
        <v>6</v>
      </c>
      <c r="D677" s="25">
        <v>69</v>
      </c>
      <c r="E677" s="25">
        <v>144</v>
      </c>
      <c r="F677" s="25" t="s">
        <v>1121</v>
      </c>
    </row>
    <row r="678" spans="1:6" ht="14.25" x14ac:dyDescent="0.15">
      <c r="A678" s="30" t="s">
        <v>41</v>
      </c>
      <c r="B678" s="25">
        <v>670</v>
      </c>
      <c r="C678" s="16">
        <v>6</v>
      </c>
      <c r="D678" s="25">
        <v>70</v>
      </c>
      <c r="E678" s="25">
        <v>146</v>
      </c>
      <c r="F678" s="25" t="s">
        <v>1122</v>
      </c>
    </row>
    <row r="679" spans="1:6" ht="14.25" x14ac:dyDescent="0.15">
      <c r="A679" s="25" t="s">
        <v>41</v>
      </c>
      <c r="B679" s="25">
        <v>671</v>
      </c>
      <c r="C679" s="16">
        <v>6</v>
      </c>
      <c r="D679" s="25">
        <v>71</v>
      </c>
      <c r="E679" s="25">
        <v>148</v>
      </c>
      <c r="F679" s="25" t="s">
        <v>1123</v>
      </c>
    </row>
    <row r="680" spans="1:6" ht="14.25" x14ac:dyDescent="0.15">
      <c r="A680" s="30" t="s">
        <v>41</v>
      </c>
      <c r="B680" s="25">
        <v>672</v>
      </c>
      <c r="C680" s="16">
        <v>6</v>
      </c>
      <c r="D680" s="25">
        <v>72</v>
      </c>
      <c r="E680" s="25">
        <v>150</v>
      </c>
      <c r="F680" s="25" t="s">
        <v>1124</v>
      </c>
    </row>
    <row r="681" spans="1:6" ht="14.25" x14ac:dyDescent="0.15">
      <c r="A681" s="25" t="s">
        <v>41</v>
      </c>
      <c r="B681" s="25">
        <v>673</v>
      </c>
      <c r="C681" s="16">
        <v>6</v>
      </c>
      <c r="D681" s="25">
        <v>73</v>
      </c>
      <c r="E681" s="25">
        <v>152</v>
      </c>
      <c r="F681" s="25" t="s">
        <v>1125</v>
      </c>
    </row>
    <row r="682" spans="1:6" ht="14.25" x14ac:dyDescent="0.15">
      <c r="A682" s="30" t="s">
        <v>41</v>
      </c>
      <c r="B682" s="25">
        <v>674</v>
      </c>
      <c r="C682" s="16">
        <v>6</v>
      </c>
      <c r="D682" s="25">
        <v>74</v>
      </c>
      <c r="E682" s="25">
        <v>154</v>
      </c>
      <c r="F682" s="25" t="s">
        <v>1126</v>
      </c>
    </row>
    <row r="683" spans="1:6" ht="14.25" x14ac:dyDescent="0.15">
      <c r="A683" s="25" t="s">
        <v>41</v>
      </c>
      <c r="B683" s="25">
        <v>675</v>
      </c>
      <c r="C683" s="16">
        <v>6</v>
      </c>
      <c r="D683" s="25">
        <v>75</v>
      </c>
      <c r="E683" s="25">
        <v>156</v>
      </c>
      <c r="F683" s="25" t="s">
        <v>1127</v>
      </c>
    </row>
    <row r="684" spans="1:6" ht="14.25" x14ac:dyDescent="0.15">
      <c r="A684" s="30" t="s">
        <v>41</v>
      </c>
      <c r="B684" s="25">
        <v>676</v>
      </c>
      <c r="C684" s="16">
        <v>6</v>
      </c>
      <c r="D684" s="25">
        <v>76</v>
      </c>
      <c r="E684" s="25">
        <v>158</v>
      </c>
      <c r="F684" s="25" t="s">
        <v>1128</v>
      </c>
    </row>
    <row r="685" spans="1:6" ht="14.25" x14ac:dyDescent="0.15">
      <c r="A685" s="25" t="s">
        <v>41</v>
      </c>
      <c r="B685" s="25">
        <v>677</v>
      </c>
      <c r="C685" s="16">
        <v>6</v>
      </c>
      <c r="D685" s="25">
        <v>77</v>
      </c>
      <c r="E685" s="25">
        <v>160</v>
      </c>
      <c r="F685" s="25" t="s">
        <v>1129</v>
      </c>
    </row>
    <row r="686" spans="1:6" ht="14.25" x14ac:dyDescent="0.15">
      <c r="A686" s="30" t="s">
        <v>41</v>
      </c>
      <c r="B686" s="25">
        <v>678</v>
      </c>
      <c r="C686" s="16">
        <v>6</v>
      </c>
      <c r="D686" s="25">
        <v>78</v>
      </c>
      <c r="E686" s="25">
        <v>162</v>
      </c>
      <c r="F686" s="25" t="s">
        <v>1130</v>
      </c>
    </row>
    <row r="687" spans="1:6" ht="14.25" x14ac:dyDescent="0.15">
      <c r="A687" s="25" t="s">
        <v>41</v>
      </c>
      <c r="B687" s="25">
        <v>679</v>
      </c>
      <c r="C687" s="16">
        <v>6</v>
      </c>
      <c r="D687" s="25">
        <v>79</v>
      </c>
      <c r="E687" s="25">
        <v>164</v>
      </c>
      <c r="F687" s="25" t="s">
        <v>1131</v>
      </c>
    </row>
    <row r="688" spans="1:6" ht="14.25" x14ac:dyDescent="0.15">
      <c r="A688" s="30" t="s">
        <v>41</v>
      </c>
      <c r="B688" s="25">
        <v>680</v>
      </c>
      <c r="C688" s="16">
        <v>6</v>
      </c>
      <c r="D688" s="25">
        <v>80</v>
      </c>
      <c r="E688" s="25">
        <v>166</v>
      </c>
      <c r="F688" s="25" t="s">
        <v>1132</v>
      </c>
    </row>
    <row r="689" spans="1:6" ht="14.25" x14ac:dyDescent="0.15">
      <c r="A689" s="25" t="s">
        <v>41</v>
      </c>
      <c r="B689" s="25">
        <v>681</v>
      </c>
      <c r="C689" s="16">
        <v>6</v>
      </c>
      <c r="D689" s="25">
        <v>81</v>
      </c>
      <c r="E689" s="25">
        <v>168</v>
      </c>
      <c r="F689" s="25" t="s">
        <v>1133</v>
      </c>
    </row>
    <row r="690" spans="1:6" ht="14.25" x14ac:dyDescent="0.15">
      <c r="A690" s="30" t="s">
        <v>41</v>
      </c>
      <c r="B690" s="25">
        <v>682</v>
      </c>
      <c r="C690" s="16">
        <v>6</v>
      </c>
      <c r="D690" s="25">
        <v>82</v>
      </c>
      <c r="E690" s="25">
        <v>170</v>
      </c>
      <c r="F690" s="25" t="s">
        <v>1134</v>
      </c>
    </row>
    <row r="691" spans="1:6" ht="14.25" x14ac:dyDescent="0.15">
      <c r="A691" s="25" t="s">
        <v>41</v>
      </c>
      <c r="B691" s="25">
        <v>683</v>
      </c>
      <c r="C691" s="16">
        <v>6</v>
      </c>
      <c r="D691" s="25">
        <v>83</v>
      </c>
      <c r="E691" s="25">
        <v>172</v>
      </c>
      <c r="F691" s="25" t="s">
        <v>1135</v>
      </c>
    </row>
    <row r="692" spans="1:6" ht="14.25" x14ac:dyDescent="0.15">
      <c r="A692" s="30" t="s">
        <v>41</v>
      </c>
      <c r="B692" s="25">
        <v>684</v>
      </c>
      <c r="C692" s="16">
        <v>6</v>
      </c>
      <c r="D692" s="25">
        <v>84</v>
      </c>
      <c r="E692" s="25">
        <v>174</v>
      </c>
      <c r="F692" s="25" t="s">
        <v>1136</v>
      </c>
    </row>
    <row r="693" spans="1:6" ht="14.25" x14ac:dyDescent="0.15">
      <c r="A693" s="25" t="s">
        <v>41</v>
      </c>
      <c r="B693" s="25">
        <v>685</v>
      </c>
      <c r="C693" s="16">
        <v>6</v>
      </c>
      <c r="D693" s="25">
        <v>85</v>
      </c>
      <c r="E693" s="25">
        <v>176</v>
      </c>
      <c r="F693" s="25" t="s">
        <v>1137</v>
      </c>
    </row>
    <row r="694" spans="1:6" ht="14.25" x14ac:dyDescent="0.15">
      <c r="A694" s="30" t="s">
        <v>41</v>
      </c>
      <c r="B694" s="25">
        <v>686</v>
      </c>
      <c r="C694" s="16">
        <v>6</v>
      </c>
      <c r="D694" s="25">
        <v>86</v>
      </c>
      <c r="E694" s="25">
        <v>178</v>
      </c>
      <c r="F694" s="25" t="s">
        <v>322</v>
      </c>
    </row>
    <row r="695" spans="1:6" ht="14.25" x14ac:dyDescent="0.15">
      <c r="A695" s="25" t="s">
        <v>41</v>
      </c>
      <c r="B695" s="25">
        <v>687</v>
      </c>
      <c r="C695" s="16">
        <v>6</v>
      </c>
      <c r="D695" s="25">
        <v>87</v>
      </c>
      <c r="E695" s="25">
        <v>180</v>
      </c>
      <c r="F695" s="25" t="s">
        <v>1138</v>
      </c>
    </row>
    <row r="696" spans="1:6" ht="14.25" x14ac:dyDescent="0.15">
      <c r="A696" s="30" t="s">
        <v>41</v>
      </c>
      <c r="B696" s="25">
        <v>688</v>
      </c>
      <c r="C696" s="16">
        <v>6</v>
      </c>
      <c r="D696" s="25">
        <v>88</v>
      </c>
      <c r="E696" s="25">
        <v>182</v>
      </c>
      <c r="F696" s="25" t="s">
        <v>1139</v>
      </c>
    </row>
    <row r="697" spans="1:6" ht="14.25" x14ac:dyDescent="0.15">
      <c r="A697" s="25" t="s">
        <v>41</v>
      </c>
      <c r="B697" s="25">
        <v>689</v>
      </c>
      <c r="C697" s="16">
        <v>6</v>
      </c>
      <c r="D697" s="25">
        <v>89</v>
      </c>
      <c r="E697" s="25">
        <v>184</v>
      </c>
      <c r="F697" s="25" t="s">
        <v>1140</v>
      </c>
    </row>
    <row r="698" spans="1:6" ht="14.25" x14ac:dyDescent="0.15">
      <c r="A698" s="30" t="s">
        <v>41</v>
      </c>
      <c r="B698" s="25">
        <v>690</v>
      </c>
      <c r="C698" s="16">
        <v>6</v>
      </c>
      <c r="D698" s="25">
        <v>90</v>
      </c>
      <c r="E698" s="25">
        <v>186</v>
      </c>
      <c r="F698" s="25" t="s">
        <v>1141</v>
      </c>
    </row>
    <row r="699" spans="1:6" ht="14.25" x14ac:dyDescent="0.15">
      <c r="A699" s="25" t="s">
        <v>41</v>
      </c>
      <c r="B699" s="25">
        <v>691</v>
      </c>
      <c r="C699" s="16">
        <v>6</v>
      </c>
      <c r="D699" s="25">
        <v>91</v>
      </c>
      <c r="E699" s="25">
        <v>188</v>
      </c>
      <c r="F699" s="25" t="s">
        <v>1142</v>
      </c>
    </row>
    <row r="700" spans="1:6" ht="14.25" x14ac:dyDescent="0.15">
      <c r="A700" s="30" t="s">
        <v>41</v>
      </c>
      <c r="B700" s="25">
        <v>692</v>
      </c>
      <c r="C700" s="16">
        <v>6</v>
      </c>
      <c r="D700" s="25">
        <v>92</v>
      </c>
      <c r="E700" s="25">
        <v>190</v>
      </c>
      <c r="F700" s="25" t="s">
        <v>1143</v>
      </c>
    </row>
    <row r="701" spans="1:6" ht="14.25" x14ac:dyDescent="0.15">
      <c r="A701" s="25" t="s">
        <v>41</v>
      </c>
      <c r="B701" s="25">
        <v>693</v>
      </c>
      <c r="C701" s="16">
        <v>6</v>
      </c>
      <c r="D701" s="25">
        <v>93</v>
      </c>
      <c r="E701" s="25">
        <v>192</v>
      </c>
      <c r="F701" s="25" t="s">
        <v>1144</v>
      </c>
    </row>
    <row r="702" spans="1:6" ht="14.25" x14ac:dyDescent="0.15">
      <c r="A702" s="30" t="s">
        <v>41</v>
      </c>
      <c r="B702" s="25">
        <v>694</v>
      </c>
      <c r="C702" s="16">
        <v>6</v>
      </c>
      <c r="D702" s="25">
        <v>94</v>
      </c>
      <c r="E702" s="25">
        <v>194</v>
      </c>
      <c r="F702" s="25" t="s">
        <v>1145</v>
      </c>
    </row>
    <row r="703" spans="1:6" ht="14.25" x14ac:dyDescent="0.15">
      <c r="A703" s="25" t="s">
        <v>41</v>
      </c>
      <c r="B703" s="25">
        <v>695</v>
      </c>
      <c r="C703" s="16">
        <v>6</v>
      </c>
      <c r="D703" s="25">
        <v>95</v>
      </c>
      <c r="E703" s="25">
        <v>196</v>
      </c>
      <c r="F703" s="25" t="s">
        <v>1146</v>
      </c>
    </row>
    <row r="704" spans="1:6" ht="14.25" x14ac:dyDescent="0.15">
      <c r="A704" s="30" t="s">
        <v>41</v>
      </c>
      <c r="B704" s="25">
        <v>696</v>
      </c>
      <c r="C704" s="16">
        <v>6</v>
      </c>
      <c r="D704" s="25">
        <v>96</v>
      </c>
      <c r="E704" s="25">
        <v>198</v>
      </c>
      <c r="F704" s="25" t="s">
        <v>1147</v>
      </c>
    </row>
    <row r="705" spans="1:6" ht="14.25" x14ac:dyDescent="0.15">
      <c r="A705" s="25" t="s">
        <v>41</v>
      </c>
      <c r="B705" s="25">
        <v>697</v>
      </c>
      <c r="C705" s="16">
        <v>6</v>
      </c>
      <c r="D705" s="25">
        <v>97</v>
      </c>
      <c r="E705" s="25">
        <v>200</v>
      </c>
      <c r="F705" s="25" t="s">
        <v>1148</v>
      </c>
    </row>
    <row r="706" spans="1:6" ht="14.25" x14ac:dyDescent="0.15">
      <c r="A706" s="30" t="s">
        <v>41</v>
      </c>
      <c r="B706" s="25">
        <v>698</v>
      </c>
      <c r="C706" s="16">
        <v>6</v>
      </c>
      <c r="D706" s="25">
        <v>98</v>
      </c>
      <c r="E706" s="25">
        <v>202</v>
      </c>
      <c r="F706" s="25" t="s">
        <v>1149</v>
      </c>
    </row>
    <row r="707" spans="1:6" ht="14.25" x14ac:dyDescent="0.15">
      <c r="A707" s="25" t="s">
        <v>41</v>
      </c>
      <c r="B707" s="25">
        <v>699</v>
      </c>
      <c r="C707" s="16">
        <v>6</v>
      </c>
      <c r="D707" s="25">
        <v>99</v>
      </c>
      <c r="E707" s="25">
        <v>204</v>
      </c>
      <c r="F707" s="25" t="s">
        <v>1150</v>
      </c>
    </row>
    <row r="708" spans="1:6" ht="14.25" x14ac:dyDescent="0.15">
      <c r="A708" s="30" t="s">
        <v>41</v>
      </c>
      <c r="B708" s="25">
        <v>700</v>
      </c>
      <c r="C708" s="16">
        <v>6</v>
      </c>
      <c r="D708" s="25">
        <v>100</v>
      </c>
      <c r="E708" s="25">
        <v>206</v>
      </c>
      <c r="F708" s="25" t="s">
        <v>1151</v>
      </c>
    </row>
    <row r="709" spans="1:6" ht="14.25" x14ac:dyDescent="0.15">
      <c r="A709" s="25" t="s">
        <v>41</v>
      </c>
      <c r="B709" s="25">
        <v>701</v>
      </c>
      <c r="C709" s="16">
        <v>6</v>
      </c>
      <c r="D709" s="25">
        <v>101</v>
      </c>
      <c r="E709" s="25">
        <v>208</v>
      </c>
      <c r="F709" s="25" t="s">
        <v>1152</v>
      </c>
    </row>
    <row r="710" spans="1:6" ht="14.25" x14ac:dyDescent="0.15">
      <c r="A710" s="30" t="s">
        <v>41</v>
      </c>
      <c r="B710" s="25">
        <v>702</v>
      </c>
      <c r="C710" s="16">
        <v>6</v>
      </c>
      <c r="D710" s="25">
        <v>102</v>
      </c>
      <c r="E710" s="25">
        <v>210</v>
      </c>
      <c r="F710" s="25" t="s">
        <v>1153</v>
      </c>
    </row>
    <row r="711" spans="1:6" ht="14.25" x14ac:dyDescent="0.15">
      <c r="A711" s="25" t="s">
        <v>41</v>
      </c>
      <c r="B711" s="25">
        <v>703</v>
      </c>
      <c r="C711" s="16">
        <v>6</v>
      </c>
      <c r="D711" s="25">
        <v>103</v>
      </c>
      <c r="E711" s="25">
        <v>212</v>
      </c>
      <c r="F711" s="25" t="s">
        <v>1154</v>
      </c>
    </row>
    <row r="712" spans="1:6" ht="14.25" x14ac:dyDescent="0.15">
      <c r="A712" s="30" t="s">
        <v>41</v>
      </c>
      <c r="B712" s="25">
        <v>704</v>
      </c>
      <c r="C712" s="16">
        <v>6</v>
      </c>
      <c r="D712" s="25">
        <v>104</v>
      </c>
      <c r="E712" s="25">
        <v>214</v>
      </c>
      <c r="F712" s="25" t="s">
        <v>1155</v>
      </c>
    </row>
    <row r="713" spans="1:6" ht="14.25" x14ac:dyDescent="0.15">
      <c r="A713" s="25" t="s">
        <v>41</v>
      </c>
      <c r="B713" s="25">
        <v>705</v>
      </c>
      <c r="C713" s="16">
        <v>6</v>
      </c>
      <c r="D713" s="25">
        <v>105</v>
      </c>
      <c r="E713" s="25">
        <v>216</v>
      </c>
      <c r="F713" s="25" t="s">
        <v>1156</v>
      </c>
    </row>
    <row r="714" spans="1:6" ht="14.25" x14ac:dyDescent="0.15">
      <c r="A714" s="30" t="s">
        <v>41</v>
      </c>
      <c r="B714" s="25">
        <v>706</v>
      </c>
      <c r="C714" s="16">
        <v>6</v>
      </c>
      <c r="D714" s="25">
        <v>106</v>
      </c>
      <c r="E714" s="25">
        <v>218</v>
      </c>
      <c r="F714" s="25" t="s">
        <v>1157</v>
      </c>
    </row>
    <row r="715" spans="1:6" ht="14.25" x14ac:dyDescent="0.15">
      <c r="A715" s="25" t="s">
        <v>41</v>
      </c>
      <c r="B715" s="25">
        <v>707</v>
      </c>
      <c r="C715" s="16">
        <v>6</v>
      </c>
      <c r="D715" s="25">
        <v>107</v>
      </c>
      <c r="E715" s="25">
        <v>220</v>
      </c>
      <c r="F715" s="25" t="s">
        <v>1158</v>
      </c>
    </row>
    <row r="716" spans="1:6" ht="14.25" x14ac:dyDescent="0.15">
      <c r="A716" s="30" t="s">
        <v>41</v>
      </c>
      <c r="B716" s="25">
        <v>708</v>
      </c>
      <c r="C716" s="16">
        <v>6</v>
      </c>
      <c r="D716" s="25">
        <v>108</v>
      </c>
      <c r="E716" s="25">
        <v>222</v>
      </c>
      <c r="F716" s="25" t="s">
        <v>1159</v>
      </c>
    </row>
    <row r="717" spans="1:6" ht="14.25" x14ac:dyDescent="0.15">
      <c r="A717" s="25" t="s">
        <v>41</v>
      </c>
      <c r="B717" s="25">
        <v>709</v>
      </c>
      <c r="C717" s="16">
        <v>6</v>
      </c>
      <c r="D717" s="25">
        <v>109</v>
      </c>
      <c r="E717" s="25">
        <v>224</v>
      </c>
      <c r="F717" s="25" t="s">
        <v>323</v>
      </c>
    </row>
    <row r="718" spans="1:6" ht="14.25" x14ac:dyDescent="0.15">
      <c r="A718" s="30" t="s">
        <v>41</v>
      </c>
      <c r="B718" s="25">
        <v>710</v>
      </c>
      <c r="C718" s="16">
        <v>6</v>
      </c>
      <c r="D718" s="25">
        <v>110</v>
      </c>
      <c r="E718" s="25">
        <v>226</v>
      </c>
      <c r="F718" s="25" t="s">
        <v>1160</v>
      </c>
    </row>
    <row r="719" spans="1:6" ht="14.25" x14ac:dyDescent="0.15">
      <c r="A719" s="25" t="s">
        <v>41</v>
      </c>
      <c r="B719" s="25">
        <v>711</v>
      </c>
      <c r="C719" s="16">
        <v>6</v>
      </c>
      <c r="D719" s="25">
        <v>111</v>
      </c>
      <c r="E719" s="25">
        <v>228</v>
      </c>
      <c r="F719" s="25" t="s">
        <v>1161</v>
      </c>
    </row>
    <row r="720" spans="1:6" ht="14.25" x14ac:dyDescent="0.15">
      <c r="A720" s="30" t="s">
        <v>41</v>
      </c>
      <c r="B720" s="25">
        <v>712</v>
      </c>
      <c r="C720" s="16">
        <v>6</v>
      </c>
      <c r="D720" s="25">
        <v>112</v>
      </c>
      <c r="E720" s="25">
        <v>230</v>
      </c>
      <c r="F720" s="25" t="s">
        <v>1162</v>
      </c>
    </row>
    <row r="721" spans="1:6" ht="14.25" x14ac:dyDescent="0.15">
      <c r="A721" s="25" t="s">
        <v>41</v>
      </c>
      <c r="B721" s="25">
        <v>713</v>
      </c>
      <c r="C721" s="16">
        <v>6</v>
      </c>
      <c r="D721" s="25">
        <v>113</v>
      </c>
      <c r="E721" s="25">
        <v>232</v>
      </c>
      <c r="F721" s="25" t="s">
        <v>1163</v>
      </c>
    </row>
    <row r="722" spans="1:6" ht="14.25" x14ac:dyDescent="0.15">
      <c r="A722" s="30" t="s">
        <v>41</v>
      </c>
      <c r="B722" s="25">
        <v>714</v>
      </c>
      <c r="C722" s="16">
        <v>6</v>
      </c>
      <c r="D722" s="25">
        <v>114</v>
      </c>
      <c r="E722" s="25">
        <v>234</v>
      </c>
      <c r="F722" s="25" t="s">
        <v>1166</v>
      </c>
    </row>
    <row r="723" spans="1:6" ht="14.25" x14ac:dyDescent="0.15">
      <c r="A723" s="25" t="s">
        <v>41</v>
      </c>
      <c r="B723" s="25">
        <v>715</v>
      </c>
      <c r="C723" s="16">
        <v>6</v>
      </c>
      <c r="D723" s="25">
        <v>115</v>
      </c>
      <c r="E723" s="25">
        <v>236</v>
      </c>
      <c r="F723" s="25" t="s">
        <v>1164</v>
      </c>
    </row>
    <row r="724" spans="1:6" ht="14.25" x14ac:dyDescent="0.15">
      <c r="A724" s="30" t="s">
        <v>41</v>
      </c>
      <c r="B724" s="25">
        <v>716</v>
      </c>
      <c r="C724" s="16">
        <v>6</v>
      </c>
      <c r="D724" s="25">
        <v>116</v>
      </c>
      <c r="E724" s="25">
        <v>238</v>
      </c>
      <c r="F724" s="25" t="s">
        <v>1165</v>
      </c>
    </row>
    <row r="725" spans="1:6" ht="14.25" x14ac:dyDescent="0.15">
      <c r="A725" s="25" t="s">
        <v>41</v>
      </c>
      <c r="B725" s="25">
        <v>717</v>
      </c>
      <c r="C725" s="16">
        <v>6</v>
      </c>
      <c r="D725" s="25">
        <v>117</v>
      </c>
      <c r="E725" s="25">
        <v>240</v>
      </c>
      <c r="F725" s="25" t="s">
        <v>1167</v>
      </c>
    </row>
    <row r="726" spans="1:6" ht="14.25" x14ac:dyDescent="0.15">
      <c r="A726" s="30" t="s">
        <v>41</v>
      </c>
      <c r="B726" s="25">
        <v>718</v>
      </c>
      <c r="C726" s="16">
        <v>6</v>
      </c>
      <c r="D726" s="25">
        <v>118</v>
      </c>
      <c r="E726" s="25">
        <v>242</v>
      </c>
      <c r="F726" s="25" t="s">
        <v>1168</v>
      </c>
    </row>
    <row r="727" spans="1:6" ht="14.25" x14ac:dyDescent="0.15">
      <c r="A727" s="25" t="s">
        <v>41</v>
      </c>
      <c r="B727" s="25">
        <v>719</v>
      </c>
      <c r="C727" s="16">
        <v>6</v>
      </c>
      <c r="D727" s="25">
        <v>119</v>
      </c>
      <c r="E727" s="25">
        <v>244</v>
      </c>
      <c r="F727" s="25" t="s">
        <v>1169</v>
      </c>
    </row>
    <row r="728" spans="1:6" ht="14.25" x14ac:dyDescent="0.15">
      <c r="A728" s="30" t="s">
        <v>41</v>
      </c>
      <c r="B728" s="25">
        <v>720</v>
      </c>
      <c r="C728" s="16">
        <v>6</v>
      </c>
      <c r="D728" s="25">
        <v>120</v>
      </c>
      <c r="E728" s="25">
        <v>246</v>
      </c>
      <c r="F728" s="25" t="s">
        <v>1170</v>
      </c>
    </row>
  </sheetData>
  <phoneticPr fontId="34" type="noConversion"/>
  <conditionalFormatting sqref="B1:B728">
    <cfRule type="duplicateValues" dxfId="25" priority="1"/>
  </conditionalFormatting>
  <conditionalFormatting sqref="B729:B1048576">
    <cfRule type="duplicateValues" dxfId="24" priority="3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729"/>
  <sheetViews>
    <sheetView workbookViewId="0">
      <pane ySplit="8" topLeftCell="A9" activePane="bottomLeft" state="frozen"/>
      <selection pane="bottomLeft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6" width="12.5" style="16" customWidth="1"/>
    <col min="7" max="7" width="11.875" style="16" customWidth="1"/>
    <col min="8" max="8" width="15.375" style="16" customWidth="1"/>
    <col min="9" max="16384" width="9" style="16"/>
  </cols>
  <sheetData>
    <row r="1" spans="1:9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  <c r="F1" s="5" t="s">
        <v>41</v>
      </c>
    </row>
    <row r="2" spans="1:9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</row>
    <row r="3" spans="1:9" s="6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44</v>
      </c>
      <c r="F3" s="6" t="s">
        <v>43</v>
      </c>
      <c r="G3" s="6" t="s">
        <v>44</v>
      </c>
      <c r="H3" s="6" t="s">
        <v>43</v>
      </c>
      <c r="I3" s="6" t="s">
        <v>43</v>
      </c>
    </row>
    <row r="4" spans="1:9" s="6" customFormat="1" ht="14.25" x14ac:dyDescent="0.15">
      <c r="B4" s="6" t="s">
        <v>45</v>
      </c>
      <c r="C4" s="6" t="s">
        <v>46</v>
      </c>
      <c r="D4" s="6" t="s">
        <v>180</v>
      </c>
      <c r="E4" s="6" t="s">
        <v>188</v>
      </c>
      <c r="F4" s="6" t="s">
        <v>189</v>
      </c>
      <c r="G4" s="6" t="s">
        <v>50</v>
      </c>
      <c r="H4" s="6" t="s">
        <v>190</v>
      </c>
      <c r="I4" s="6" t="s">
        <v>191</v>
      </c>
    </row>
    <row r="5" spans="1:9" s="6" customFormat="1" ht="14.25" x14ac:dyDescent="0.15">
      <c r="B5" s="6" t="str">
        <f t="shared" ref="B5:D5" si="0">IF(B3="","",IF(B3="INT","i",IF(B3="FLOAT","f",IF(B3="STRING","s"))))</f>
        <v>i</v>
      </c>
      <c r="C5" s="6" t="str">
        <f t="shared" ref="C5" si="1">IF(C3="","",IF(C3="INT","i",IF(C3="FLOAT","f",IF(C3="STRING","s"))))</f>
        <v>i</v>
      </c>
      <c r="D5" s="6" t="str">
        <f t="shared" si="0"/>
        <v>i</v>
      </c>
      <c r="E5" s="6" t="str">
        <f t="shared" ref="E5:F5" si="2">IF(E3="","",IF(E3="INT","i",IF(E3="FLOAT","f",IF(E3="STRING","s"))))</f>
        <v>s</v>
      </c>
      <c r="F5" s="6" t="str">
        <f t="shared" si="2"/>
        <v>i</v>
      </c>
      <c r="G5" s="6" t="str">
        <f t="shared" ref="G5:I5" si="3">IF(G3="","",IF(G3="INT","i",IF(G3="FLOAT","f",IF(G3="STRING","s"))))</f>
        <v>s</v>
      </c>
      <c r="H5" s="6" t="str">
        <f t="shared" si="3"/>
        <v>i</v>
      </c>
      <c r="I5" s="6" t="str">
        <f t="shared" si="3"/>
        <v>i</v>
      </c>
    </row>
    <row r="6" spans="1:9" s="6" customFormat="1" ht="14.25" x14ac:dyDescent="0.15">
      <c r="A6" s="6" t="s">
        <v>41</v>
      </c>
      <c r="B6" s="6" t="str">
        <f t="shared" ref="B6:D6" si="4">B5&amp;B4</f>
        <v>iID</v>
      </c>
      <c r="C6" s="6" t="str">
        <f t="shared" ref="C6" si="5">C5&amp;C4</f>
        <v>iBuildingID</v>
      </c>
      <c r="D6" s="6" t="str">
        <f t="shared" si="4"/>
        <v>iSubID</v>
      </c>
      <c r="E6" s="6" t="str">
        <f t="shared" ref="E6:F6" si="6">E5&amp;E4</f>
        <v>sUnlockCost</v>
      </c>
      <c r="F6" s="6" t="str">
        <f t="shared" si="6"/>
        <v>iUnlockLevel</v>
      </c>
      <c r="G6" s="6" t="str">
        <f t="shared" ref="G6:I6" si="7">G5&amp;G4</f>
        <v>sName</v>
      </c>
      <c r="H6" s="6" t="str">
        <f t="shared" si="7"/>
        <v>iUnLockItemType</v>
      </c>
      <c r="I6" s="6" t="str">
        <f t="shared" si="7"/>
        <v>iTypeSort</v>
      </c>
    </row>
    <row r="7" spans="1:9" s="6" customFormat="1" ht="43.15" customHeight="1" x14ac:dyDescent="0.15">
      <c r="B7" s="6" t="s">
        <v>52</v>
      </c>
      <c r="C7" s="6" t="s">
        <v>192</v>
      </c>
      <c r="D7" s="6" t="s">
        <v>184</v>
      </c>
      <c r="E7" s="6" t="s">
        <v>193</v>
      </c>
      <c r="F7" s="6" t="s">
        <v>194</v>
      </c>
      <c r="G7" s="6" t="s">
        <v>195</v>
      </c>
      <c r="H7" s="6" t="s">
        <v>196</v>
      </c>
      <c r="I7" s="10"/>
    </row>
    <row r="8" spans="1:9" s="6" customFormat="1" ht="14.25" x14ac:dyDescent="0.15">
      <c r="A8" s="6" t="s">
        <v>59</v>
      </c>
      <c r="B8" s="6" t="e">
        <f>MODE(B9:B943)</f>
        <v>#N/A</v>
      </c>
      <c r="C8" s="6">
        <v>0</v>
      </c>
      <c r="D8" s="6">
        <v>0</v>
      </c>
      <c r="F8" s="6">
        <v>0</v>
      </c>
      <c r="I8" s="10">
        <v>0</v>
      </c>
    </row>
    <row r="9" spans="1:9" ht="14.25" x14ac:dyDescent="0.15">
      <c r="A9" s="25" t="s">
        <v>41</v>
      </c>
      <c r="B9" s="25">
        <v>1</v>
      </c>
      <c r="C9" s="25">
        <v>90002</v>
      </c>
      <c r="D9" s="25">
        <v>1</v>
      </c>
      <c r="E9" s="25" t="s">
        <v>197</v>
      </c>
      <c r="F9" s="25">
        <v>3</v>
      </c>
      <c r="G9" s="25" t="s">
        <v>198</v>
      </c>
      <c r="H9" s="16">
        <v>1</v>
      </c>
      <c r="I9" s="16">
        <v>1</v>
      </c>
    </row>
    <row r="10" spans="1:9" ht="14.25" x14ac:dyDescent="0.15">
      <c r="A10" s="25" t="s">
        <v>41</v>
      </c>
      <c r="B10" s="25">
        <v>2</v>
      </c>
      <c r="C10" s="25">
        <v>90002</v>
      </c>
      <c r="D10" s="25">
        <v>2</v>
      </c>
      <c r="E10" s="25" t="s">
        <v>1171</v>
      </c>
      <c r="F10" s="25">
        <v>18</v>
      </c>
      <c r="G10" s="25" t="s">
        <v>200</v>
      </c>
      <c r="H10" s="16">
        <v>1</v>
      </c>
      <c r="I10" s="16">
        <v>2</v>
      </c>
    </row>
    <row r="11" spans="1:9" ht="14.25" x14ac:dyDescent="0.15">
      <c r="A11" s="25" t="s">
        <v>41</v>
      </c>
      <c r="B11" s="25">
        <v>3</v>
      </c>
      <c r="C11" s="25">
        <v>90002</v>
      </c>
      <c r="D11" s="25">
        <v>3</v>
      </c>
      <c r="E11" s="25" t="s">
        <v>1172</v>
      </c>
      <c r="F11" s="25">
        <v>26</v>
      </c>
      <c r="G11" s="25" t="s">
        <v>202</v>
      </c>
      <c r="H11" s="16">
        <v>1</v>
      </c>
      <c r="I11" s="16">
        <v>3</v>
      </c>
    </row>
    <row r="12" spans="1:9" s="62" customFormat="1" ht="14.25" x14ac:dyDescent="0.15">
      <c r="A12" s="56" t="s">
        <v>41</v>
      </c>
      <c r="B12" s="56">
        <v>4</v>
      </c>
      <c r="C12" s="56">
        <v>90003</v>
      </c>
      <c r="D12" s="56">
        <v>1</v>
      </c>
      <c r="E12" s="56" t="s">
        <v>203</v>
      </c>
      <c r="F12" s="56">
        <v>1</v>
      </c>
      <c r="G12" s="56" t="s">
        <v>204</v>
      </c>
      <c r="H12" s="62">
        <v>2</v>
      </c>
      <c r="I12" s="16">
        <v>4</v>
      </c>
    </row>
    <row r="13" spans="1:9" s="62" customFormat="1" ht="14.25" x14ac:dyDescent="0.15">
      <c r="A13" s="56" t="s">
        <v>41</v>
      </c>
      <c r="B13" s="56">
        <v>5</v>
      </c>
      <c r="C13" s="56">
        <v>90003</v>
      </c>
      <c r="D13" s="56">
        <v>2</v>
      </c>
      <c r="E13" s="56" t="s">
        <v>205</v>
      </c>
      <c r="F13" s="56">
        <v>6</v>
      </c>
      <c r="G13" s="56" t="s">
        <v>206</v>
      </c>
      <c r="H13" s="62">
        <v>2</v>
      </c>
      <c r="I13" s="16">
        <v>5</v>
      </c>
    </row>
    <row r="14" spans="1:9" s="62" customFormat="1" ht="14.25" x14ac:dyDescent="0.15">
      <c r="A14" s="56" t="s">
        <v>41</v>
      </c>
      <c r="B14" s="56">
        <v>6</v>
      </c>
      <c r="C14" s="56">
        <v>90003</v>
      </c>
      <c r="D14" s="56">
        <v>3</v>
      </c>
      <c r="E14" s="56" t="s">
        <v>1173</v>
      </c>
      <c r="F14" s="56">
        <v>18</v>
      </c>
      <c r="G14" s="56" t="s">
        <v>207</v>
      </c>
      <c r="H14" s="62">
        <v>2</v>
      </c>
      <c r="I14" s="16">
        <v>6</v>
      </c>
    </row>
    <row r="15" spans="1:9" s="62" customFormat="1" ht="14.25" x14ac:dyDescent="0.15">
      <c r="A15" s="56" t="s">
        <v>41</v>
      </c>
      <c r="B15" s="56">
        <v>7</v>
      </c>
      <c r="C15" s="56">
        <v>90003</v>
      </c>
      <c r="D15" s="56">
        <v>4</v>
      </c>
      <c r="E15" s="56" t="s">
        <v>1174</v>
      </c>
      <c r="F15" s="56">
        <v>28</v>
      </c>
      <c r="G15" s="56" t="s">
        <v>208</v>
      </c>
      <c r="H15" s="62">
        <v>2</v>
      </c>
      <c r="I15" s="16">
        <v>7</v>
      </c>
    </row>
    <row r="16" spans="1:9" s="62" customFormat="1" ht="14.25" x14ac:dyDescent="0.15">
      <c r="A16" s="56" t="s">
        <v>41</v>
      </c>
      <c r="B16" s="56">
        <v>8</v>
      </c>
      <c r="C16" s="56">
        <v>90003</v>
      </c>
      <c r="D16" s="56">
        <v>5</v>
      </c>
      <c r="E16" s="56" t="s">
        <v>1175</v>
      </c>
      <c r="F16" s="56">
        <v>38</v>
      </c>
      <c r="G16" s="56" t="s">
        <v>210</v>
      </c>
      <c r="H16" s="62">
        <v>2</v>
      </c>
      <c r="I16" s="16">
        <v>8</v>
      </c>
    </row>
    <row r="17" spans="1:9" s="62" customFormat="1" ht="14.25" x14ac:dyDescent="0.15">
      <c r="A17" s="56" t="s">
        <v>41</v>
      </c>
      <c r="B17" s="56">
        <v>9</v>
      </c>
      <c r="C17" s="56">
        <v>90003</v>
      </c>
      <c r="D17" s="56">
        <v>6</v>
      </c>
      <c r="E17" s="56" t="s">
        <v>1176</v>
      </c>
      <c r="F17" s="56">
        <v>48</v>
      </c>
      <c r="G17" s="56" t="s">
        <v>212</v>
      </c>
      <c r="H17" s="62">
        <v>2</v>
      </c>
      <c r="I17" s="16">
        <v>9</v>
      </c>
    </row>
    <row r="18" spans="1:9" s="38" customFormat="1" ht="14.25" x14ac:dyDescent="0.15">
      <c r="A18" s="25" t="s">
        <v>41</v>
      </c>
      <c r="B18" s="25">
        <v>10</v>
      </c>
      <c r="C18" s="25">
        <v>90004</v>
      </c>
      <c r="D18" s="25">
        <v>1</v>
      </c>
      <c r="E18" s="25" t="s">
        <v>203</v>
      </c>
      <c r="F18" s="25">
        <v>16</v>
      </c>
      <c r="G18" s="25" t="s">
        <v>213</v>
      </c>
      <c r="H18" s="62">
        <v>2</v>
      </c>
      <c r="I18" s="16">
        <v>10</v>
      </c>
    </row>
    <row r="19" spans="1:9" ht="14.25" x14ac:dyDescent="0.15">
      <c r="A19" s="25" t="s">
        <v>41</v>
      </c>
      <c r="B19" s="25">
        <v>11</v>
      </c>
      <c r="C19" s="25">
        <v>90004</v>
      </c>
      <c r="D19" s="25">
        <v>2</v>
      </c>
      <c r="E19" s="25" t="s">
        <v>205</v>
      </c>
      <c r="F19" s="25">
        <v>22</v>
      </c>
      <c r="G19" s="25" t="s">
        <v>214</v>
      </c>
      <c r="H19" s="62">
        <v>2</v>
      </c>
      <c r="I19" s="16">
        <v>11</v>
      </c>
    </row>
    <row r="20" spans="1:9" s="38" customFormat="1" ht="14.25" x14ac:dyDescent="0.15">
      <c r="A20" s="25" t="s">
        <v>41</v>
      </c>
      <c r="B20" s="25">
        <v>12</v>
      </c>
      <c r="C20" s="25">
        <v>90004</v>
      </c>
      <c r="D20" s="25">
        <v>3</v>
      </c>
      <c r="E20" s="25" t="s">
        <v>1172</v>
      </c>
      <c r="F20" s="25">
        <v>34</v>
      </c>
      <c r="G20" s="25" t="s">
        <v>215</v>
      </c>
      <c r="H20" s="62">
        <v>2</v>
      </c>
      <c r="I20" s="16">
        <v>12</v>
      </c>
    </row>
    <row r="21" spans="1:9" ht="14.25" x14ac:dyDescent="0.15">
      <c r="A21" s="25" t="s">
        <v>41</v>
      </c>
      <c r="B21" s="25">
        <v>13</v>
      </c>
      <c r="C21" s="25">
        <v>90004</v>
      </c>
      <c r="D21" s="25">
        <v>4</v>
      </c>
      <c r="E21" s="25" t="s">
        <v>199</v>
      </c>
      <c r="F21" s="25">
        <v>42</v>
      </c>
      <c r="G21" s="25" t="s">
        <v>216</v>
      </c>
      <c r="H21" s="62">
        <v>2</v>
      </c>
      <c r="I21" s="16">
        <v>13</v>
      </c>
    </row>
    <row r="22" spans="1:9" s="38" customFormat="1" ht="14.25" x14ac:dyDescent="0.15">
      <c r="A22" s="25" t="s">
        <v>41</v>
      </c>
      <c r="B22" s="25">
        <v>14</v>
      </c>
      <c r="C22" s="25">
        <v>90004</v>
      </c>
      <c r="D22" s="25">
        <v>5</v>
      </c>
      <c r="E22" s="25" t="s">
        <v>201</v>
      </c>
      <c r="F22" s="25">
        <v>52</v>
      </c>
      <c r="G22" s="25" t="s">
        <v>217</v>
      </c>
      <c r="H22" s="62">
        <v>2</v>
      </c>
      <c r="I22" s="16">
        <v>14</v>
      </c>
    </row>
    <row r="23" spans="1:9" ht="14.25" x14ac:dyDescent="0.15">
      <c r="A23" s="25" t="s">
        <v>41</v>
      </c>
      <c r="B23" s="25">
        <v>15</v>
      </c>
      <c r="C23" s="25">
        <v>90004</v>
      </c>
      <c r="D23" s="25">
        <v>6</v>
      </c>
      <c r="E23" s="25" t="s">
        <v>209</v>
      </c>
      <c r="F23" s="25">
        <v>62</v>
      </c>
      <c r="G23" s="25" t="s">
        <v>218</v>
      </c>
      <c r="H23" s="62">
        <v>2</v>
      </c>
      <c r="I23" s="16">
        <v>15</v>
      </c>
    </row>
    <row r="24" spans="1:9" s="38" customFormat="1" ht="14.25" x14ac:dyDescent="0.15">
      <c r="A24" s="25" t="s">
        <v>41</v>
      </c>
      <c r="B24" s="25">
        <v>16</v>
      </c>
      <c r="C24" s="25">
        <v>90005</v>
      </c>
      <c r="D24" s="25">
        <v>1</v>
      </c>
      <c r="E24" s="25" t="s">
        <v>203</v>
      </c>
      <c r="F24" s="25">
        <v>26</v>
      </c>
      <c r="G24" s="25" t="s">
        <v>219</v>
      </c>
      <c r="H24" s="62">
        <v>2</v>
      </c>
      <c r="I24" s="16">
        <v>16</v>
      </c>
    </row>
    <row r="25" spans="1:9" ht="14.25" x14ac:dyDescent="0.15">
      <c r="A25" s="25" t="s">
        <v>41</v>
      </c>
      <c r="B25" s="25">
        <v>17</v>
      </c>
      <c r="C25" s="25">
        <v>90005</v>
      </c>
      <c r="D25" s="25">
        <v>2</v>
      </c>
      <c r="E25" s="25" t="s">
        <v>205</v>
      </c>
      <c r="F25" s="25">
        <v>30</v>
      </c>
      <c r="G25" s="25" t="s">
        <v>220</v>
      </c>
      <c r="H25" s="62">
        <v>2</v>
      </c>
      <c r="I25" s="16">
        <v>17</v>
      </c>
    </row>
    <row r="26" spans="1:9" s="38" customFormat="1" ht="14.25" x14ac:dyDescent="0.15">
      <c r="A26" s="25" t="s">
        <v>41</v>
      </c>
      <c r="B26" s="25">
        <v>18</v>
      </c>
      <c r="C26" s="25">
        <v>90005</v>
      </c>
      <c r="D26" s="25">
        <v>3</v>
      </c>
      <c r="E26" s="25" t="s">
        <v>1172</v>
      </c>
      <c r="F26" s="25">
        <v>36</v>
      </c>
      <c r="G26" s="25" t="s">
        <v>221</v>
      </c>
      <c r="H26" s="62">
        <v>2</v>
      </c>
      <c r="I26" s="16">
        <v>18</v>
      </c>
    </row>
    <row r="27" spans="1:9" ht="14.25" x14ac:dyDescent="0.15">
      <c r="A27" s="25" t="s">
        <v>41</v>
      </c>
      <c r="B27" s="25">
        <v>19</v>
      </c>
      <c r="C27" s="25">
        <v>90005</v>
      </c>
      <c r="D27" s="25">
        <v>4</v>
      </c>
      <c r="E27" s="25" t="s">
        <v>199</v>
      </c>
      <c r="F27" s="25">
        <v>44</v>
      </c>
      <c r="G27" s="25" t="s">
        <v>222</v>
      </c>
      <c r="H27" s="62">
        <v>2</v>
      </c>
      <c r="I27" s="16">
        <v>19</v>
      </c>
    </row>
    <row r="28" spans="1:9" s="38" customFormat="1" ht="14.25" x14ac:dyDescent="0.15">
      <c r="A28" s="25" t="s">
        <v>41</v>
      </c>
      <c r="B28" s="25">
        <v>20</v>
      </c>
      <c r="C28" s="25">
        <v>90005</v>
      </c>
      <c r="D28" s="25">
        <v>5</v>
      </c>
      <c r="E28" s="25" t="s">
        <v>201</v>
      </c>
      <c r="F28" s="25">
        <v>56</v>
      </c>
      <c r="G28" s="25" t="s">
        <v>223</v>
      </c>
      <c r="H28" s="62">
        <v>2</v>
      </c>
      <c r="I28" s="16">
        <v>20</v>
      </c>
    </row>
    <row r="29" spans="1:9" ht="14.25" x14ac:dyDescent="0.15">
      <c r="A29" s="25" t="s">
        <v>41</v>
      </c>
      <c r="B29" s="25">
        <v>21</v>
      </c>
      <c r="C29" s="25">
        <v>90005</v>
      </c>
      <c r="D29" s="25">
        <v>6</v>
      </c>
      <c r="E29" s="25" t="s">
        <v>209</v>
      </c>
      <c r="F29" s="25">
        <v>70</v>
      </c>
      <c r="G29" s="25" t="s">
        <v>224</v>
      </c>
      <c r="H29" s="62">
        <v>2</v>
      </c>
      <c r="I29" s="16">
        <v>21</v>
      </c>
    </row>
    <row r="30" spans="1:9" s="38" customFormat="1" ht="14.25" x14ac:dyDescent="0.15">
      <c r="A30" s="25" t="s">
        <v>41</v>
      </c>
      <c r="B30" s="25">
        <v>22</v>
      </c>
      <c r="C30" s="25">
        <v>90007</v>
      </c>
      <c r="D30" s="25">
        <v>1</v>
      </c>
      <c r="E30" s="25" t="s">
        <v>197</v>
      </c>
      <c r="F30" s="25">
        <v>15</v>
      </c>
      <c r="G30" s="25" t="s">
        <v>225</v>
      </c>
      <c r="H30" s="38">
        <v>1</v>
      </c>
      <c r="I30" s="16">
        <v>22</v>
      </c>
    </row>
    <row r="31" spans="1:9" s="38" customFormat="1" ht="14.25" x14ac:dyDescent="0.15">
      <c r="A31" s="25" t="s">
        <v>41</v>
      </c>
      <c r="B31" s="25">
        <v>23</v>
      </c>
      <c r="C31" s="25">
        <v>90011</v>
      </c>
      <c r="D31" s="25">
        <v>1</v>
      </c>
      <c r="E31" s="25" t="s">
        <v>197</v>
      </c>
      <c r="F31" s="25">
        <v>16</v>
      </c>
      <c r="G31" s="25" t="s">
        <v>226</v>
      </c>
      <c r="H31" s="38">
        <v>1</v>
      </c>
      <c r="I31" s="16">
        <v>23</v>
      </c>
    </row>
    <row r="32" spans="1:9" ht="14.25" x14ac:dyDescent="0.15">
      <c r="A32" s="25" t="s">
        <v>41</v>
      </c>
      <c r="B32" s="25">
        <v>24</v>
      </c>
      <c r="C32" s="25">
        <v>90009</v>
      </c>
      <c r="D32" s="25">
        <v>1</v>
      </c>
      <c r="E32" s="25" t="s">
        <v>197</v>
      </c>
      <c r="F32" s="25">
        <v>15</v>
      </c>
      <c r="G32" s="25" t="s">
        <v>227</v>
      </c>
      <c r="H32" s="38">
        <v>1</v>
      </c>
      <c r="I32" s="16">
        <v>10</v>
      </c>
    </row>
    <row r="33" spans="1:9" s="38" customFormat="1" ht="14.25" x14ac:dyDescent="0.15">
      <c r="A33" s="25" t="s">
        <v>41</v>
      </c>
      <c r="B33" s="25">
        <v>25</v>
      </c>
      <c r="C33" s="25">
        <v>90010</v>
      </c>
      <c r="D33" s="25">
        <v>0</v>
      </c>
      <c r="E33" s="25" t="s">
        <v>1177</v>
      </c>
      <c r="F33" s="25">
        <v>8</v>
      </c>
      <c r="G33" s="25" t="s">
        <v>228</v>
      </c>
      <c r="H33" s="38">
        <v>1</v>
      </c>
      <c r="I33" s="16">
        <v>25</v>
      </c>
    </row>
    <row r="34" spans="1:9" ht="14.25" x14ac:dyDescent="0.15">
      <c r="A34" s="25" t="s">
        <v>41</v>
      </c>
      <c r="B34" s="25">
        <v>26</v>
      </c>
      <c r="C34" s="25">
        <v>90010</v>
      </c>
      <c r="D34" s="25">
        <v>1</v>
      </c>
      <c r="E34" s="25" t="s">
        <v>203</v>
      </c>
      <c r="F34" s="25">
        <v>8</v>
      </c>
      <c r="G34" s="25" t="s">
        <v>1221</v>
      </c>
      <c r="H34" s="38">
        <v>1</v>
      </c>
      <c r="I34" s="16">
        <v>26</v>
      </c>
    </row>
    <row r="35" spans="1:9" s="38" customFormat="1" ht="14.25" x14ac:dyDescent="0.15">
      <c r="A35" s="25" t="s">
        <v>41</v>
      </c>
      <c r="B35" s="25">
        <v>27</v>
      </c>
      <c r="C35" s="25">
        <v>90010</v>
      </c>
      <c r="D35" s="25">
        <v>2</v>
      </c>
      <c r="E35" s="25" t="s">
        <v>205</v>
      </c>
      <c r="F35" s="25">
        <v>10</v>
      </c>
      <c r="G35" s="25" t="s">
        <v>1222</v>
      </c>
      <c r="H35" s="38">
        <v>1</v>
      </c>
      <c r="I35" s="16">
        <v>27</v>
      </c>
    </row>
    <row r="36" spans="1:9" ht="14.25" x14ac:dyDescent="0.15">
      <c r="A36" s="25" t="s">
        <v>41</v>
      </c>
      <c r="B36" s="25">
        <v>28</v>
      </c>
      <c r="C36" s="25">
        <v>90010</v>
      </c>
      <c r="D36" s="25">
        <v>3</v>
      </c>
      <c r="E36" s="25" t="s">
        <v>199</v>
      </c>
      <c r="F36" s="25">
        <v>20</v>
      </c>
      <c r="G36" s="25" t="s">
        <v>1223</v>
      </c>
      <c r="H36" s="38">
        <v>1</v>
      </c>
      <c r="I36" s="16">
        <v>28</v>
      </c>
    </row>
    <row r="37" spans="1:9" s="38" customFormat="1" ht="14.25" x14ac:dyDescent="0.15">
      <c r="A37" s="25" t="s">
        <v>41</v>
      </c>
      <c r="B37" s="25">
        <v>29</v>
      </c>
      <c r="C37" s="25">
        <v>90010</v>
      </c>
      <c r="D37" s="25">
        <v>4</v>
      </c>
      <c r="E37" s="25" t="s">
        <v>201</v>
      </c>
      <c r="F37" s="25">
        <v>30</v>
      </c>
      <c r="G37" s="25" t="s">
        <v>1224</v>
      </c>
      <c r="H37" s="38">
        <v>1</v>
      </c>
      <c r="I37" s="16">
        <v>29</v>
      </c>
    </row>
    <row r="38" spans="1:9" ht="14.25" x14ac:dyDescent="0.15">
      <c r="A38" s="25" t="s">
        <v>41</v>
      </c>
      <c r="B38" s="25">
        <v>30</v>
      </c>
      <c r="C38" s="25">
        <v>90010</v>
      </c>
      <c r="D38" s="25">
        <v>5</v>
      </c>
      <c r="E38" s="25" t="s">
        <v>209</v>
      </c>
      <c r="F38" s="25">
        <v>40</v>
      </c>
      <c r="G38" s="25" t="s">
        <v>1225</v>
      </c>
      <c r="H38" s="38">
        <v>1</v>
      </c>
      <c r="I38" s="16">
        <v>30</v>
      </c>
    </row>
    <row r="39" spans="1:9" s="38" customFormat="1" ht="14.25" x14ac:dyDescent="0.15">
      <c r="A39" s="25" t="s">
        <v>41</v>
      </c>
      <c r="B39" s="25">
        <v>31</v>
      </c>
      <c r="C39" s="25">
        <v>90010</v>
      </c>
      <c r="D39" s="25">
        <v>6</v>
      </c>
      <c r="E39" s="25" t="s">
        <v>211</v>
      </c>
      <c r="F39" s="25">
        <v>50</v>
      </c>
      <c r="G39" s="25" t="s">
        <v>1226</v>
      </c>
      <c r="H39" s="38">
        <v>1</v>
      </c>
      <c r="I39" s="16">
        <v>31</v>
      </c>
    </row>
    <row r="40" spans="1:9" ht="14.25" x14ac:dyDescent="0.15">
      <c r="A40" s="25"/>
      <c r="B40" s="25"/>
      <c r="C40" s="25"/>
      <c r="D40" s="25"/>
      <c r="E40" s="25"/>
      <c r="F40" s="25"/>
      <c r="G40" s="25"/>
    </row>
    <row r="41" spans="1:9" s="38" customFormat="1" ht="14.25" x14ac:dyDescent="0.15">
      <c r="A41" s="30"/>
      <c r="B41" s="25"/>
      <c r="C41" s="25"/>
      <c r="D41" s="25"/>
      <c r="E41" s="25"/>
      <c r="F41" s="25"/>
      <c r="G41" s="25"/>
    </row>
    <row r="42" spans="1:9" ht="14.25" x14ac:dyDescent="0.15">
      <c r="A42" s="25"/>
      <c r="B42" s="25"/>
      <c r="C42" s="25"/>
      <c r="D42" s="25"/>
      <c r="E42" s="25"/>
      <c r="F42" s="25"/>
      <c r="G42" s="25"/>
    </row>
    <row r="43" spans="1:9" s="38" customFormat="1" ht="14.25" x14ac:dyDescent="0.15">
      <c r="A43" s="30"/>
      <c r="B43" s="25"/>
      <c r="C43" s="25"/>
      <c r="D43" s="25"/>
      <c r="E43" s="25"/>
      <c r="F43" s="25"/>
      <c r="G43" s="25"/>
    </row>
    <row r="44" spans="1:9" ht="14.25" x14ac:dyDescent="0.15">
      <c r="A44" s="25"/>
      <c r="B44" s="25"/>
      <c r="C44" s="25"/>
      <c r="D44" s="25"/>
      <c r="E44" s="25"/>
      <c r="F44" s="25"/>
      <c r="G44" s="25"/>
    </row>
    <row r="45" spans="1:9" s="38" customFormat="1" ht="14.25" x14ac:dyDescent="0.15">
      <c r="A45" s="30"/>
      <c r="B45" s="25"/>
      <c r="C45" s="25"/>
      <c r="D45" s="25"/>
      <c r="E45" s="25"/>
      <c r="F45" s="25"/>
      <c r="G45" s="25"/>
    </row>
    <row r="46" spans="1:9" ht="14.25" x14ac:dyDescent="0.15">
      <c r="A46" s="25"/>
      <c r="B46" s="25"/>
      <c r="C46" s="25"/>
      <c r="D46" s="25"/>
      <c r="E46" s="25"/>
      <c r="F46" s="25"/>
      <c r="G46" s="25"/>
    </row>
    <row r="47" spans="1:9" s="38" customFormat="1" ht="14.25" x14ac:dyDescent="0.15">
      <c r="A47" s="30"/>
      <c r="B47" s="25"/>
      <c r="C47" s="25"/>
      <c r="D47" s="25"/>
      <c r="E47" s="25"/>
      <c r="F47" s="25"/>
      <c r="G47" s="25"/>
    </row>
    <row r="48" spans="1:9" ht="14.25" x14ac:dyDescent="0.15">
      <c r="A48" s="25"/>
      <c r="B48" s="25"/>
      <c r="C48" s="25"/>
      <c r="D48" s="25"/>
      <c r="E48" s="25"/>
      <c r="F48" s="25"/>
      <c r="G48" s="25"/>
    </row>
    <row r="49" spans="1:7" s="38" customFormat="1" ht="14.25" x14ac:dyDescent="0.15">
      <c r="A49" s="30"/>
      <c r="B49" s="25"/>
      <c r="C49" s="25"/>
      <c r="D49" s="25"/>
      <c r="E49" s="25"/>
      <c r="F49" s="25"/>
      <c r="G49" s="25"/>
    </row>
    <row r="50" spans="1:7" ht="14.25" x14ac:dyDescent="0.15">
      <c r="A50" s="25"/>
      <c r="B50" s="25"/>
      <c r="C50" s="25"/>
      <c r="D50" s="25"/>
      <c r="E50" s="25"/>
      <c r="F50" s="25"/>
      <c r="G50" s="25"/>
    </row>
    <row r="51" spans="1:7" s="38" customFormat="1" ht="14.25" x14ac:dyDescent="0.15">
      <c r="A51" s="30"/>
      <c r="B51" s="25"/>
      <c r="C51" s="25"/>
      <c r="D51" s="25"/>
      <c r="E51" s="25"/>
      <c r="F51" s="25"/>
      <c r="G51" s="25"/>
    </row>
    <row r="52" spans="1:7" ht="14.25" x14ac:dyDescent="0.15">
      <c r="A52" s="25"/>
      <c r="B52" s="25"/>
      <c r="C52" s="25"/>
      <c r="D52" s="25"/>
      <c r="E52" s="25"/>
      <c r="F52" s="25"/>
      <c r="G52" s="25"/>
    </row>
    <row r="53" spans="1:7" s="38" customFormat="1" ht="14.25" x14ac:dyDescent="0.15">
      <c r="A53" s="30"/>
      <c r="B53" s="25"/>
      <c r="C53" s="25"/>
      <c r="D53" s="25"/>
      <c r="E53" s="25"/>
      <c r="F53" s="25"/>
      <c r="G53" s="25"/>
    </row>
    <row r="54" spans="1:7" ht="14.25" x14ac:dyDescent="0.15">
      <c r="A54" s="25"/>
      <c r="B54" s="25"/>
      <c r="C54" s="25"/>
      <c r="D54" s="25"/>
      <c r="E54" s="25"/>
      <c r="F54" s="25"/>
      <c r="G54" s="25"/>
    </row>
    <row r="55" spans="1:7" s="38" customFormat="1" ht="14.25" x14ac:dyDescent="0.15">
      <c r="A55" s="30"/>
      <c r="B55" s="25"/>
      <c r="C55" s="25"/>
      <c r="D55" s="25"/>
      <c r="E55" s="25"/>
      <c r="F55" s="25"/>
      <c r="G55" s="25"/>
    </row>
    <row r="56" spans="1:7" ht="14.25" x14ac:dyDescent="0.15">
      <c r="A56" s="25"/>
      <c r="B56" s="25"/>
      <c r="C56" s="25"/>
      <c r="D56" s="25"/>
      <c r="E56" s="25"/>
      <c r="F56" s="25"/>
      <c r="G56" s="25"/>
    </row>
    <row r="57" spans="1:7" s="38" customFormat="1" ht="14.25" x14ac:dyDescent="0.15">
      <c r="A57" s="30"/>
      <c r="B57" s="25"/>
      <c r="C57" s="25"/>
      <c r="D57" s="25"/>
      <c r="E57" s="25"/>
      <c r="F57" s="25"/>
      <c r="G57" s="25"/>
    </row>
    <row r="58" spans="1:7" ht="14.25" x14ac:dyDescent="0.15">
      <c r="A58" s="25"/>
      <c r="B58" s="25"/>
      <c r="C58" s="25"/>
      <c r="D58" s="25"/>
      <c r="E58" s="25"/>
      <c r="F58" s="25"/>
      <c r="G58" s="25"/>
    </row>
    <row r="59" spans="1:7" s="38" customFormat="1" ht="14.25" x14ac:dyDescent="0.15">
      <c r="A59" s="30"/>
      <c r="B59" s="25"/>
      <c r="C59" s="25"/>
      <c r="D59" s="25"/>
      <c r="E59" s="25"/>
      <c r="F59" s="25"/>
      <c r="G59" s="25"/>
    </row>
    <row r="60" spans="1:7" ht="14.25" x14ac:dyDescent="0.15">
      <c r="A60" s="25"/>
      <c r="B60" s="25"/>
      <c r="C60" s="25"/>
      <c r="D60" s="25"/>
      <c r="E60" s="25"/>
      <c r="F60" s="25"/>
      <c r="G60" s="25"/>
    </row>
    <row r="61" spans="1:7" s="38" customFormat="1" ht="14.25" x14ac:dyDescent="0.15">
      <c r="A61" s="30"/>
      <c r="B61" s="25"/>
      <c r="C61" s="25"/>
      <c r="D61" s="25"/>
      <c r="E61" s="25"/>
      <c r="F61" s="25"/>
      <c r="G61" s="25"/>
    </row>
    <row r="62" spans="1:7" ht="14.25" x14ac:dyDescent="0.15">
      <c r="A62" s="25"/>
      <c r="B62" s="25"/>
      <c r="C62" s="25"/>
      <c r="D62" s="25"/>
      <c r="E62" s="25"/>
      <c r="F62" s="25"/>
      <c r="G62" s="25"/>
    </row>
    <row r="63" spans="1:7" s="38" customFormat="1" ht="14.25" x14ac:dyDescent="0.15">
      <c r="A63" s="30"/>
      <c r="B63" s="25"/>
      <c r="C63" s="25"/>
      <c r="D63" s="25"/>
      <c r="E63" s="25"/>
      <c r="F63" s="25"/>
      <c r="G63" s="25"/>
    </row>
    <row r="64" spans="1:7" ht="14.25" x14ac:dyDescent="0.15">
      <c r="A64" s="25"/>
      <c r="B64" s="25"/>
      <c r="C64" s="25"/>
      <c r="D64" s="25"/>
      <c r="E64" s="25"/>
      <c r="F64" s="25"/>
      <c r="G64" s="25"/>
    </row>
    <row r="65" spans="1:7" s="38" customFormat="1" ht="14.25" x14ac:dyDescent="0.15">
      <c r="A65" s="30"/>
      <c r="B65" s="25"/>
      <c r="C65" s="25"/>
      <c r="D65" s="25"/>
      <c r="E65" s="25"/>
      <c r="F65" s="25"/>
      <c r="G65" s="25"/>
    </row>
    <row r="66" spans="1:7" ht="14.25" x14ac:dyDescent="0.15">
      <c r="A66" s="25"/>
      <c r="B66" s="25"/>
      <c r="C66" s="25"/>
      <c r="D66" s="25"/>
      <c r="E66" s="25"/>
      <c r="F66" s="25"/>
      <c r="G66" s="25"/>
    </row>
    <row r="67" spans="1:7" s="38" customFormat="1" ht="14.25" x14ac:dyDescent="0.15">
      <c r="A67" s="30"/>
      <c r="B67" s="25"/>
      <c r="C67" s="25"/>
      <c r="D67" s="25"/>
      <c r="E67" s="25"/>
      <c r="F67" s="25"/>
      <c r="G67" s="25"/>
    </row>
    <row r="68" spans="1:7" ht="14.25" x14ac:dyDescent="0.15">
      <c r="A68" s="25"/>
      <c r="B68" s="25"/>
      <c r="C68" s="25"/>
      <c r="D68" s="25"/>
      <c r="E68" s="25"/>
      <c r="F68" s="25"/>
      <c r="G68" s="25"/>
    </row>
    <row r="69" spans="1:7" s="38" customFormat="1" ht="14.25" x14ac:dyDescent="0.15">
      <c r="A69" s="30"/>
      <c r="B69" s="25"/>
      <c r="C69" s="25"/>
      <c r="D69" s="25"/>
      <c r="E69" s="25"/>
      <c r="F69" s="25"/>
      <c r="G69" s="25"/>
    </row>
    <row r="70" spans="1:7" ht="14.25" x14ac:dyDescent="0.15">
      <c r="A70" s="25"/>
      <c r="B70" s="25"/>
      <c r="C70" s="25"/>
      <c r="D70" s="25"/>
      <c r="E70" s="25"/>
      <c r="F70" s="25"/>
      <c r="G70" s="25"/>
    </row>
    <row r="71" spans="1:7" s="38" customFormat="1" ht="14.25" x14ac:dyDescent="0.15">
      <c r="A71" s="30"/>
      <c r="B71" s="25"/>
      <c r="C71" s="25"/>
      <c r="D71" s="25"/>
      <c r="E71" s="25"/>
      <c r="F71" s="25"/>
      <c r="G71" s="25"/>
    </row>
    <row r="72" spans="1:7" ht="14.25" x14ac:dyDescent="0.15">
      <c r="A72" s="25"/>
      <c r="B72" s="25"/>
      <c r="C72" s="25"/>
      <c r="D72" s="25"/>
      <c r="E72" s="25"/>
      <c r="F72" s="25"/>
      <c r="G72" s="25"/>
    </row>
    <row r="73" spans="1:7" s="38" customFormat="1" ht="14.25" x14ac:dyDescent="0.15">
      <c r="A73" s="30"/>
      <c r="B73" s="25"/>
      <c r="C73" s="25"/>
      <c r="D73" s="25"/>
      <c r="E73" s="25"/>
      <c r="F73" s="25"/>
      <c r="G73" s="25"/>
    </row>
    <row r="74" spans="1:7" ht="14.25" x14ac:dyDescent="0.15">
      <c r="A74" s="25"/>
      <c r="B74" s="25"/>
      <c r="C74" s="25"/>
      <c r="D74" s="25"/>
      <c r="E74" s="25"/>
      <c r="F74" s="25"/>
      <c r="G74" s="25"/>
    </row>
    <row r="75" spans="1:7" s="38" customFormat="1" ht="14.25" x14ac:dyDescent="0.15">
      <c r="A75" s="30"/>
      <c r="B75" s="25"/>
      <c r="C75" s="25"/>
      <c r="D75" s="25"/>
      <c r="E75" s="25"/>
      <c r="F75" s="25"/>
      <c r="G75" s="25"/>
    </row>
    <row r="76" spans="1:7" ht="14.25" x14ac:dyDescent="0.15">
      <c r="A76" s="25"/>
      <c r="B76" s="25"/>
      <c r="C76" s="25"/>
      <c r="D76" s="25"/>
      <c r="E76" s="25"/>
      <c r="F76" s="25"/>
      <c r="G76" s="25"/>
    </row>
    <row r="77" spans="1:7" s="38" customFormat="1" ht="14.25" x14ac:dyDescent="0.15">
      <c r="A77" s="30"/>
      <c r="B77" s="25"/>
      <c r="C77" s="25"/>
      <c r="D77" s="25"/>
      <c r="E77" s="25"/>
      <c r="F77" s="25"/>
      <c r="G77" s="25"/>
    </row>
    <row r="78" spans="1:7" ht="14.25" x14ac:dyDescent="0.15">
      <c r="A78" s="25"/>
      <c r="B78" s="25"/>
      <c r="C78" s="25"/>
      <c r="D78" s="25"/>
      <c r="E78" s="25"/>
      <c r="F78" s="25"/>
      <c r="G78" s="25"/>
    </row>
    <row r="79" spans="1:7" s="38" customFormat="1" ht="14.25" x14ac:dyDescent="0.15">
      <c r="A79" s="30"/>
      <c r="B79" s="25"/>
      <c r="C79" s="25"/>
      <c r="D79" s="25"/>
      <c r="E79" s="25"/>
      <c r="F79" s="25"/>
      <c r="G79" s="25"/>
    </row>
    <row r="80" spans="1:7" ht="14.25" x14ac:dyDescent="0.15">
      <c r="A80" s="25"/>
      <c r="B80" s="25"/>
      <c r="C80" s="25"/>
      <c r="D80" s="25"/>
      <c r="E80" s="25"/>
      <c r="F80" s="25"/>
      <c r="G80" s="25"/>
    </row>
    <row r="81" spans="1:7" s="38" customFormat="1" ht="14.25" x14ac:dyDescent="0.15">
      <c r="A81" s="30"/>
      <c r="B81" s="25"/>
      <c r="C81" s="25"/>
      <c r="D81" s="25"/>
      <c r="E81" s="25"/>
      <c r="F81" s="25"/>
      <c r="G81" s="25"/>
    </row>
    <row r="82" spans="1:7" ht="14.25" x14ac:dyDescent="0.15">
      <c r="A82" s="25"/>
      <c r="B82" s="25"/>
      <c r="C82" s="25"/>
      <c r="D82" s="25"/>
      <c r="E82" s="25"/>
      <c r="F82" s="25"/>
      <c r="G82" s="25"/>
    </row>
    <row r="83" spans="1:7" s="38" customFormat="1" ht="14.25" x14ac:dyDescent="0.15">
      <c r="A83" s="30"/>
      <c r="B83" s="25"/>
      <c r="C83" s="25"/>
      <c r="D83" s="25"/>
      <c r="E83" s="25"/>
      <c r="F83" s="25"/>
      <c r="G83" s="25"/>
    </row>
    <row r="84" spans="1:7" ht="14.25" x14ac:dyDescent="0.15">
      <c r="A84" s="25"/>
      <c r="B84" s="25"/>
      <c r="C84" s="25"/>
      <c r="D84" s="25"/>
      <c r="E84" s="25"/>
      <c r="F84" s="25"/>
      <c r="G84" s="25"/>
    </row>
    <row r="85" spans="1:7" s="38" customFormat="1" ht="14.25" x14ac:dyDescent="0.15">
      <c r="A85" s="30"/>
      <c r="B85" s="25"/>
      <c r="C85" s="25"/>
      <c r="D85" s="25"/>
      <c r="E85" s="25"/>
      <c r="F85" s="25"/>
      <c r="G85" s="25"/>
    </row>
    <row r="86" spans="1:7" ht="14.25" x14ac:dyDescent="0.15">
      <c r="A86" s="25"/>
      <c r="B86" s="25"/>
      <c r="C86" s="25"/>
      <c r="D86" s="25"/>
      <c r="E86" s="25"/>
      <c r="F86" s="25"/>
      <c r="G86" s="25"/>
    </row>
    <row r="87" spans="1:7" s="38" customFormat="1" ht="14.25" x14ac:dyDescent="0.15">
      <c r="A87" s="30"/>
      <c r="B87" s="25"/>
      <c r="C87" s="25"/>
      <c r="D87" s="25"/>
      <c r="E87" s="25"/>
      <c r="F87" s="25"/>
      <c r="G87" s="25"/>
    </row>
    <row r="88" spans="1:7" ht="14.25" x14ac:dyDescent="0.15">
      <c r="A88" s="25"/>
      <c r="B88" s="25"/>
      <c r="C88" s="25"/>
      <c r="D88" s="25"/>
      <c r="E88" s="25"/>
      <c r="F88" s="25"/>
      <c r="G88" s="25"/>
    </row>
    <row r="89" spans="1:7" s="38" customFormat="1" ht="14.25" x14ac:dyDescent="0.15">
      <c r="A89" s="30"/>
      <c r="B89" s="25"/>
      <c r="C89" s="25"/>
      <c r="D89" s="25"/>
      <c r="E89" s="25"/>
      <c r="F89" s="25"/>
      <c r="G89" s="25"/>
    </row>
    <row r="90" spans="1:7" ht="14.25" x14ac:dyDescent="0.15">
      <c r="A90" s="25"/>
      <c r="B90" s="25"/>
      <c r="C90" s="25"/>
      <c r="D90" s="25"/>
      <c r="E90" s="25"/>
      <c r="F90" s="25"/>
      <c r="G90" s="25"/>
    </row>
    <row r="91" spans="1:7" s="38" customFormat="1" ht="14.25" x14ac:dyDescent="0.15">
      <c r="A91" s="30"/>
      <c r="B91" s="25"/>
      <c r="C91" s="25"/>
      <c r="D91" s="25"/>
      <c r="E91" s="25"/>
      <c r="F91" s="25"/>
      <c r="G91" s="25"/>
    </row>
    <row r="92" spans="1:7" ht="14.25" x14ac:dyDescent="0.15">
      <c r="A92" s="25"/>
      <c r="B92" s="25"/>
      <c r="C92" s="25"/>
      <c r="D92" s="25"/>
      <c r="E92" s="25"/>
      <c r="F92" s="25"/>
      <c r="G92" s="25"/>
    </row>
    <row r="93" spans="1:7" s="38" customFormat="1" ht="14.25" x14ac:dyDescent="0.15">
      <c r="A93" s="30"/>
      <c r="B93" s="25"/>
      <c r="C93" s="25"/>
      <c r="D93" s="25"/>
      <c r="E93" s="25"/>
      <c r="F93" s="25"/>
      <c r="G93" s="25"/>
    </row>
    <row r="94" spans="1:7" ht="14.25" x14ac:dyDescent="0.15">
      <c r="A94" s="25"/>
      <c r="B94" s="25"/>
      <c r="C94" s="25"/>
      <c r="D94" s="25"/>
      <c r="E94" s="25"/>
      <c r="F94" s="25"/>
      <c r="G94" s="25"/>
    </row>
    <row r="95" spans="1:7" s="38" customFormat="1" ht="14.25" x14ac:dyDescent="0.15">
      <c r="A95" s="30"/>
      <c r="B95" s="25"/>
      <c r="C95" s="25"/>
      <c r="D95" s="25"/>
      <c r="E95" s="25"/>
      <c r="F95" s="25"/>
      <c r="G95" s="25"/>
    </row>
    <row r="96" spans="1:7" ht="14.25" x14ac:dyDescent="0.15">
      <c r="A96" s="25"/>
      <c r="B96" s="25"/>
      <c r="C96" s="25"/>
      <c r="D96" s="25"/>
      <c r="E96" s="25"/>
      <c r="F96" s="25"/>
      <c r="G96" s="25"/>
    </row>
    <row r="97" spans="1:7" s="38" customFormat="1" ht="14.25" x14ac:dyDescent="0.15">
      <c r="A97" s="30"/>
      <c r="B97" s="25"/>
      <c r="C97" s="25"/>
      <c r="D97" s="25"/>
      <c r="E97" s="25"/>
      <c r="F97" s="25"/>
      <c r="G97" s="25"/>
    </row>
    <row r="98" spans="1:7" ht="14.25" x14ac:dyDescent="0.15">
      <c r="A98" s="25"/>
      <c r="B98" s="25"/>
      <c r="C98" s="25"/>
      <c r="D98" s="25"/>
      <c r="E98" s="25"/>
      <c r="F98" s="25"/>
      <c r="G98" s="25"/>
    </row>
    <row r="99" spans="1:7" ht="14.25" x14ac:dyDescent="0.15">
      <c r="A99" s="30"/>
      <c r="B99" s="25"/>
      <c r="C99" s="25"/>
      <c r="D99" s="25"/>
      <c r="E99" s="25"/>
      <c r="F99" s="25"/>
      <c r="G99" s="25"/>
    </row>
    <row r="100" spans="1:7" ht="14.25" x14ac:dyDescent="0.15">
      <c r="A100" s="25"/>
      <c r="B100" s="25"/>
      <c r="C100" s="25"/>
      <c r="D100" s="25"/>
      <c r="E100" s="25"/>
      <c r="F100" s="25"/>
      <c r="G100" s="25"/>
    </row>
    <row r="101" spans="1:7" ht="14.25" x14ac:dyDescent="0.15">
      <c r="A101" s="30"/>
      <c r="B101" s="25"/>
      <c r="C101" s="25"/>
      <c r="D101" s="25"/>
      <c r="E101" s="25"/>
      <c r="F101" s="25"/>
      <c r="G101" s="25"/>
    </row>
    <row r="102" spans="1:7" ht="14.25" x14ac:dyDescent="0.15">
      <c r="A102" s="25"/>
      <c r="B102" s="25"/>
      <c r="C102" s="25"/>
      <c r="D102" s="25"/>
      <c r="E102" s="25"/>
      <c r="F102" s="25"/>
      <c r="G102" s="25"/>
    </row>
    <row r="103" spans="1:7" ht="14.25" x14ac:dyDescent="0.15">
      <c r="A103" s="30"/>
      <c r="B103" s="25"/>
      <c r="C103" s="25"/>
      <c r="D103" s="25"/>
      <c r="E103" s="25"/>
      <c r="F103" s="25"/>
      <c r="G103" s="25"/>
    </row>
    <row r="104" spans="1:7" ht="14.25" x14ac:dyDescent="0.15">
      <c r="A104" s="25"/>
      <c r="B104" s="25"/>
      <c r="C104" s="25"/>
      <c r="D104" s="25"/>
      <c r="E104" s="25"/>
      <c r="F104" s="25"/>
      <c r="G104" s="25"/>
    </row>
    <row r="105" spans="1:7" ht="14.25" x14ac:dyDescent="0.15">
      <c r="A105" s="30"/>
      <c r="B105" s="25"/>
      <c r="C105" s="25"/>
      <c r="D105" s="25"/>
      <c r="E105" s="25"/>
      <c r="F105" s="25"/>
      <c r="G105" s="25"/>
    </row>
    <row r="106" spans="1:7" ht="14.25" x14ac:dyDescent="0.15">
      <c r="A106" s="25"/>
      <c r="B106" s="25"/>
      <c r="C106" s="25"/>
      <c r="D106" s="25"/>
      <c r="E106" s="25"/>
      <c r="F106" s="25"/>
      <c r="G106" s="25"/>
    </row>
    <row r="107" spans="1:7" ht="14.25" x14ac:dyDescent="0.15">
      <c r="A107" s="30"/>
      <c r="B107" s="25"/>
      <c r="C107" s="25"/>
      <c r="D107" s="25"/>
      <c r="E107" s="25"/>
      <c r="F107" s="25"/>
      <c r="G107" s="25"/>
    </row>
    <row r="108" spans="1:7" ht="14.25" x14ac:dyDescent="0.15">
      <c r="A108" s="25"/>
      <c r="B108" s="25"/>
      <c r="C108" s="25"/>
      <c r="D108" s="25"/>
      <c r="E108" s="25"/>
      <c r="F108" s="25"/>
      <c r="G108" s="25"/>
    </row>
    <row r="109" spans="1:7" ht="14.25" x14ac:dyDescent="0.15">
      <c r="A109" s="30"/>
      <c r="B109" s="25"/>
      <c r="C109" s="25"/>
      <c r="D109" s="25"/>
      <c r="E109" s="25"/>
      <c r="F109" s="25"/>
      <c r="G109" s="25"/>
    </row>
    <row r="110" spans="1:7" ht="14.25" x14ac:dyDescent="0.15">
      <c r="A110" s="25"/>
      <c r="B110" s="25"/>
      <c r="C110" s="25"/>
      <c r="D110" s="25"/>
      <c r="E110" s="25"/>
      <c r="F110" s="25"/>
      <c r="G110" s="25"/>
    </row>
    <row r="111" spans="1:7" ht="14.25" x14ac:dyDescent="0.15">
      <c r="A111" s="30"/>
      <c r="B111" s="25"/>
      <c r="C111" s="25"/>
      <c r="D111" s="25"/>
      <c r="E111" s="25"/>
      <c r="F111" s="25"/>
      <c r="G111" s="25"/>
    </row>
    <row r="112" spans="1:7" ht="14.25" x14ac:dyDescent="0.15">
      <c r="A112" s="25"/>
      <c r="B112" s="25"/>
      <c r="C112" s="25"/>
      <c r="D112" s="25"/>
      <c r="E112" s="25"/>
      <c r="F112" s="25"/>
      <c r="G112" s="25"/>
    </row>
    <row r="113" spans="1:7" ht="14.25" x14ac:dyDescent="0.15">
      <c r="A113" s="30"/>
      <c r="B113" s="25"/>
      <c r="C113" s="25"/>
      <c r="D113" s="25"/>
      <c r="E113" s="25"/>
      <c r="F113" s="25"/>
      <c r="G113" s="25"/>
    </row>
    <row r="114" spans="1:7" ht="14.25" x14ac:dyDescent="0.15">
      <c r="A114" s="25"/>
      <c r="B114" s="25"/>
      <c r="C114" s="25"/>
      <c r="D114" s="25"/>
      <c r="E114" s="25"/>
      <c r="F114" s="25"/>
      <c r="G114" s="25"/>
    </row>
    <row r="115" spans="1:7" ht="14.25" x14ac:dyDescent="0.15">
      <c r="A115" s="30"/>
      <c r="B115" s="25"/>
      <c r="C115" s="25"/>
      <c r="D115" s="25"/>
      <c r="E115" s="25"/>
      <c r="F115" s="25"/>
      <c r="G115" s="25"/>
    </row>
    <row r="116" spans="1:7" ht="14.25" x14ac:dyDescent="0.15">
      <c r="A116" s="25"/>
      <c r="B116" s="25"/>
      <c r="C116" s="25"/>
      <c r="D116" s="25"/>
      <c r="E116" s="25"/>
      <c r="F116" s="25"/>
      <c r="G116" s="25"/>
    </row>
    <row r="117" spans="1:7" ht="14.25" x14ac:dyDescent="0.15">
      <c r="A117" s="30"/>
      <c r="B117" s="25"/>
      <c r="C117" s="25"/>
      <c r="D117" s="25"/>
      <c r="E117" s="25"/>
      <c r="F117" s="25"/>
      <c r="G117" s="25"/>
    </row>
    <row r="118" spans="1:7" ht="14.25" x14ac:dyDescent="0.15">
      <c r="A118" s="25"/>
      <c r="B118" s="25"/>
      <c r="C118" s="25"/>
      <c r="D118" s="25"/>
      <c r="E118" s="25"/>
      <c r="F118" s="25"/>
      <c r="G118" s="25"/>
    </row>
    <row r="119" spans="1:7" ht="14.25" x14ac:dyDescent="0.15">
      <c r="A119" s="30"/>
      <c r="B119" s="25"/>
      <c r="C119" s="25"/>
      <c r="D119" s="25"/>
      <c r="E119" s="25"/>
      <c r="F119" s="25"/>
      <c r="G119" s="25"/>
    </row>
    <row r="120" spans="1:7" ht="14.25" x14ac:dyDescent="0.15">
      <c r="A120" s="25"/>
      <c r="B120" s="25"/>
      <c r="C120" s="25"/>
      <c r="D120" s="25"/>
      <c r="E120" s="25"/>
      <c r="F120" s="25"/>
      <c r="G120" s="25"/>
    </row>
    <row r="121" spans="1:7" ht="14.25" x14ac:dyDescent="0.15">
      <c r="A121" s="30"/>
      <c r="B121" s="25"/>
      <c r="C121" s="25"/>
      <c r="D121" s="25"/>
      <c r="E121" s="25"/>
      <c r="F121" s="25"/>
      <c r="G121" s="25"/>
    </row>
    <row r="122" spans="1:7" ht="14.25" x14ac:dyDescent="0.15">
      <c r="A122" s="25"/>
      <c r="B122" s="25"/>
      <c r="C122" s="25"/>
      <c r="D122" s="25"/>
      <c r="E122" s="25"/>
      <c r="F122" s="25"/>
      <c r="G122" s="25"/>
    </row>
    <row r="123" spans="1:7" ht="14.25" x14ac:dyDescent="0.15">
      <c r="A123" s="30"/>
      <c r="B123" s="25"/>
      <c r="C123" s="25"/>
      <c r="D123" s="25"/>
      <c r="E123" s="25"/>
      <c r="F123" s="25"/>
      <c r="G123" s="25"/>
    </row>
    <row r="124" spans="1:7" ht="14.25" x14ac:dyDescent="0.15">
      <c r="A124" s="25"/>
      <c r="B124" s="25"/>
      <c r="C124" s="25"/>
      <c r="D124" s="25"/>
      <c r="E124" s="25"/>
      <c r="F124" s="25"/>
      <c r="G124" s="25"/>
    </row>
    <row r="125" spans="1:7" ht="14.25" x14ac:dyDescent="0.15">
      <c r="A125" s="30"/>
      <c r="B125" s="25"/>
      <c r="C125" s="25"/>
      <c r="D125" s="25"/>
      <c r="E125" s="25"/>
      <c r="F125" s="25"/>
      <c r="G125" s="25"/>
    </row>
    <row r="126" spans="1:7" ht="14.25" x14ac:dyDescent="0.15">
      <c r="A126" s="25"/>
      <c r="B126" s="25"/>
      <c r="C126" s="25"/>
      <c r="D126" s="25"/>
      <c r="E126" s="25"/>
      <c r="F126" s="25"/>
      <c r="G126" s="25"/>
    </row>
    <row r="127" spans="1:7" ht="14.25" x14ac:dyDescent="0.15">
      <c r="A127" s="30"/>
      <c r="B127" s="25"/>
      <c r="C127" s="25"/>
      <c r="D127" s="25"/>
      <c r="E127" s="25"/>
      <c r="F127" s="25"/>
      <c r="G127" s="25"/>
    </row>
    <row r="128" spans="1:7" ht="14.25" x14ac:dyDescent="0.15">
      <c r="A128" s="25"/>
      <c r="B128" s="25"/>
      <c r="C128" s="25"/>
      <c r="D128" s="25"/>
      <c r="E128" s="25"/>
      <c r="F128" s="25"/>
      <c r="G128" s="25"/>
    </row>
    <row r="129" spans="1:7" ht="14.25" x14ac:dyDescent="0.15">
      <c r="A129" s="30"/>
      <c r="B129" s="25"/>
      <c r="C129" s="25"/>
      <c r="D129" s="25"/>
      <c r="E129" s="25"/>
      <c r="F129" s="25"/>
      <c r="G129" s="25"/>
    </row>
    <row r="130" spans="1:7" ht="14.25" x14ac:dyDescent="0.15">
      <c r="A130" s="25"/>
      <c r="B130" s="25"/>
      <c r="C130" s="25"/>
      <c r="D130" s="25"/>
      <c r="E130" s="25"/>
      <c r="F130" s="25"/>
      <c r="G130" s="25"/>
    </row>
    <row r="131" spans="1:7" ht="14.25" x14ac:dyDescent="0.15">
      <c r="A131" s="30"/>
      <c r="B131" s="25"/>
      <c r="C131" s="25"/>
      <c r="D131" s="25"/>
      <c r="E131" s="25"/>
      <c r="F131" s="25"/>
      <c r="G131" s="25"/>
    </row>
    <row r="132" spans="1:7" ht="14.25" x14ac:dyDescent="0.15">
      <c r="A132" s="25"/>
      <c r="B132" s="25"/>
      <c r="C132" s="25"/>
      <c r="D132" s="25"/>
      <c r="E132" s="25"/>
      <c r="F132" s="25"/>
      <c r="G132" s="25"/>
    </row>
    <row r="133" spans="1:7" ht="14.25" x14ac:dyDescent="0.15">
      <c r="A133" s="30"/>
      <c r="B133" s="25"/>
      <c r="C133" s="25"/>
      <c r="D133" s="25"/>
      <c r="E133" s="25"/>
      <c r="F133" s="25"/>
      <c r="G133" s="25"/>
    </row>
    <row r="134" spans="1:7" ht="14.25" x14ac:dyDescent="0.15">
      <c r="A134" s="25"/>
      <c r="B134" s="25"/>
      <c r="C134" s="25"/>
      <c r="D134" s="25"/>
      <c r="E134" s="25"/>
      <c r="F134" s="25"/>
      <c r="G134" s="25"/>
    </row>
    <row r="135" spans="1:7" ht="14.25" x14ac:dyDescent="0.15">
      <c r="A135" s="30"/>
      <c r="B135" s="25"/>
      <c r="C135" s="25"/>
      <c r="D135" s="25"/>
      <c r="E135" s="25"/>
      <c r="F135" s="25"/>
      <c r="G135" s="25"/>
    </row>
    <row r="136" spans="1:7" ht="14.25" x14ac:dyDescent="0.15">
      <c r="A136" s="25"/>
      <c r="B136" s="25"/>
      <c r="C136" s="25"/>
      <c r="D136" s="25"/>
      <c r="E136" s="25"/>
      <c r="F136" s="25"/>
      <c r="G136" s="25"/>
    </row>
    <row r="137" spans="1:7" ht="14.25" x14ac:dyDescent="0.15">
      <c r="A137" s="30"/>
      <c r="B137" s="25"/>
      <c r="C137" s="25"/>
      <c r="D137" s="25"/>
      <c r="E137" s="25"/>
      <c r="F137" s="25"/>
      <c r="G137" s="25"/>
    </row>
    <row r="138" spans="1:7" ht="14.25" x14ac:dyDescent="0.15">
      <c r="A138" s="25"/>
      <c r="B138" s="25"/>
      <c r="C138" s="25"/>
      <c r="D138" s="25"/>
      <c r="E138" s="25"/>
      <c r="F138" s="25"/>
      <c r="G138" s="25"/>
    </row>
    <row r="139" spans="1:7" ht="14.25" x14ac:dyDescent="0.15">
      <c r="A139" s="30"/>
      <c r="B139" s="25"/>
      <c r="C139" s="25"/>
      <c r="D139" s="25"/>
      <c r="E139" s="25"/>
      <c r="F139" s="25"/>
      <c r="G139" s="25"/>
    </row>
    <row r="140" spans="1:7" ht="14.25" x14ac:dyDescent="0.15">
      <c r="A140" s="25"/>
      <c r="B140" s="25"/>
      <c r="C140" s="25"/>
      <c r="D140" s="25"/>
      <c r="E140" s="25"/>
      <c r="F140" s="25"/>
      <c r="G140" s="25"/>
    </row>
    <row r="141" spans="1:7" ht="14.25" x14ac:dyDescent="0.15">
      <c r="A141" s="30"/>
      <c r="B141" s="25"/>
      <c r="C141" s="25"/>
      <c r="D141" s="25"/>
      <c r="E141" s="25"/>
      <c r="F141" s="25"/>
      <c r="G141" s="25"/>
    </row>
    <row r="142" spans="1:7" ht="14.25" x14ac:dyDescent="0.15">
      <c r="A142" s="25"/>
      <c r="B142" s="25"/>
      <c r="C142" s="25"/>
      <c r="D142" s="25"/>
      <c r="E142" s="25"/>
      <c r="F142" s="25"/>
      <c r="G142" s="25"/>
    </row>
    <row r="143" spans="1:7" ht="14.25" x14ac:dyDescent="0.15">
      <c r="A143" s="30"/>
      <c r="B143" s="25"/>
      <c r="C143" s="25"/>
      <c r="D143" s="25"/>
      <c r="E143" s="25"/>
      <c r="F143" s="25"/>
      <c r="G143" s="25"/>
    </row>
    <row r="144" spans="1:7" ht="14.25" x14ac:dyDescent="0.15">
      <c r="A144" s="25"/>
      <c r="B144" s="25"/>
      <c r="C144" s="25"/>
      <c r="D144" s="25"/>
      <c r="E144" s="25"/>
      <c r="F144" s="25"/>
      <c r="G144" s="25"/>
    </row>
    <row r="145" spans="1:7" ht="14.25" x14ac:dyDescent="0.15">
      <c r="A145" s="30"/>
      <c r="B145" s="25"/>
      <c r="C145" s="25"/>
      <c r="D145" s="25"/>
      <c r="E145" s="25"/>
      <c r="F145" s="25"/>
      <c r="G145" s="25"/>
    </row>
    <row r="146" spans="1:7" ht="14.25" x14ac:dyDescent="0.15">
      <c r="A146" s="25"/>
      <c r="B146" s="25"/>
      <c r="C146" s="25"/>
      <c r="D146" s="25"/>
      <c r="E146" s="25"/>
      <c r="F146" s="25"/>
      <c r="G146" s="25"/>
    </row>
    <row r="147" spans="1:7" ht="14.25" x14ac:dyDescent="0.15">
      <c r="A147" s="30"/>
      <c r="B147" s="25"/>
      <c r="C147" s="25"/>
      <c r="D147" s="25"/>
      <c r="E147" s="25"/>
      <c r="F147" s="25"/>
      <c r="G147" s="25"/>
    </row>
    <row r="148" spans="1:7" ht="14.25" x14ac:dyDescent="0.15">
      <c r="A148" s="25"/>
      <c r="B148" s="25"/>
      <c r="C148" s="25"/>
      <c r="D148" s="25"/>
      <c r="E148" s="25"/>
      <c r="F148" s="25"/>
      <c r="G148" s="25"/>
    </row>
    <row r="149" spans="1:7" ht="14.25" x14ac:dyDescent="0.15">
      <c r="A149" s="30"/>
      <c r="B149" s="25"/>
      <c r="C149" s="25"/>
      <c r="D149" s="25"/>
      <c r="E149" s="25"/>
      <c r="F149" s="25"/>
      <c r="G149" s="25"/>
    </row>
    <row r="150" spans="1:7" ht="14.25" x14ac:dyDescent="0.15">
      <c r="A150" s="25"/>
      <c r="B150" s="25"/>
      <c r="C150" s="25"/>
      <c r="D150" s="25"/>
      <c r="E150" s="25"/>
      <c r="F150" s="25"/>
      <c r="G150" s="25"/>
    </row>
    <row r="151" spans="1:7" ht="14.25" x14ac:dyDescent="0.15">
      <c r="A151" s="30"/>
      <c r="B151" s="25"/>
      <c r="C151" s="25"/>
      <c r="D151" s="25"/>
      <c r="E151" s="25"/>
      <c r="F151" s="25"/>
      <c r="G151" s="25"/>
    </row>
    <row r="152" spans="1:7" ht="14.25" x14ac:dyDescent="0.15">
      <c r="A152" s="25"/>
      <c r="B152" s="25"/>
      <c r="C152" s="25"/>
      <c r="D152" s="25"/>
      <c r="E152" s="25"/>
      <c r="F152" s="25"/>
      <c r="G152" s="25"/>
    </row>
    <row r="153" spans="1:7" ht="14.25" x14ac:dyDescent="0.15">
      <c r="A153" s="30"/>
      <c r="B153" s="25"/>
      <c r="C153" s="25"/>
      <c r="D153" s="25"/>
      <c r="E153" s="25"/>
      <c r="F153" s="25"/>
      <c r="G153" s="25"/>
    </row>
    <row r="154" spans="1:7" ht="14.25" x14ac:dyDescent="0.15">
      <c r="A154" s="25"/>
      <c r="B154" s="25"/>
      <c r="C154" s="25"/>
      <c r="D154" s="25"/>
      <c r="E154" s="25"/>
      <c r="F154" s="25"/>
      <c r="G154" s="25"/>
    </row>
    <row r="155" spans="1:7" ht="14.25" x14ac:dyDescent="0.15">
      <c r="A155" s="30"/>
      <c r="B155" s="25"/>
      <c r="C155" s="25"/>
      <c r="D155" s="25"/>
      <c r="E155" s="25"/>
      <c r="F155" s="25"/>
      <c r="G155" s="25"/>
    </row>
    <row r="156" spans="1:7" ht="14.25" x14ac:dyDescent="0.15">
      <c r="A156" s="25"/>
      <c r="B156" s="25"/>
      <c r="C156" s="25"/>
      <c r="D156" s="25"/>
      <c r="E156" s="25"/>
      <c r="F156" s="25"/>
      <c r="G156" s="25"/>
    </row>
    <row r="157" spans="1:7" ht="14.25" x14ac:dyDescent="0.15">
      <c r="A157" s="30"/>
      <c r="B157" s="25"/>
      <c r="C157" s="25"/>
      <c r="D157" s="25"/>
      <c r="E157" s="25"/>
      <c r="F157" s="25"/>
      <c r="G157" s="25"/>
    </row>
    <row r="158" spans="1:7" ht="14.25" x14ac:dyDescent="0.15">
      <c r="A158" s="25"/>
      <c r="B158" s="25"/>
      <c r="C158" s="25"/>
      <c r="D158" s="25"/>
      <c r="E158" s="25"/>
      <c r="F158" s="25"/>
      <c r="G158" s="25"/>
    </row>
    <row r="159" spans="1:7" ht="14.25" x14ac:dyDescent="0.15">
      <c r="A159" s="30"/>
      <c r="B159" s="25"/>
      <c r="C159" s="25"/>
      <c r="D159" s="25"/>
      <c r="E159" s="25"/>
      <c r="F159" s="25"/>
      <c r="G159" s="25"/>
    </row>
    <row r="160" spans="1:7" ht="14.25" x14ac:dyDescent="0.15">
      <c r="A160" s="25"/>
      <c r="B160" s="25"/>
      <c r="C160" s="25"/>
      <c r="D160" s="25"/>
      <c r="E160" s="25"/>
      <c r="F160" s="25"/>
      <c r="G160" s="25"/>
    </row>
    <row r="161" spans="1:7" ht="14.25" x14ac:dyDescent="0.15">
      <c r="A161" s="30"/>
      <c r="B161" s="25"/>
      <c r="C161" s="25"/>
      <c r="D161" s="25"/>
      <c r="E161" s="25"/>
      <c r="F161" s="25"/>
      <c r="G161" s="25"/>
    </row>
    <row r="162" spans="1:7" ht="14.25" x14ac:dyDescent="0.15">
      <c r="A162" s="25"/>
      <c r="B162" s="25"/>
      <c r="C162" s="25"/>
      <c r="D162" s="25"/>
      <c r="E162" s="25"/>
      <c r="F162" s="25"/>
      <c r="G162" s="25"/>
    </row>
    <row r="163" spans="1:7" ht="14.25" x14ac:dyDescent="0.15">
      <c r="A163" s="30"/>
      <c r="B163" s="25"/>
      <c r="C163" s="25"/>
      <c r="D163" s="25"/>
      <c r="E163" s="25"/>
      <c r="F163" s="25"/>
      <c r="G163" s="25"/>
    </row>
    <row r="164" spans="1:7" ht="14.25" x14ac:dyDescent="0.15">
      <c r="A164" s="25"/>
      <c r="B164" s="25"/>
      <c r="C164" s="25"/>
      <c r="D164" s="25"/>
      <c r="E164" s="25"/>
      <c r="F164" s="25"/>
      <c r="G164" s="25"/>
    </row>
    <row r="165" spans="1:7" ht="14.25" x14ac:dyDescent="0.15">
      <c r="A165" s="30"/>
      <c r="B165" s="25"/>
      <c r="C165" s="25"/>
      <c r="D165" s="25"/>
      <c r="E165" s="25"/>
      <c r="F165" s="25"/>
      <c r="G165" s="25"/>
    </row>
    <row r="166" spans="1:7" ht="14.25" x14ac:dyDescent="0.15">
      <c r="A166" s="25"/>
      <c r="B166" s="25"/>
      <c r="C166" s="25"/>
      <c r="D166" s="25"/>
      <c r="E166" s="25"/>
      <c r="F166" s="25"/>
      <c r="G166" s="25"/>
    </row>
    <row r="167" spans="1:7" ht="14.25" x14ac:dyDescent="0.15">
      <c r="A167" s="30"/>
      <c r="B167" s="25"/>
      <c r="C167" s="25"/>
      <c r="D167" s="25"/>
      <c r="E167" s="25"/>
      <c r="F167" s="25"/>
      <c r="G167" s="25"/>
    </row>
    <row r="168" spans="1:7" ht="14.25" x14ac:dyDescent="0.15">
      <c r="A168" s="25"/>
      <c r="B168" s="25"/>
      <c r="C168" s="25"/>
      <c r="D168" s="25"/>
      <c r="E168" s="25"/>
      <c r="F168" s="25"/>
      <c r="G168" s="25"/>
    </row>
    <row r="169" spans="1:7" ht="14.25" x14ac:dyDescent="0.15">
      <c r="A169" s="30"/>
      <c r="B169" s="25"/>
      <c r="C169" s="25"/>
      <c r="D169" s="25"/>
      <c r="E169" s="25"/>
      <c r="F169" s="25"/>
      <c r="G169" s="25"/>
    </row>
    <row r="170" spans="1:7" ht="14.25" x14ac:dyDescent="0.15">
      <c r="A170" s="25"/>
      <c r="B170" s="25"/>
      <c r="C170" s="25"/>
      <c r="D170" s="25"/>
      <c r="E170" s="25"/>
      <c r="F170" s="25"/>
      <c r="G170" s="25"/>
    </row>
    <row r="171" spans="1:7" ht="14.25" x14ac:dyDescent="0.15">
      <c r="A171" s="30"/>
      <c r="B171" s="25"/>
      <c r="C171" s="25"/>
      <c r="D171" s="25"/>
      <c r="E171" s="25"/>
      <c r="F171" s="25"/>
      <c r="G171" s="25"/>
    </row>
    <row r="172" spans="1:7" ht="14.25" x14ac:dyDescent="0.15">
      <c r="A172" s="25"/>
      <c r="B172" s="25"/>
      <c r="C172" s="25"/>
      <c r="D172" s="25"/>
      <c r="E172" s="25"/>
      <c r="F172" s="25"/>
      <c r="G172" s="25"/>
    </row>
    <row r="173" spans="1:7" ht="14.25" x14ac:dyDescent="0.15">
      <c r="A173" s="30"/>
      <c r="B173" s="25"/>
      <c r="C173" s="25"/>
      <c r="D173" s="25"/>
      <c r="E173" s="25"/>
      <c r="F173" s="25"/>
      <c r="G173" s="25"/>
    </row>
    <row r="174" spans="1:7" ht="14.25" x14ac:dyDescent="0.15">
      <c r="A174" s="25"/>
      <c r="B174" s="25"/>
      <c r="C174" s="25"/>
      <c r="D174" s="25"/>
      <c r="E174" s="25"/>
      <c r="F174" s="25"/>
      <c r="G174" s="25"/>
    </row>
    <row r="175" spans="1:7" ht="14.25" x14ac:dyDescent="0.15">
      <c r="A175" s="30"/>
      <c r="B175" s="25"/>
      <c r="C175" s="25"/>
      <c r="D175" s="25"/>
      <c r="E175" s="25"/>
      <c r="F175" s="25"/>
      <c r="G175" s="25"/>
    </row>
    <row r="176" spans="1:7" ht="14.25" x14ac:dyDescent="0.15">
      <c r="A176" s="25"/>
      <c r="B176" s="25"/>
      <c r="C176" s="25"/>
      <c r="D176" s="25"/>
      <c r="E176" s="25"/>
      <c r="F176" s="25"/>
      <c r="G176" s="25"/>
    </row>
    <row r="177" spans="1:7" ht="14.25" x14ac:dyDescent="0.15">
      <c r="A177" s="30"/>
      <c r="B177" s="25"/>
      <c r="C177" s="25"/>
      <c r="D177" s="25"/>
      <c r="E177" s="25"/>
      <c r="F177" s="25"/>
      <c r="G177" s="25"/>
    </row>
    <row r="178" spans="1:7" ht="14.25" x14ac:dyDescent="0.15">
      <c r="A178" s="25"/>
      <c r="B178" s="25"/>
      <c r="C178" s="25"/>
      <c r="D178" s="25"/>
      <c r="E178" s="25"/>
      <c r="F178" s="25"/>
      <c r="G178" s="25"/>
    </row>
    <row r="179" spans="1:7" ht="14.25" x14ac:dyDescent="0.15">
      <c r="A179" s="30"/>
      <c r="B179" s="25"/>
      <c r="C179" s="25"/>
      <c r="D179" s="25"/>
      <c r="E179" s="25"/>
      <c r="F179" s="25"/>
      <c r="G179" s="25"/>
    </row>
    <row r="180" spans="1:7" ht="14.25" x14ac:dyDescent="0.15">
      <c r="A180" s="25"/>
      <c r="B180" s="25"/>
      <c r="C180" s="25"/>
      <c r="D180" s="25"/>
      <c r="E180" s="25"/>
      <c r="F180" s="25"/>
      <c r="G180" s="25"/>
    </row>
    <row r="181" spans="1:7" ht="14.25" x14ac:dyDescent="0.15">
      <c r="A181" s="30"/>
      <c r="B181" s="25"/>
      <c r="C181" s="25"/>
      <c r="D181" s="25"/>
      <c r="E181" s="25"/>
      <c r="F181" s="25"/>
      <c r="G181" s="25"/>
    </row>
    <row r="182" spans="1:7" ht="14.25" x14ac:dyDescent="0.15">
      <c r="A182" s="25"/>
      <c r="B182" s="25"/>
      <c r="C182" s="25"/>
      <c r="D182" s="25"/>
      <c r="E182" s="25"/>
      <c r="F182" s="25"/>
      <c r="G182" s="25"/>
    </row>
    <row r="183" spans="1:7" ht="14.25" x14ac:dyDescent="0.15">
      <c r="A183" s="30"/>
      <c r="B183" s="25"/>
      <c r="C183" s="25"/>
      <c r="D183" s="25"/>
      <c r="E183" s="25"/>
      <c r="F183" s="25"/>
      <c r="G183" s="25"/>
    </row>
    <row r="184" spans="1:7" ht="14.25" x14ac:dyDescent="0.15">
      <c r="A184" s="25"/>
      <c r="B184" s="25"/>
      <c r="C184" s="25"/>
      <c r="D184" s="25"/>
      <c r="E184" s="25"/>
      <c r="F184" s="25"/>
      <c r="G184" s="25"/>
    </row>
    <row r="185" spans="1:7" ht="14.25" x14ac:dyDescent="0.15">
      <c r="A185" s="30"/>
      <c r="B185" s="25"/>
      <c r="C185" s="25"/>
      <c r="D185" s="25"/>
      <c r="E185" s="25"/>
      <c r="F185" s="25"/>
      <c r="G185" s="25"/>
    </row>
    <row r="186" spans="1:7" ht="14.25" x14ac:dyDescent="0.15">
      <c r="A186" s="25"/>
      <c r="B186" s="25"/>
      <c r="C186" s="25"/>
      <c r="D186" s="25"/>
      <c r="E186" s="25"/>
      <c r="F186" s="25"/>
      <c r="G186" s="25"/>
    </row>
    <row r="187" spans="1:7" ht="14.25" x14ac:dyDescent="0.15">
      <c r="A187" s="30"/>
      <c r="B187" s="25"/>
      <c r="C187" s="25"/>
      <c r="D187" s="25"/>
      <c r="E187" s="25"/>
      <c r="F187" s="25"/>
      <c r="G187" s="25"/>
    </row>
    <row r="188" spans="1:7" ht="14.25" x14ac:dyDescent="0.15">
      <c r="A188" s="25"/>
      <c r="B188" s="25"/>
      <c r="C188" s="25"/>
      <c r="D188" s="25"/>
      <c r="E188" s="25"/>
      <c r="F188" s="25"/>
      <c r="G188" s="25"/>
    </row>
    <row r="189" spans="1:7" ht="14.25" x14ac:dyDescent="0.15">
      <c r="A189" s="30"/>
      <c r="B189" s="25"/>
      <c r="C189" s="25"/>
      <c r="D189" s="25"/>
      <c r="E189" s="25"/>
      <c r="F189" s="25"/>
      <c r="G189" s="25"/>
    </row>
    <row r="190" spans="1:7" ht="14.25" x14ac:dyDescent="0.15">
      <c r="A190" s="25"/>
      <c r="B190" s="25"/>
      <c r="C190" s="25"/>
      <c r="D190" s="25"/>
      <c r="E190" s="25"/>
      <c r="F190" s="25"/>
      <c r="G190" s="25"/>
    </row>
    <row r="191" spans="1:7" ht="14.25" x14ac:dyDescent="0.15">
      <c r="A191" s="30"/>
      <c r="B191" s="25"/>
      <c r="C191" s="25"/>
      <c r="D191" s="25"/>
      <c r="E191" s="25"/>
      <c r="F191" s="25"/>
      <c r="G191" s="25"/>
    </row>
    <row r="192" spans="1:7" ht="14.25" x14ac:dyDescent="0.15">
      <c r="A192" s="25"/>
      <c r="B192" s="25"/>
      <c r="C192" s="25"/>
      <c r="D192" s="25"/>
      <c r="E192" s="25"/>
      <c r="F192" s="25"/>
      <c r="G192" s="25"/>
    </row>
    <row r="193" spans="1:7" ht="14.25" x14ac:dyDescent="0.15">
      <c r="A193" s="30"/>
      <c r="B193" s="25"/>
      <c r="C193" s="25"/>
      <c r="D193" s="25"/>
      <c r="E193" s="25"/>
      <c r="F193" s="25"/>
      <c r="G193" s="25"/>
    </row>
    <row r="194" spans="1:7" ht="14.25" x14ac:dyDescent="0.15">
      <c r="A194" s="25"/>
      <c r="B194" s="25"/>
      <c r="C194" s="25"/>
      <c r="D194" s="25"/>
      <c r="E194" s="25"/>
      <c r="F194" s="25"/>
      <c r="G194" s="25"/>
    </row>
    <row r="195" spans="1:7" ht="14.25" x14ac:dyDescent="0.15">
      <c r="A195" s="30"/>
      <c r="B195" s="25"/>
      <c r="C195" s="25"/>
      <c r="D195" s="25"/>
      <c r="E195" s="25"/>
      <c r="F195" s="25"/>
      <c r="G195" s="25"/>
    </row>
    <row r="196" spans="1:7" ht="14.25" x14ac:dyDescent="0.15">
      <c r="A196" s="25"/>
      <c r="B196" s="25"/>
      <c r="C196" s="25"/>
      <c r="D196" s="25"/>
      <c r="E196" s="25"/>
      <c r="F196" s="25"/>
      <c r="G196" s="25"/>
    </row>
    <row r="197" spans="1:7" ht="14.25" x14ac:dyDescent="0.15">
      <c r="A197" s="30"/>
      <c r="B197" s="25"/>
      <c r="C197" s="25"/>
      <c r="D197" s="25"/>
      <c r="E197" s="25"/>
      <c r="F197" s="25"/>
      <c r="G197" s="25"/>
    </row>
    <row r="198" spans="1:7" ht="14.25" x14ac:dyDescent="0.15">
      <c r="A198" s="25"/>
      <c r="B198" s="25"/>
      <c r="C198" s="25"/>
      <c r="D198" s="25"/>
      <c r="E198" s="25"/>
      <c r="F198" s="25"/>
      <c r="G198" s="25"/>
    </row>
    <row r="199" spans="1:7" ht="14.25" x14ac:dyDescent="0.15">
      <c r="A199" s="30"/>
      <c r="B199" s="25"/>
      <c r="C199" s="25"/>
      <c r="D199" s="25"/>
      <c r="E199" s="25"/>
      <c r="F199" s="25"/>
      <c r="G199" s="25"/>
    </row>
    <row r="200" spans="1:7" ht="14.25" x14ac:dyDescent="0.15">
      <c r="A200" s="25"/>
      <c r="B200" s="25"/>
      <c r="C200" s="25"/>
      <c r="D200" s="25"/>
      <c r="E200" s="25"/>
      <c r="F200" s="25"/>
      <c r="G200" s="25"/>
    </row>
    <row r="201" spans="1:7" ht="14.25" x14ac:dyDescent="0.15">
      <c r="A201" s="30"/>
      <c r="B201" s="25"/>
      <c r="C201" s="25"/>
      <c r="D201" s="25"/>
      <c r="E201" s="25"/>
      <c r="F201" s="25"/>
      <c r="G201" s="25"/>
    </row>
    <row r="202" spans="1:7" ht="14.25" x14ac:dyDescent="0.15">
      <c r="A202" s="25"/>
      <c r="B202" s="25"/>
      <c r="C202" s="25"/>
      <c r="D202" s="25"/>
      <c r="E202" s="25"/>
      <c r="F202" s="25"/>
      <c r="G202" s="25"/>
    </row>
    <row r="203" spans="1:7" ht="14.25" x14ac:dyDescent="0.15">
      <c r="A203" s="30"/>
      <c r="B203" s="25"/>
      <c r="C203" s="25"/>
      <c r="D203" s="25"/>
      <c r="E203" s="25"/>
      <c r="F203" s="25"/>
      <c r="G203" s="25"/>
    </row>
    <row r="204" spans="1:7" ht="14.25" x14ac:dyDescent="0.15">
      <c r="A204" s="25"/>
      <c r="B204" s="25"/>
      <c r="C204" s="25"/>
      <c r="D204" s="25"/>
      <c r="E204" s="25"/>
      <c r="F204" s="25"/>
      <c r="G204" s="25"/>
    </row>
    <row r="205" spans="1:7" ht="14.25" x14ac:dyDescent="0.15">
      <c r="A205" s="30"/>
      <c r="B205" s="25"/>
      <c r="C205" s="25"/>
      <c r="D205" s="25"/>
      <c r="E205" s="25"/>
      <c r="F205" s="25"/>
      <c r="G205" s="25"/>
    </row>
    <row r="206" spans="1:7" ht="14.25" x14ac:dyDescent="0.15">
      <c r="A206" s="25"/>
      <c r="B206" s="25"/>
      <c r="C206" s="25"/>
      <c r="D206" s="25"/>
      <c r="E206" s="25"/>
      <c r="F206" s="25"/>
      <c r="G206" s="25"/>
    </row>
    <row r="207" spans="1:7" ht="14.25" x14ac:dyDescent="0.15">
      <c r="A207" s="30"/>
      <c r="B207" s="25"/>
      <c r="C207" s="25"/>
      <c r="D207" s="25"/>
      <c r="E207" s="25"/>
      <c r="F207" s="25"/>
      <c r="G207" s="25"/>
    </row>
    <row r="208" spans="1:7" ht="14.25" x14ac:dyDescent="0.15">
      <c r="A208" s="25"/>
      <c r="B208" s="25"/>
      <c r="C208" s="25"/>
      <c r="D208" s="25"/>
      <c r="E208" s="25"/>
      <c r="F208" s="25"/>
      <c r="G208" s="25"/>
    </row>
    <row r="209" spans="1:7" ht="14.25" x14ac:dyDescent="0.15">
      <c r="A209" s="30"/>
      <c r="B209" s="25"/>
      <c r="C209" s="25"/>
      <c r="D209" s="25"/>
      <c r="E209" s="25"/>
      <c r="F209" s="25"/>
      <c r="G209" s="25"/>
    </row>
    <row r="210" spans="1:7" ht="14.25" x14ac:dyDescent="0.15">
      <c r="A210" s="25"/>
      <c r="B210" s="25"/>
      <c r="C210" s="25"/>
      <c r="D210" s="25"/>
      <c r="E210" s="25"/>
      <c r="F210" s="25"/>
      <c r="G210" s="25"/>
    </row>
    <row r="211" spans="1:7" ht="14.25" x14ac:dyDescent="0.15">
      <c r="A211" s="30"/>
      <c r="B211" s="25"/>
      <c r="C211" s="25"/>
      <c r="D211" s="25"/>
      <c r="E211" s="25"/>
      <c r="F211" s="25"/>
      <c r="G211" s="25"/>
    </row>
    <row r="212" spans="1:7" ht="14.25" x14ac:dyDescent="0.15">
      <c r="A212" s="25"/>
      <c r="B212" s="25"/>
      <c r="C212" s="25"/>
      <c r="D212" s="25"/>
      <c r="E212" s="25"/>
      <c r="F212" s="25"/>
      <c r="G212" s="25"/>
    </row>
    <row r="213" spans="1:7" ht="14.25" x14ac:dyDescent="0.15">
      <c r="A213" s="30"/>
      <c r="B213" s="25"/>
      <c r="C213" s="25"/>
      <c r="D213" s="25"/>
      <c r="E213" s="25"/>
      <c r="F213" s="25"/>
      <c r="G213" s="25"/>
    </row>
    <row r="214" spans="1:7" ht="14.25" x14ac:dyDescent="0.15">
      <c r="A214" s="25"/>
      <c r="B214" s="25"/>
      <c r="C214" s="25"/>
      <c r="D214" s="25"/>
      <c r="E214" s="25"/>
      <c r="F214" s="25"/>
      <c r="G214" s="25"/>
    </row>
    <row r="215" spans="1:7" ht="14.25" x14ac:dyDescent="0.15">
      <c r="A215" s="30"/>
      <c r="B215" s="25"/>
      <c r="C215" s="25"/>
      <c r="D215" s="25"/>
      <c r="E215" s="25"/>
      <c r="F215" s="25"/>
      <c r="G215" s="25"/>
    </row>
    <row r="216" spans="1:7" ht="14.25" x14ac:dyDescent="0.15">
      <c r="A216" s="25"/>
      <c r="B216" s="25"/>
      <c r="C216" s="25"/>
      <c r="D216" s="25"/>
      <c r="E216" s="25"/>
      <c r="F216" s="25"/>
      <c r="G216" s="25"/>
    </row>
    <row r="217" spans="1:7" ht="14.25" x14ac:dyDescent="0.15">
      <c r="A217" s="30"/>
      <c r="B217" s="25"/>
      <c r="C217" s="25"/>
      <c r="D217" s="25"/>
      <c r="E217" s="25"/>
      <c r="F217" s="25"/>
      <c r="G217" s="25"/>
    </row>
    <row r="218" spans="1:7" ht="14.25" x14ac:dyDescent="0.15">
      <c r="A218" s="25"/>
      <c r="B218" s="25"/>
      <c r="C218" s="25"/>
      <c r="D218" s="25"/>
      <c r="E218" s="25"/>
      <c r="F218" s="25"/>
      <c r="G218" s="25"/>
    </row>
    <row r="219" spans="1:7" ht="14.25" x14ac:dyDescent="0.15">
      <c r="A219" s="30"/>
      <c r="B219" s="25"/>
      <c r="C219" s="25"/>
      <c r="D219" s="25"/>
      <c r="E219" s="25"/>
      <c r="F219" s="25"/>
      <c r="G219" s="25"/>
    </row>
    <row r="220" spans="1:7" ht="14.25" x14ac:dyDescent="0.15">
      <c r="A220" s="25"/>
      <c r="B220" s="25"/>
      <c r="C220" s="25"/>
      <c r="D220" s="25"/>
      <c r="E220" s="25"/>
      <c r="F220" s="25"/>
      <c r="G220" s="25"/>
    </row>
    <row r="221" spans="1:7" ht="14.25" x14ac:dyDescent="0.15">
      <c r="A221" s="30"/>
      <c r="B221" s="25"/>
      <c r="C221" s="25"/>
      <c r="D221" s="25"/>
      <c r="E221" s="25"/>
      <c r="F221" s="25"/>
      <c r="G221" s="25"/>
    </row>
    <row r="222" spans="1:7" ht="14.25" x14ac:dyDescent="0.15">
      <c r="A222" s="25"/>
      <c r="B222" s="25"/>
      <c r="C222" s="25"/>
      <c r="D222" s="25"/>
      <c r="E222" s="25"/>
      <c r="F222" s="25"/>
      <c r="G222" s="25"/>
    </row>
    <row r="223" spans="1:7" ht="14.25" x14ac:dyDescent="0.15">
      <c r="A223" s="30"/>
      <c r="B223" s="25"/>
      <c r="C223" s="25"/>
      <c r="D223" s="25"/>
      <c r="E223" s="25"/>
      <c r="F223" s="25"/>
      <c r="G223" s="25"/>
    </row>
    <row r="224" spans="1:7" ht="14.25" x14ac:dyDescent="0.15">
      <c r="A224" s="25"/>
      <c r="B224" s="25"/>
      <c r="C224" s="25"/>
      <c r="D224" s="25"/>
      <c r="E224" s="25"/>
      <c r="F224" s="25"/>
      <c r="G224" s="25"/>
    </row>
    <row r="225" spans="1:7" ht="14.25" x14ac:dyDescent="0.15">
      <c r="A225" s="30"/>
      <c r="B225" s="25"/>
      <c r="C225" s="25"/>
      <c r="D225" s="25"/>
      <c r="E225" s="25"/>
      <c r="F225" s="25"/>
      <c r="G225" s="25"/>
    </row>
    <row r="226" spans="1:7" ht="14.25" x14ac:dyDescent="0.15">
      <c r="A226" s="25"/>
      <c r="B226" s="25"/>
      <c r="C226" s="25"/>
      <c r="D226" s="25"/>
      <c r="E226" s="25"/>
      <c r="F226" s="25"/>
      <c r="G226" s="25"/>
    </row>
    <row r="227" spans="1:7" ht="14.25" x14ac:dyDescent="0.15">
      <c r="A227" s="30"/>
      <c r="B227" s="25"/>
      <c r="C227" s="25"/>
      <c r="D227" s="25"/>
      <c r="E227" s="25"/>
      <c r="F227" s="25"/>
      <c r="G227" s="25"/>
    </row>
    <row r="228" spans="1:7" ht="14.25" x14ac:dyDescent="0.15">
      <c r="A228" s="25"/>
      <c r="B228" s="25"/>
      <c r="C228" s="25"/>
      <c r="D228" s="25"/>
      <c r="E228" s="25"/>
      <c r="F228" s="25"/>
      <c r="G228" s="25"/>
    </row>
    <row r="229" spans="1:7" ht="14.25" x14ac:dyDescent="0.15">
      <c r="A229" s="30"/>
      <c r="B229" s="25"/>
      <c r="C229" s="25"/>
      <c r="D229" s="25"/>
      <c r="E229" s="25"/>
      <c r="F229" s="25"/>
      <c r="G229" s="25"/>
    </row>
    <row r="230" spans="1:7" ht="14.25" x14ac:dyDescent="0.15">
      <c r="A230" s="25"/>
      <c r="B230" s="25"/>
      <c r="C230" s="25"/>
      <c r="D230" s="25"/>
      <c r="E230" s="25"/>
      <c r="F230" s="25"/>
      <c r="G230" s="25"/>
    </row>
    <row r="231" spans="1:7" ht="14.25" x14ac:dyDescent="0.15">
      <c r="A231" s="30"/>
      <c r="B231" s="25"/>
      <c r="C231" s="25"/>
      <c r="D231" s="25"/>
      <c r="E231" s="25"/>
      <c r="F231" s="25"/>
      <c r="G231" s="25"/>
    </row>
    <row r="232" spans="1:7" ht="14.25" x14ac:dyDescent="0.15">
      <c r="A232" s="25"/>
      <c r="B232" s="25"/>
      <c r="C232" s="25"/>
      <c r="D232" s="25"/>
      <c r="E232" s="25"/>
      <c r="F232" s="25"/>
      <c r="G232" s="25"/>
    </row>
    <row r="233" spans="1:7" ht="14.25" x14ac:dyDescent="0.15">
      <c r="A233" s="30"/>
      <c r="B233" s="25"/>
      <c r="C233" s="25"/>
      <c r="D233" s="25"/>
      <c r="E233" s="25"/>
      <c r="F233" s="25"/>
      <c r="G233" s="25"/>
    </row>
    <row r="234" spans="1:7" ht="14.25" x14ac:dyDescent="0.15">
      <c r="A234" s="25"/>
      <c r="B234" s="25"/>
      <c r="C234" s="25"/>
      <c r="D234" s="25"/>
      <c r="E234" s="25"/>
      <c r="F234" s="25"/>
      <c r="G234" s="25"/>
    </row>
    <row r="235" spans="1:7" ht="14.25" x14ac:dyDescent="0.15">
      <c r="A235" s="30"/>
      <c r="B235" s="25"/>
      <c r="C235" s="25"/>
      <c r="D235" s="25"/>
      <c r="E235" s="25"/>
      <c r="F235" s="25"/>
      <c r="G235" s="25"/>
    </row>
    <row r="236" spans="1:7" ht="14.25" x14ac:dyDescent="0.15">
      <c r="A236" s="25"/>
      <c r="B236" s="25"/>
      <c r="C236" s="25"/>
      <c r="D236" s="25"/>
      <c r="E236" s="25"/>
      <c r="F236" s="25"/>
      <c r="G236" s="25"/>
    </row>
    <row r="237" spans="1:7" ht="14.25" x14ac:dyDescent="0.15">
      <c r="A237" s="30"/>
      <c r="B237" s="25"/>
      <c r="C237" s="25"/>
      <c r="D237" s="25"/>
      <c r="E237" s="25"/>
      <c r="F237" s="25"/>
      <c r="G237" s="25"/>
    </row>
    <row r="238" spans="1:7" ht="14.25" x14ac:dyDescent="0.15">
      <c r="A238" s="25"/>
      <c r="B238" s="25"/>
      <c r="C238" s="25"/>
      <c r="D238" s="25"/>
      <c r="E238" s="25"/>
      <c r="F238" s="25"/>
      <c r="G238" s="25"/>
    </row>
    <row r="239" spans="1:7" ht="14.25" x14ac:dyDescent="0.15">
      <c r="A239" s="30"/>
      <c r="B239" s="25"/>
      <c r="C239" s="25"/>
      <c r="D239" s="25"/>
      <c r="E239" s="25"/>
      <c r="F239" s="25"/>
      <c r="G239" s="25"/>
    </row>
    <row r="240" spans="1:7" ht="14.25" x14ac:dyDescent="0.15">
      <c r="A240" s="25"/>
      <c r="B240" s="25"/>
      <c r="C240" s="25"/>
      <c r="D240" s="25"/>
      <c r="E240" s="25"/>
      <c r="F240" s="25"/>
      <c r="G240" s="25"/>
    </row>
    <row r="241" spans="1:7" ht="14.25" x14ac:dyDescent="0.15">
      <c r="A241" s="30"/>
      <c r="B241" s="25"/>
      <c r="C241" s="25"/>
      <c r="D241" s="25"/>
      <c r="E241" s="25"/>
      <c r="F241" s="25"/>
      <c r="G241" s="25"/>
    </row>
    <row r="242" spans="1:7" ht="14.25" x14ac:dyDescent="0.15">
      <c r="A242" s="25"/>
      <c r="B242" s="25"/>
      <c r="C242" s="25"/>
      <c r="D242" s="25"/>
      <c r="E242" s="25"/>
      <c r="F242" s="25"/>
      <c r="G242" s="25"/>
    </row>
    <row r="243" spans="1:7" ht="14.25" x14ac:dyDescent="0.15">
      <c r="A243" s="30"/>
      <c r="B243" s="25"/>
      <c r="C243" s="25"/>
      <c r="D243" s="25"/>
      <c r="E243" s="25"/>
      <c r="F243" s="25"/>
      <c r="G243" s="25"/>
    </row>
    <row r="244" spans="1:7" ht="14.25" x14ac:dyDescent="0.15">
      <c r="A244" s="25"/>
      <c r="B244" s="25"/>
      <c r="C244" s="25"/>
      <c r="D244" s="25"/>
      <c r="E244" s="25"/>
      <c r="F244" s="25"/>
      <c r="G244" s="25"/>
    </row>
    <row r="245" spans="1:7" ht="14.25" x14ac:dyDescent="0.15">
      <c r="A245" s="30"/>
      <c r="B245" s="25"/>
      <c r="C245" s="25"/>
      <c r="D245" s="25"/>
      <c r="E245" s="25"/>
      <c r="F245" s="25"/>
      <c r="G245" s="25"/>
    </row>
    <row r="246" spans="1:7" ht="14.25" x14ac:dyDescent="0.15">
      <c r="A246" s="25"/>
      <c r="B246" s="25"/>
      <c r="C246" s="25"/>
      <c r="D246" s="25"/>
      <c r="E246" s="25"/>
      <c r="F246" s="25"/>
      <c r="G246" s="25"/>
    </row>
    <row r="247" spans="1:7" ht="14.25" x14ac:dyDescent="0.15">
      <c r="A247" s="30"/>
      <c r="B247" s="25"/>
      <c r="C247" s="25"/>
      <c r="D247" s="25"/>
      <c r="E247" s="25"/>
      <c r="F247" s="25"/>
      <c r="G247" s="25"/>
    </row>
    <row r="248" spans="1:7" ht="14.25" x14ac:dyDescent="0.15">
      <c r="A248" s="25"/>
      <c r="B248" s="25"/>
      <c r="C248" s="25"/>
      <c r="D248" s="25"/>
      <c r="E248" s="25"/>
      <c r="F248" s="25"/>
      <c r="G248" s="25"/>
    </row>
    <row r="249" spans="1:7" ht="14.25" x14ac:dyDescent="0.15">
      <c r="A249" s="30"/>
      <c r="B249" s="25"/>
      <c r="C249" s="25"/>
      <c r="D249" s="25"/>
      <c r="E249" s="25"/>
      <c r="F249" s="25"/>
      <c r="G249" s="25"/>
    </row>
    <row r="250" spans="1:7" ht="14.25" x14ac:dyDescent="0.15">
      <c r="A250" s="25"/>
      <c r="B250" s="25"/>
      <c r="G250" s="25"/>
    </row>
    <row r="251" spans="1:7" ht="14.25" x14ac:dyDescent="0.15">
      <c r="A251" s="30"/>
      <c r="B251" s="25"/>
      <c r="G251" s="25"/>
    </row>
    <row r="252" spans="1:7" ht="14.25" x14ac:dyDescent="0.15">
      <c r="A252" s="25"/>
      <c r="B252" s="25"/>
      <c r="G252" s="25"/>
    </row>
    <row r="253" spans="1:7" ht="14.25" x14ac:dyDescent="0.15">
      <c r="A253" s="30"/>
      <c r="B253" s="25"/>
      <c r="G253" s="25"/>
    </row>
    <row r="254" spans="1:7" ht="14.25" x14ac:dyDescent="0.15">
      <c r="A254" s="25"/>
      <c r="B254" s="25"/>
      <c r="G254" s="25"/>
    </row>
    <row r="255" spans="1:7" ht="14.25" x14ac:dyDescent="0.15">
      <c r="A255" s="30"/>
      <c r="B255" s="25"/>
      <c r="G255" s="25"/>
    </row>
    <row r="256" spans="1:7" ht="14.25" x14ac:dyDescent="0.15">
      <c r="A256" s="25"/>
      <c r="B256" s="25"/>
      <c r="G256" s="25"/>
    </row>
    <row r="257" spans="1:7" ht="14.25" x14ac:dyDescent="0.15">
      <c r="A257" s="30"/>
      <c r="B257" s="25"/>
      <c r="G257" s="25"/>
    </row>
    <row r="258" spans="1:7" ht="14.25" x14ac:dyDescent="0.15">
      <c r="A258" s="25"/>
      <c r="B258" s="25"/>
      <c r="G258" s="25"/>
    </row>
    <row r="259" spans="1:7" ht="14.25" x14ac:dyDescent="0.15">
      <c r="A259" s="30"/>
      <c r="B259" s="25"/>
      <c r="G259" s="25"/>
    </row>
    <row r="260" spans="1:7" ht="14.25" x14ac:dyDescent="0.15">
      <c r="A260" s="25"/>
      <c r="B260" s="25"/>
      <c r="G260" s="25"/>
    </row>
    <row r="261" spans="1:7" ht="14.25" x14ac:dyDescent="0.15">
      <c r="A261" s="30"/>
      <c r="B261" s="25"/>
      <c r="G261" s="25"/>
    </row>
    <row r="262" spans="1:7" ht="14.25" x14ac:dyDescent="0.15">
      <c r="A262" s="25"/>
      <c r="B262" s="25"/>
      <c r="G262" s="25"/>
    </row>
    <row r="263" spans="1:7" ht="14.25" x14ac:dyDescent="0.15">
      <c r="A263" s="30"/>
      <c r="B263" s="25"/>
      <c r="G263" s="25"/>
    </row>
    <row r="264" spans="1:7" ht="14.25" x14ac:dyDescent="0.15">
      <c r="A264" s="25"/>
      <c r="B264" s="25"/>
      <c r="G264" s="25"/>
    </row>
    <row r="265" spans="1:7" ht="14.25" x14ac:dyDescent="0.15">
      <c r="A265" s="30"/>
      <c r="B265" s="25"/>
      <c r="G265" s="25"/>
    </row>
    <row r="266" spans="1:7" ht="14.25" x14ac:dyDescent="0.15">
      <c r="A266" s="25"/>
      <c r="B266" s="25"/>
      <c r="G266" s="25"/>
    </row>
    <row r="267" spans="1:7" ht="14.25" x14ac:dyDescent="0.15">
      <c r="A267" s="30"/>
      <c r="B267" s="25"/>
      <c r="G267" s="25"/>
    </row>
    <row r="268" spans="1:7" ht="14.25" x14ac:dyDescent="0.15">
      <c r="A268" s="25"/>
      <c r="B268" s="25"/>
      <c r="G268" s="25"/>
    </row>
    <row r="269" spans="1:7" ht="14.25" x14ac:dyDescent="0.15">
      <c r="A269" s="30"/>
      <c r="B269" s="25"/>
      <c r="G269" s="25"/>
    </row>
    <row r="270" spans="1:7" ht="14.25" x14ac:dyDescent="0.15">
      <c r="A270" s="25"/>
      <c r="B270" s="25"/>
      <c r="G270" s="25"/>
    </row>
    <row r="271" spans="1:7" ht="14.25" x14ac:dyDescent="0.15">
      <c r="A271" s="30"/>
      <c r="B271" s="25"/>
      <c r="G271" s="25"/>
    </row>
    <row r="272" spans="1:7" ht="14.25" x14ac:dyDescent="0.15">
      <c r="A272" s="25"/>
      <c r="B272" s="25"/>
      <c r="G272" s="25"/>
    </row>
    <row r="273" spans="1:7" ht="14.25" x14ac:dyDescent="0.15">
      <c r="A273" s="30"/>
      <c r="B273" s="25"/>
      <c r="G273" s="25"/>
    </row>
    <row r="274" spans="1:7" ht="14.25" x14ac:dyDescent="0.15">
      <c r="A274" s="25"/>
      <c r="B274" s="25"/>
      <c r="G274" s="25"/>
    </row>
    <row r="275" spans="1:7" ht="14.25" x14ac:dyDescent="0.15">
      <c r="A275" s="30"/>
      <c r="B275" s="25"/>
      <c r="G275" s="25"/>
    </row>
    <row r="276" spans="1:7" ht="14.25" x14ac:dyDescent="0.15">
      <c r="A276" s="25"/>
      <c r="B276" s="25"/>
      <c r="G276" s="25"/>
    </row>
    <row r="277" spans="1:7" ht="14.25" x14ac:dyDescent="0.15">
      <c r="A277" s="30"/>
      <c r="B277" s="25"/>
      <c r="G277" s="25"/>
    </row>
    <row r="278" spans="1:7" ht="14.25" x14ac:dyDescent="0.15">
      <c r="A278" s="25"/>
      <c r="B278" s="25"/>
      <c r="G278" s="25"/>
    </row>
    <row r="279" spans="1:7" ht="14.25" x14ac:dyDescent="0.15">
      <c r="A279" s="30"/>
      <c r="B279" s="25"/>
      <c r="G279" s="25"/>
    </row>
    <row r="280" spans="1:7" ht="14.25" x14ac:dyDescent="0.15">
      <c r="A280" s="25"/>
      <c r="B280" s="25"/>
      <c r="G280" s="25"/>
    </row>
    <row r="281" spans="1:7" ht="14.25" x14ac:dyDescent="0.15">
      <c r="A281" s="30"/>
      <c r="B281" s="25"/>
      <c r="G281" s="25"/>
    </row>
    <row r="282" spans="1:7" ht="14.25" x14ac:dyDescent="0.15">
      <c r="A282" s="25"/>
      <c r="B282" s="25"/>
      <c r="G282" s="25"/>
    </row>
    <row r="283" spans="1:7" ht="14.25" x14ac:dyDescent="0.15">
      <c r="A283" s="30"/>
      <c r="B283" s="25"/>
      <c r="G283" s="25"/>
    </row>
    <row r="284" spans="1:7" ht="14.25" x14ac:dyDescent="0.15">
      <c r="A284" s="25"/>
      <c r="B284" s="25"/>
      <c r="G284" s="25"/>
    </row>
    <row r="285" spans="1:7" ht="14.25" x14ac:dyDescent="0.15">
      <c r="A285" s="30"/>
      <c r="B285" s="25"/>
      <c r="G285" s="25"/>
    </row>
    <row r="286" spans="1:7" ht="14.25" x14ac:dyDescent="0.15">
      <c r="A286" s="25"/>
      <c r="B286" s="25"/>
      <c r="G286" s="25"/>
    </row>
    <row r="287" spans="1:7" ht="14.25" x14ac:dyDescent="0.15">
      <c r="A287" s="30"/>
      <c r="B287" s="25"/>
      <c r="G287" s="25"/>
    </row>
    <row r="288" spans="1:7" ht="14.25" x14ac:dyDescent="0.15">
      <c r="A288" s="25"/>
      <c r="B288" s="25"/>
      <c r="G288" s="25"/>
    </row>
    <row r="289" spans="1:7" ht="14.25" x14ac:dyDescent="0.15">
      <c r="A289" s="30"/>
      <c r="B289" s="25"/>
      <c r="G289" s="25"/>
    </row>
    <row r="290" spans="1:7" ht="14.25" x14ac:dyDescent="0.15">
      <c r="A290" s="25"/>
      <c r="B290" s="25"/>
      <c r="G290" s="25"/>
    </row>
    <row r="291" spans="1:7" ht="14.25" x14ac:dyDescent="0.15">
      <c r="A291" s="30"/>
      <c r="B291" s="25"/>
      <c r="G291" s="25"/>
    </row>
    <row r="292" spans="1:7" ht="14.25" x14ac:dyDescent="0.15">
      <c r="A292" s="25"/>
      <c r="B292" s="25"/>
      <c r="G292" s="25"/>
    </row>
    <row r="293" spans="1:7" ht="14.25" x14ac:dyDescent="0.15">
      <c r="A293" s="30"/>
      <c r="B293" s="25"/>
      <c r="G293" s="25"/>
    </row>
    <row r="294" spans="1:7" ht="14.25" x14ac:dyDescent="0.15">
      <c r="A294" s="25"/>
      <c r="B294" s="25"/>
      <c r="G294" s="25"/>
    </row>
    <row r="295" spans="1:7" ht="14.25" x14ac:dyDescent="0.15">
      <c r="A295" s="30"/>
      <c r="B295" s="25"/>
      <c r="G295" s="25"/>
    </row>
    <row r="296" spans="1:7" ht="14.25" x14ac:dyDescent="0.15">
      <c r="A296" s="25"/>
      <c r="B296" s="25"/>
      <c r="G296" s="25"/>
    </row>
    <row r="297" spans="1:7" ht="14.25" x14ac:dyDescent="0.15">
      <c r="A297" s="30"/>
      <c r="B297" s="25"/>
      <c r="G297" s="25"/>
    </row>
    <row r="298" spans="1:7" ht="14.25" x14ac:dyDescent="0.15">
      <c r="A298" s="25"/>
      <c r="B298" s="25"/>
      <c r="G298" s="25"/>
    </row>
    <row r="299" spans="1:7" ht="14.25" x14ac:dyDescent="0.15">
      <c r="A299" s="30"/>
      <c r="B299" s="25"/>
      <c r="G299" s="25"/>
    </row>
    <row r="300" spans="1:7" ht="14.25" x14ac:dyDescent="0.15">
      <c r="A300" s="25"/>
      <c r="B300" s="25"/>
      <c r="G300" s="25"/>
    </row>
    <row r="301" spans="1:7" ht="14.25" x14ac:dyDescent="0.15">
      <c r="A301" s="30"/>
      <c r="B301" s="25"/>
      <c r="G301" s="25"/>
    </row>
    <row r="302" spans="1:7" ht="14.25" x14ac:dyDescent="0.15">
      <c r="A302" s="25"/>
      <c r="B302" s="25"/>
      <c r="G302" s="25"/>
    </row>
    <row r="303" spans="1:7" ht="14.25" x14ac:dyDescent="0.15">
      <c r="A303" s="30"/>
      <c r="B303" s="25"/>
      <c r="G303" s="25"/>
    </row>
    <row r="304" spans="1:7" ht="14.25" x14ac:dyDescent="0.15">
      <c r="A304" s="25"/>
      <c r="B304" s="25"/>
      <c r="G304" s="25"/>
    </row>
    <row r="305" spans="1:7" ht="14.25" x14ac:dyDescent="0.15">
      <c r="A305" s="30"/>
      <c r="B305" s="25"/>
      <c r="G305" s="25"/>
    </row>
    <row r="306" spans="1:7" ht="14.25" x14ac:dyDescent="0.15">
      <c r="A306" s="25"/>
      <c r="B306" s="25"/>
      <c r="G306" s="25"/>
    </row>
    <row r="307" spans="1:7" ht="14.25" x14ac:dyDescent="0.15">
      <c r="A307" s="30"/>
      <c r="B307" s="25"/>
      <c r="G307" s="25"/>
    </row>
    <row r="308" spans="1:7" ht="14.25" x14ac:dyDescent="0.15">
      <c r="A308" s="25"/>
      <c r="B308" s="25"/>
      <c r="G308" s="25"/>
    </row>
    <row r="309" spans="1:7" ht="14.25" x14ac:dyDescent="0.15">
      <c r="A309" s="30"/>
      <c r="B309" s="25"/>
      <c r="G309" s="25"/>
    </row>
    <row r="310" spans="1:7" ht="14.25" x14ac:dyDescent="0.15">
      <c r="A310" s="25"/>
      <c r="B310" s="25"/>
      <c r="G310" s="25"/>
    </row>
    <row r="311" spans="1:7" ht="14.25" x14ac:dyDescent="0.15">
      <c r="A311" s="30"/>
      <c r="B311" s="25"/>
      <c r="G311" s="25"/>
    </row>
    <row r="312" spans="1:7" ht="14.25" x14ac:dyDescent="0.15">
      <c r="A312" s="25"/>
      <c r="B312" s="25"/>
      <c r="G312" s="25"/>
    </row>
    <row r="313" spans="1:7" ht="14.25" x14ac:dyDescent="0.15">
      <c r="A313" s="30"/>
      <c r="B313" s="25"/>
      <c r="G313" s="25"/>
    </row>
    <row r="314" spans="1:7" ht="14.25" x14ac:dyDescent="0.15">
      <c r="A314" s="25"/>
      <c r="B314" s="25"/>
      <c r="G314" s="25"/>
    </row>
    <row r="315" spans="1:7" ht="14.25" x14ac:dyDescent="0.15">
      <c r="A315" s="30"/>
      <c r="B315" s="25"/>
      <c r="G315" s="25"/>
    </row>
    <row r="316" spans="1:7" ht="14.25" x14ac:dyDescent="0.15">
      <c r="A316" s="25"/>
      <c r="B316" s="25"/>
      <c r="G316" s="25"/>
    </row>
    <row r="317" spans="1:7" ht="14.25" x14ac:dyDescent="0.15">
      <c r="A317" s="30"/>
      <c r="B317" s="25"/>
      <c r="G317" s="25"/>
    </row>
    <row r="318" spans="1:7" ht="14.25" x14ac:dyDescent="0.15">
      <c r="A318" s="25"/>
      <c r="B318" s="25"/>
      <c r="G318" s="25"/>
    </row>
    <row r="319" spans="1:7" ht="14.25" x14ac:dyDescent="0.15">
      <c r="A319" s="30"/>
      <c r="B319" s="25"/>
      <c r="G319" s="25"/>
    </row>
    <row r="320" spans="1:7" ht="14.25" x14ac:dyDescent="0.15">
      <c r="A320" s="25"/>
      <c r="B320" s="25"/>
      <c r="G320" s="25"/>
    </row>
    <row r="321" spans="1:7" ht="14.25" x14ac:dyDescent="0.15">
      <c r="A321" s="30"/>
      <c r="B321" s="25"/>
      <c r="G321" s="25"/>
    </row>
    <row r="322" spans="1:7" ht="14.25" x14ac:dyDescent="0.15">
      <c r="A322" s="25"/>
      <c r="B322" s="25"/>
      <c r="G322" s="25"/>
    </row>
    <row r="323" spans="1:7" ht="14.25" x14ac:dyDescent="0.15">
      <c r="A323" s="30"/>
      <c r="B323" s="25"/>
      <c r="G323" s="25"/>
    </row>
    <row r="324" spans="1:7" ht="14.25" x14ac:dyDescent="0.15">
      <c r="A324" s="25"/>
      <c r="B324" s="25"/>
      <c r="G324" s="25"/>
    </row>
    <row r="325" spans="1:7" ht="14.25" x14ac:dyDescent="0.15">
      <c r="A325" s="30"/>
      <c r="B325" s="25"/>
      <c r="G325" s="25"/>
    </row>
    <row r="326" spans="1:7" ht="14.25" x14ac:dyDescent="0.15">
      <c r="A326" s="25"/>
      <c r="B326" s="25"/>
      <c r="G326" s="25"/>
    </row>
    <row r="327" spans="1:7" ht="14.25" x14ac:dyDescent="0.15">
      <c r="A327" s="30"/>
      <c r="B327" s="25"/>
      <c r="G327" s="25"/>
    </row>
    <row r="328" spans="1:7" ht="14.25" x14ac:dyDescent="0.15">
      <c r="A328" s="25"/>
      <c r="B328" s="25"/>
      <c r="G328" s="25"/>
    </row>
    <row r="329" spans="1:7" ht="14.25" x14ac:dyDescent="0.15">
      <c r="A329" s="30"/>
      <c r="B329" s="25"/>
      <c r="G329" s="25"/>
    </row>
    <row r="330" spans="1:7" ht="14.25" x14ac:dyDescent="0.15">
      <c r="A330" s="25"/>
      <c r="B330" s="25"/>
      <c r="G330" s="25"/>
    </row>
    <row r="331" spans="1:7" ht="14.25" x14ac:dyDescent="0.15">
      <c r="A331" s="30"/>
      <c r="B331" s="25"/>
      <c r="G331" s="25"/>
    </row>
    <row r="332" spans="1:7" ht="14.25" x14ac:dyDescent="0.15">
      <c r="A332" s="25"/>
      <c r="B332" s="25"/>
      <c r="G332" s="25"/>
    </row>
    <row r="333" spans="1:7" ht="14.25" x14ac:dyDescent="0.15">
      <c r="A333" s="30"/>
      <c r="B333" s="25"/>
      <c r="G333" s="25"/>
    </row>
    <row r="334" spans="1:7" ht="14.25" x14ac:dyDescent="0.15">
      <c r="A334" s="25"/>
      <c r="B334" s="25"/>
      <c r="G334" s="25"/>
    </row>
    <row r="335" spans="1:7" ht="14.25" x14ac:dyDescent="0.15">
      <c r="A335" s="30"/>
      <c r="B335" s="25"/>
      <c r="G335" s="25"/>
    </row>
    <row r="336" spans="1:7" ht="14.25" x14ac:dyDescent="0.15">
      <c r="A336" s="25"/>
      <c r="B336" s="25"/>
      <c r="G336" s="25"/>
    </row>
    <row r="337" spans="1:7" ht="14.25" x14ac:dyDescent="0.15">
      <c r="A337" s="30"/>
      <c r="B337" s="25"/>
      <c r="G337" s="25"/>
    </row>
    <row r="338" spans="1:7" ht="14.25" x14ac:dyDescent="0.15">
      <c r="A338" s="25"/>
      <c r="B338" s="25"/>
      <c r="G338" s="25"/>
    </row>
    <row r="339" spans="1:7" ht="14.25" x14ac:dyDescent="0.15">
      <c r="A339" s="30"/>
      <c r="B339" s="25"/>
      <c r="G339" s="25"/>
    </row>
    <row r="340" spans="1:7" ht="14.25" x14ac:dyDescent="0.15">
      <c r="A340" s="25"/>
      <c r="B340" s="25"/>
      <c r="G340" s="25"/>
    </row>
    <row r="341" spans="1:7" ht="14.25" x14ac:dyDescent="0.15">
      <c r="A341" s="30"/>
      <c r="B341" s="25"/>
      <c r="G341" s="25"/>
    </row>
    <row r="342" spans="1:7" ht="14.25" x14ac:dyDescent="0.15">
      <c r="A342" s="25"/>
      <c r="B342" s="25"/>
      <c r="G342" s="25"/>
    </row>
    <row r="343" spans="1:7" ht="14.25" x14ac:dyDescent="0.15">
      <c r="A343" s="30"/>
      <c r="B343" s="25"/>
      <c r="G343" s="25"/>
    </row>
    <row r="344" spans="1:7" ht="14.25" x14ac:dyDescent="0.15">
      <c r="A344" s="25"/>
      <c r="B344" s="25"/>
      <c r="G344" s="25"/>
    </row>
    <row r="345" spans="1:7" ht="14.25" x14ac:dyDescent="0.15">
      <c r="A345" s="30"/>
      <c r="B345" s="25"/>
      <c r="G345" s="25"/>
    </row>
    <row r="346" spans="1:7" ht="14.25" x14ac:dyDescent="0.15">
      <c r="A346" s="25"/>
      <c r="B346" s="25"/>
      <c r="G346" s="25"/>
    </row>
    <row r="347" spans="1:7" ht="14.25" x14ac:dyDescent="0.15">
      <c r="A347" s="30"/>
      <c r="B347" s="25"/>
      <c r="G347" s="25"/>
    </row>
    <row r="348" spans="1:7" ht="14.25" x14ac:dyDescent="0.15">
      <c r="A348" s="25"/>
      <c r="B348" s="25"/>
      <c r="G348" s="25"/>
    </row>
    <row r="349" spans="1:7" ht="14.25" x14ac:dyDescent="0.15">
      <c r="A349" s="30"/>
      <c r="B349" s="25"/>
      <c r="G349" s="25"/>
    </row>
    <row r="350" spans="1:7" ht="14.25" x14ac:dyDescent="0.15">
      <c r="A350" s="25"/>
      <c r="B350" s="25"/>
      <c r="G350" s="25"/>
    </row>
    <row r="351" spans="1:7" ht="14.25" x14ac:dyDescent="0.15">
      <c r="A351" s="30"/>
      <c r="B351" s="25"/>
      <c r="G351" s="25"/>
    </row>
    <row r="352" spans="1:7" ht="14.25" x14ac:dyDescent="0.15">
      <c r="A352" s="25"/>
      <c r="B352" s="25"/>
      <c r="G352" s="25"/>
    </row>
    <row r="353" spans="1:7" ht="14.25" x14ac:dyDescent="0.15">
      <c r="A353" s="30"/>
      <c r="B353" s="25"/>
      <c r="G353" s="25"/>
    </row>
    <row r="354" spans="1:7" ht="14.25" x14ac:dyDescent="0.15">
      <c r="A354" s="25"/>
      <c r="B354" s="25"/>
      <c r="G354" s="25"/>
    </row>
    <row r="355" spans="1:7" ht="14.25" x14ac:dyDescent="0.15">
      <c r="A355" s="30"/>
      <c r="B355" s="25"/>
      <c r="G355" s="25"/>
    </row>
    <row r="356" spans="1:7" ht="14.25" x14ac:dyDescent="0.15">
      <c r="A356" s="25"/>
      <c r="B356" s="25"/>
      <c r="G356" s="25"/>
    </row>
    <row r="357" spans="1:7" ht="14.25" x14ac:dyDescent="0.15">
      <c r="A357" s="30"/>
      <c r="B357" s="25"/>
      <c r="G357" s="25"/>
    </row>
    <row r="358" spans="1:7" ht="14.25" x14ac:dyDescent="0.15">
      <c r="A358" s="25"/>
      <c r="B358" s="25"/>
      <c r="G358" s="25"/>
    </row>
    <row r="359" spans="1:7" ht="14.25" x14ac:dyDescent="0.15">
      <c r="A359" s="30"/>
      <c r="B359" s="25"/>
      <c r="G359" s="25"/>
    </row>
    <row r="360" spans="1:7" ht="14.25" x14ac:dyDescent="0.15">
      <c r="A360" s="25"/>
      <c r="B360" s="25"/>
      <c r="G360" s="25"/>
    </row>
    <row r="361" spans="1:7" ht="14.25" x14ac:dyDescent="0.15">
      <c r="A361" s="30"/>
      <c r="B361" s="25"/>
      <c r="G361" s="25"/>
    </row>
    <row r="362" spans="1:7" ht="14.25" x14ac:dyDescent="0.15">
      <c r="A362" s="25"/>
      <c r="B362" s="25"/>
      <c r="G362" s="25"/>
    </row>
    <row r="363" spans="1:7" ht="14.25" x14ac:dyDescent="0.15">
      <c r="A363" s="30"/>
      <c r="B363" s="25"/>
      <c r="G363" s="25"/>
    </row>
    <row r="364" spans="1:7" ht="14.25" x14ac:dyDescent="0.15">
      <c r="A364" s="25"/>
      <c r="B364" s="25"/>
      <c r="G364" s="25"/>
    </row>
    <row r="365" spans="1:7" ht="14.25" x14ac:dyDescent="0.15">
      <c r="A365" s="30"/>
      <c r="B365" s="25"/>
      <c r="G365" s="25"/>
    </row>
    <row r="366" spans="1:7" ht="14.25" x14ac:dyDescent="0.15">
      <c r="A366" s="25"/>
      <c r="B366" s="25"/>
      <c r="G366" s="25"/>
    </row>
    <row r="367" spans="1:7" ht="14.25" x14ac:dyDescent="0.15">
      <c r="A367" s="30"/>
      <c r="B367" s="25"/>
      <c r="G367" s="25"/>
    </row>
    <row r="368" spans="1:7" ht="14.25" x14ac:dyDescent="0.15">
      <c r="A368" s="25"/>
      <c r="B368" s="25"/>
      <c r="G368" s="25"/>
    </row>
    <row r="369" spans="1:7" ht="14.25" x14ac:dyDescent="0.15">
      <c r="A369" s="30"/>
      <c r="B369" s="25"/>
      <c r="G369" s="25"/>
    </row>
    <row r="370" spans="1:7" ht="14.25" x14ac:dyDescent="0.15">
      <c r="A370" s="25"/>
      <c r="B370" s="25"/>
      <c r="G370" s="25"/>
    </row>
    <row r="371" spans="1:7" ht="14.25" x14ac:dyDescent="0.15">
      <c r="A371" s="30"/>
      <c r="B371" s="25"/>
      <c r="G371" s="25"/>
    </row>
    <row r="372" spans="1:7" ht="14.25" x14ac:dyDescent="0.15">
      <c r="A372" s="25"/>
      <c r="B372" s="25"/>
      <c r="G372" s="25"/>
    </row>
    <row r="373" spans="1:7" ht="14.25" x14ac:dyDescent="0.15">
      <c r="A373" s="30"/>
      <c r="B373" s="25"/>
      <c r="G373" s="25"/>
    </row>
    <row r="374" spans="1:7" ht="14.25" x14ac:dyDescent="0.15">
      <c r="A374" s="25"/>
      <c r="B374" s="25"/>
      <c r="G374" s="25"/>
    </row>
    <row r="375" spans="1:7" ht="14.25" x14ac:dyDescent="0.15">
      <c r="A375" s="30"/>
      <c r="B375" s="25"/>
      <c r="G375" s="25"/>
    </row>
    <row r="376" spans="1:7" ht="14.25" x14ac:dyDescent="0.15">
      <c r="A376" s="25"/>
      <c r="B376" s="25"/>
      <c r="G376" s="25"/>
    </row>
    <row r="377" spans="1:7" ht="14.25" x14ac:dyDescent="0.15">
      <c r="A377" s="30"/>
      <c r="B377" s="25"/>
      <c r="G377" s="25"/>
    </row>
    <row r="378" spans="1:7" ht="14.25" x14ac:dyDescent="0.15">
      <c r="A378" s="25"/>
      <c r="B378" s="25"/>
      <c r="G378" s="25"/>
    </row>
    <row r="379" spans="1:7" ht="14.25" x14ac:dyDescent="0.15">
      <c r="A379" s="30"/>
      <c r="B379" s="25"/>
      <c r="G379" s="25"/>
    </row>
    <row r="380" spans="1:7" ht="14.25" x14ac:dyDescent="0.15">
      <c r="A380" s="25"/>
      <c r="B380" s="25"/>
      <c r="G380" s="25"/>
    </row>
    <row r="381" spans="1:7" ht="14.25" x14ac:dyDescent="0.15">
      <c r="A381" s="30"/>
      <c r="B381" s="25"/>
      <c r="G381" s="25"/>
    </row>
    <row r="382" spans="1:7" ht="14.25" x14ac:dyDescent="0.15">
      <c r="A382" s="25"/>
      <c r="B382" s="25"/>
      <c r="G382" s="25"/>
    </row>
    <row r="383" spans="1:7" ht="14.25" x14ac:dyDescent="0.15">
      <c r="A383" s="30"/>
      <c r="B383" s="25"/>
      <c r="G383" s="25"/>
    </row>
    <row r="384" spans="1:7" ht="14.25" x14ac:dyDescent="0.15">
      <c r="A384" s="25"/>
      <c r="B384" s="25"/>
      <c r="G384" s="25"/>
    </row>
    <row r="385" spans="1:7" ht="14.25" x14ac:dyDescent="0.15">
      <c r="A385" s="30"/>
      <c r="B385" s="25"/>
      <c r="G385" s="25"/>
    </row>
    <row r="386" spans="1:7" ht="14.25" x14ac:dyDescent="0.15">
      <c r="A386" s="25"/>
      <c r="B386" s="25"/>
      <c r="G386" s="25"/>
    </row>
    <row r="387" spans="1:7" ht="14.25" x14ac:dyDescent="0.15">
      <c r="A387" s="30"/>
      <c r="B387" s="25"/>
      <c r="G387" s="25"/>
    </row>
    <row r="388" spans="1:7" ht="14.25" x14ac:dyDescent="0.15">
      <c r="A388" s="25"/>
      <c r="B388" s="25"/>
      <c r="G388" s="25"/>
    </row>
    <row r="389" spans="1:7" ht="14.25" x14ac:dyDescent="0.15">
      <c r="A389" s="30"/>
      <c r="B389" s="25"/>
      <c r="G389" s="25"/>
    </row>
    <row r="390" spans="1:7" ht="14.25" x14ac:dyDescent="0.15">
      <c r="A390" s="25"/>
      <c r="B390" s="25"/>
      <c r="G390" s="25"/>
    </row>
    <row r="391" spans="1:7" ht="14.25" x14ac:dyDescent="0.15">
      <c r="A391" s="30"/>
      <c r="B391" s="25"/>
      <c r="G391" s="25"/>
    </row>
    <row r="392" spans="1:7" ht="14.25" x14ac:dyDescent="0.15">
      <c r="A392" s="25"/>
      <c r="B392" s="25"/>
      <c r="G392" s="25"/>
    </row>
    <row r="393" spans="1:7" ht="14.25" x14ac:dyDescent="0.15">
      <c r="A393" s="30"/>
      <c r="B393" s="25"/>
      <c r="G393" s="25"/>
    </row>
    <row r="394" spans="1:7" ht="14.25" x14ac:dyDescent="0.15">
      <c r="A394" s="25"/>
      <c r="B394" s="25"/>
      <c r="G394" s="25"/>
    </row>
    <row r="395" spans="1:7" ht="14.25" x14ac:dyDescent="0.15">
      <c r="A395" s="30"/>
      <c r="B395" s="25"/>
      <c r="G395" s="25"/>
    </row>
    <row r="396" spans="1:7" ht="14.25" x14ac:dyDescent="0.15">
      <c r="A396" s="25"/>
      <c r="B396" s="25"/>
      <c r="G396" s="25"/>
    </row>
    <row r="397" spans="1:7" ht="14.25" x14ac:dyDescent="0.15">
      <c r="A397" s="30"/>
      <c r="B397" s="25"/>
      <c r="G397" s="25"/>
    </row>
    <row r="398" spans="1:7" ht="14.25" x14ac:dyDescent="0.15">
      <c r="A398" s="25"/>
      <c r="B398" s="25"/>
      <c r="G398" s="25"/>
    </row>
    <row r="399" spans="1:7" ht="14.25" x14ac:dyDescent="0.15">
      <c r="A399" s="30"/>
      <c r="B399" s="25"/>
      <c r="G399" s="25"/>
    </row>
    <row r="400" spans="1:7" ht="14.25" x14ac:dyDescent="0.15">
      <c r="A400" s="25"/>
      <c r="B400" s="25"/>
      <c r="G400" s="25"/>
    </row>
    <row r="401" spans="1:7" ht="14.25" x14ac:dyDescent="0.15">
      <c r="A401" s="30"/>
      <c r="B401" s="25"/>
      <c r="G401" s="25"/>
    </row>
    <row r="402" spans="1:7" ht="14.25" x14ac:dyDescent="0.15">
      <c r="A402" s="25"/>
      <c r="B402" s="25"/>
      <c r="G402" s="25"/>
    </row>
    <row r="403" spans="1:7" ht="14.25" x14ac:dyDescent="0.15">
      <c r="A403" s="30"/>
      <c r="B403" s="25"/>
      <c r="G403" s="25"/>
    </row>
    <row r="404" spans="1:7" ht="14.25" x14ac:dyDescent="0.15">
      <c r="A404" s="25"/>
      <c r="B404" s="25"/>
      <c r="G404" s="25"/>
    </row>
    <row r="405" spans="1:7" ht="14.25" x14ac:dyDescent="0.15">
      <c r="A405" s="30"/>
      <c r="B405" s="25"/>
      <c r="G405" s="25"/>
    </row>
    <row r="406" spans="1:7" ht="14.25" x14ac:dyDescent="0.15">
      <c r="A406" s="25"/>
      <c r="B406" s="25"/>
      <c r="G406" s="25"/>
    </row>
    <row r="407" spans="1:7" ht="14.25" x14ac:dyDescent="0.15">
      <c r="A407" s="30"/>
      <c r="B407" s="25"/>
      <c r="G407" s="25"/>
    </row>
    <row r="408" spans="1:7" ht="14.25" x14ac:dyDescent="0.15">
      <c r="A408" s="25"/>
      <c r="B408" s="25"/>
      <c r="G408" s="25"/>
    </row>
    <row r="409" spans="1:7" ht="14.25" x14ac:dyDescent="0.15">
      <c r="A409" s="30"/>
      <c r="B409" s="25"/>
      <c r="G409" s="25"/>
    </row>
    <row r="410" spans="1:7" ht="14.25" x14ac:dyDescent="0.15">
      <c r="A410" s="25"/>
      <c r="B410" s="25"/>
      <c r="G410" s="25"/>
    </row>
    <row r="411" spans="1:7" ht="14.25" x14ac:dyDescent="0.15">
      <c r="A411" s="30"/>
      <c r="B411" s="25"/>
      <c r="G411" s="25"/>
    </row>
    <row r="412" spans="1:7" ht="14.25" x14ac:dyDescent="0.15">
      <c r="A412" s="25"/>
      <c r="B412" s="25"/>
      <c r="G412" s="25"/>
    </row>
    <row r="413" spans="1:7" ht="14.25" x14ac:dyDescent="0.15">
      <c r="A413" s="30"/>
      <c r="B413" s="25"/>
      <c r="G413" s="25"/>
    </row>
    <row r="414" spans="1:7" ht="14.25" x14ac:dyDescent="0.15">
      <c r="A414" s="25"/>
      <c r="B414" s="25"/>
      <c r="G414" s="25"/>
    </row>
    <row r="415" spans="1:7" ht="14.25" x14ac:dyDescent="0.15">
      <c r="A415" s="30"/>
      <c r="B415" s="25"/>
      <c r="G415" s="25"/>
    </row>
    <row r="416" spans="1:7" ht="14.25" x14ac:dyDescent="0.15">
      <c r="A416" s="25"/>
      <c r="B416" s="25"/>
      <c r="G416" s="25"/>
    </row>
    <row r="417" spans="1:7" ht="14.25" x14ac:dyDescent="0.15">
      <c r="A417" s="30"/>
      <c r="B417" s="25"/>
      <c r="G417" s="25"/>
    </row>
    <row r="418" spans="1:7" ht="14.25" x14ac:dyDescent="0.15">
      <c r="A418" s="25"/>
      <c r="B418" s="25"/>
      <c r="G418" s="25"/>
    </row>
    <row r="419" spans="1:7" ht="14.25" x14ac:dyDescent="0.15">
      <c r="A419" s="30"/>
      <c r="B419" s="25"/>
      <c r="G419" s="25"/>
    </row>
    <row r="420" spans="1:7" ht="14.25" x14ac:dyDescent="0.15">
      <c r="A420" s="25"/>
      <c r="B420" s="25"/>
      <c r="G420" s="25"/>
    </row>
    <row r="421" spans="1:7" ht="14.25" x14ac:dyDescent="0.15">
      <c r="A421" s="30"/>
      <c r="B421" s="25"/>
      <c r="G421" s="25"/>
    </row>
    <row r="422" spans="1:7" ht="14.25" x14ac:dyDescent="0.15">
      <c r="A422" s="25"/>
      <c r="B422" s="25"/>
      <c r="G422" s="25"/>
    </row>
    <row r="423" spans="1:7" ht="14.25" x14ac:dyDescent="0.15">
      <c r="A423" s="30"/>
      <c r="B423" s="25"/>
      <c r="G423" s="25"/>
    </row>
    <row r="424" spans="1:7" ht="14.25" x14ac:dyDescent="0.15">
      <c r="A424" s="25"/>
      <c r="B424" s="25"/>
      <c r="G424" s="25"/>
    </row>
    <row r="425" spans="1:7" ht="14.25" x14ac:dyDescent="0.15">
      <c r="A425" s="30"/>
      <c r="B425" s="25"/>
      <c r="G425" s="25"/>
    </row>
    <row r="426" spans="1:7" ht="14.25" x14ac:dyDescent="0.15">
      <c r="A426" s="25"/>
      <c r="B426" s="25"/>
      <c r="G426" s="25"/>
    </row>
    <row r="427" spans="1:7" ht="14.25" x14ac:dyDescent="0.15">
      <c r="A427" s="30"/>
      <c r="B427" s="25"/>
      <c r="G427" s="25"/>
    </row>
    <row r="428" spans="1:7" ht="14.25" x14ac:dyDescent="0.15">
      <c r="A428" s="25"/>
      <c r="B428" s="25"/>
      <c r="G428" s="25"/>
    </row>
    <row r="429" spans="1:7" ht="14.25" x14ac:dyDescent="0.15">
      <c r="A429" s="30"/>
      <c r="B429" s="25"/>
      <c r="G429" s="25"/>
    </row>
    <row r="430" spans="1:7" ht="14.25" x14ac:dyDescent="0.15">
      <c r="A430" s="25"/>
      <c r="B430" s="25"/>
      <c r="G430" s="25"/>
    </row>
    <row r="431" spans="1:7" ht="14.25" x14ac:dyDescent="0.15">
      <c r="A431" s="30"/>
      <c r="B431" s="25"/>
      <c r="G431" s="25"/>
    </row>
    <row r="432" spans="1:7" ht="14.25" x14ac:dyDescent="0.15">
      <c r="A432" s="25"/>
      <c r="B432" s="25"/>
      <c r="G432" s="25"/>
    </row>
    <row r="433" spans="1:7" ht="14.25" x14ac:dyDescent="0.15">
      <c r="A433" s="30"/>
      <c r="B433" s="25"/>
      <c r="G433" s="25"/>
    </row>
    <row r="434" spans="1:7" ht="14.25" x14ac:dyDescent="0.15">
      <c r="A434" s="25"/>
      <c r="B434" s="25"/>
      <c r="G434" s="25"/>
    </row>
    <row r="435" spans="1:7" ht="14.25" x14ac:dyDescent="0.15">
      <c r="A435" s="30"/>
      <c r="B435" s="25"/>
      <c r="G435" s="25"/>
    </row>
    <row r="436" spans="1:7" ht="14.25" x14ac:dyDescent="0.15">
      <c r="A436" s="25"/>
      <c r="B436" s="25"/>
      <c r="G436" s="25"/>
    </row>
    <row r="437" spans="1:7" ht="14.25" x14ac:dyDescent="0.15">
      <c r="A437" s="30"/>
      <c r="B437" s="25"/>
      <c r="G437" s="25"/>
    </row>
    <row r="438" spans="1:7" ht="14.25" x14ac:dyDescent="0.15">
      <c r="A438" s="25"/>
      <c r="B438" s="25"/>
      <c r="G438" s="25"/>
    </row>
    <row r="439" spans="1:7" ht="14.25" x14ac:dyDescent="0.15">
      <c r="A439" s="30"/>
      <c r="B439" s="25"/>
      <c r="G439" s="25"/>
    </row>
    <row r="440" spans="1:7" ht="14.25" x14ac:dyDescent="0.15">
      <c r="A440" s="25"/>
      <c r="B440" s="25"/>
      <c r="G440" s="25"/>
    </row>
    <row r="441" spans="1:7" ht="14.25" x14ac:dyDescent="0.15">
      <c r="A441" s="30"/>
      <c r="B441" s="25"/>
      <c r="G441" s="25"/>
    </row>
    <row r="442" spans="1:7" ht="14.25" x14ac:dyDescent="0.15">
      <c r="A442" s="25"/>
      <c r="B442" s="25"/>
      <c r="G442" s="25"/>
    </row>
    <row r="443" spans="1:7" ht="14.25" x14ac:dyDescent="0.15">
      <c r="A443" s="30"/>
      <c r="B443" s="25"/>
      <c r="G443" s="25"/>
    </row>
    <row r="444" spans="1:7" ht="14.25" x14ac:dyDescent="0.15">
      <c r="A444" s="25"/>
      <c r="B444" s="25"/>
      <c r="G444" s="25"/>
    </row>
    <row r="445" spans="1:7" ht="14.25" x14ac:dyDescent="0.15">
      <c r="A445" s="30"/>
      <c r="B445" s="25"/>
      <c r="G445" s="25"/>
    </row>
    <row r="446" spans="1:7" ht="14.25" x14ac:dyDescent="0.15">
      <c r="A446" s="25"/>
      <c r="B446" s="25"/>
      <c r="G446" s="25"/>
    </row>
    <row r="447" spans="1:7" ht="14.25" x14ac:dyDescent="0.15">
      <c r="A447" s="30"/>
      <c r="B447" s="25"/>
      <c r="G447" s="25"/>
    </row>
    <row r="448" spans="1:7" ht="14.25" x14ac:dyDescent="0.15">
      <c r="A448" s="25"/>
      <c r="B448" s="25"/>
      <c r="G448" s="25"/>
    </row>
    <row r="449" spans="1:7" ht="14.25" x14ac:dyDescent="0.15">
      <c r="A449" s="30"/>
      <c r="B449" s="25"/>
      <c r="G449" s="25"/>
    </row>
    <row r="450" spans="1:7" ht="14.25" x14ac:dyDescent="0.15">
      <c r="A450" s="25"/>
      <c r="B450" s="25"/>
      <c r="G450" s="25"/>
    </row>
    <row r="451" spans="1:7" ht="14.25" x14ac:dyDescent="0.15">
      <c r="A451" s="30"/>
      <c r="B451" s="25"/>
      <c r="G451" s="25"/>
    </row>
    <row r="452" spans="1:7" ht="14.25" x14ac:dyDescent="0.15">
      <c r="A452" s="25"/>
      <c r="B452" s="25"/>
      <c r="G452" s="25"/>
    </row>
    <row r="453" spans="1:7" ht="14.25" x14ac:dyDescent="0.15">
      <c r="A453" s="30"/>
      <c r="B453" s="25"/>
      <c r="G453" s="25"/>
    </row>
    <row r="454" spans="1:7" ht="14.25" x14ac:dyDescent="0.15">
      <c r="A454" s="25"/>
      <c r="B454" s="25"/>
      <c r="G454" s="25"/>
    </row>
    <row r="455" spans="1:7" ht="14.25" x14ac:dyDescent="0.15">
      <c r="A455" s="30"/>
      <c r="B455" s="25"/>
      <c r="G455" s="25"/>
    </row>
    <row r="456" spans="1:7" ht="14.25" x14ac:dyDescent="0.15">
      <c r="A456" s="25"/>
      <c r="B456" s="25"/>
      <c r="G456" s="25"/>
    </row>
    <row r="457" spans="1:7" ht="14.25" x14ac:dyDescent="0.15">
      <c r="A457" s="30"/>
      <c r="B457" s="25"/>
      <c r="G457" s="25"/>
    </row>
    <row r="458" spans="1:7" ht="14.25" x14ac:dyDescent="0.15">
      <c r="A458" s="25"/>
      <c r="B458" s="25"/>
      <c r="G458" s="25"/>
    </row>
    <row r="459" spans="1:7" ht="14.25" x14ac:dyDescent="0.15">
      <c r="A459" s="30"/>
      <c r="B459" s="25"/>
      <c r="G459" s="25"/>
    </row>
    <row r="460" spans="1:7" ht="14.25" x14ac:dyDescent="0.15">
      <c r="A460" s="25"/>
      <c r="B460" s="25"/>
      <c r="G460" s="25"/>
    </row>
    <row r="461" spans="1:7" ht="14.25" x14ac:dyDescent="0.15">
      <c r="A461" s="30"/>
      <c r="B461" s="25"/>
      <c r="G461" s="25"/>
    </row>
    <row r="462" spans="1:7" ht="14.25" x14ac:dyDescent="0.15">
      <c r="A462" s="25"/>
      <c r="B462" s="25"/>
      <c r="G462" s="25"/>
    </row>
    <row r="463" spans="1:7" ht="14.25" x14ac:dyDescent="0.15">
      <c r="A463" s="30"/>
      <c r="B463" s="25"/>
      <c r="G463" s="25"/>
    </row>
    <row r="464" spans="1:7" ht="14.25" x14ac:dyDescent="0.15">
      <c r="A464" s="25"/>
      <c r="B464" s="25"/>
      <c r="G464" s="25"/>
    </row>
    <row r="465" spans="1:7" ht="14.25" x14ac:dyDescent="0.15">
      <c r="A465" s="30"/>
      <c r="B465" s="25"/>
      <c r="G465" s="25"/>
    </row>
    <row r="466" spans="1:7" ht="14.25" x14ac:dyDescent="0.15">
      <c r="A466" s="25"/>
      <c r="B466" s="25"/>
      <c r="G466" s="25"/>
    </row>
    <row r="467" spans="1:7" ht="14.25" x14ac:dyDescent="0.15">
      <c r="A467" s="30"/>
      <c r="B467" s="25"/>
      <c r="G467" s="25"/>
    </row>
    <row r="468" spans="1:7" ht="14.25" x14ac:dyDescent="0.15">
      <c r="A468" s="25"/>
      <c r="B468" s="25"/>
      <c r="G468" s="25"/>
    </row>
    <row r="469" spans="1:7" ht="14.25" x14ac:dyDescent="0.15">
      <c r="A469" s="30"/>
      <c r="B469" s="25"/>
      <c r="G469" s="25"/>
    </row>
    <row r="470" spans="1:7" ht="14.25" x14ac:dyDescent="0.15">
      <c r="A470" s="25"/>
      <c r="B470" s="25"/>
      <c r="G470" s="25"/>
    </row>
    <row r="471" spans="1:7" ht="14.25" x14ac:dyDescent="0.15">
      <c r="A471" s="30"/>
      <c r="B471" s="25"/>
      <c r="G471" s="25"/>
    </row>
    <row r="472" spans="1:7" ht="14.25" x14ac:dyDescent="0.15">
      <c r="A472" s="25"/>
      <c r="B472" s="25"/>
      <c r="G472" s="25"/>
    </row>
    <row r="473" spans="1:7" ht="14.25" x14ac:dyDescent="0.15">
      <c r="A473" s="30"/>
      <c r="B473" s="25"/>
      <c r="G473" s="25"/>
    </row>
    <row r="474" spans="1:7" ht="14.25" x14ac:dyDescent="0.15">
      <c r="A474" s="25"/>
      <c r="B474" s="25"/>
      <c r="G474" s="25"/>
    </row>
    <row r="475" spans="1:7" ht="14.25" x14ac:dyDescent="0.15">
      <c r="A475" s="30"/>
      <c r="B475" s="25"/>
      <c r="G475" s="25"/>
    </row>
    <row r="476" spans="1:7" ht="14.25" x14ac:dyDescent="0.15">
      <c r="A476" s="25"/>
      <c r="B476" s="25"/>
      <c r="G476" s="25"/>
    </row>
    <row r="477" spans="1:7" ht="14.25" x14ac:dyDescent="0.15">
      <c r="A477" s="30"/>
      <c r="B477" s="25"/>
      <c r="G477" s="25"/>
    </row>
    <row r="478" spans="1:7" ht="14.25" x14ac:dyDescent="0.15">
      <c r="A478" s="25"/>
      <c r="B478" s="25"/>
      <c r="G478" s="25"/>
    </row>
    <row r="479" spans="1:7" ht="14.25" x14ac:dyDescent="0.15">
      <c r="A479" s="30"/>
      <c r="B479" s="25"/>
      <c r="G479" s="25"/>
    </row>
    <row r="480" spans="1:7" ht="14.25" x14ac:dyDescent="0.15">
      <c r="A480" s="25"/>
      <c r="B480" s="25"/>
      <c r="G480" s="25"/>
    </row>
    <row r="481" spans="1:7" ht="14.25" x14ac:dyDescent="0.15">
      <c r="A481" s="30"/>
      <c r="B481" s="25"/>
      <c r="G481" s="25"/>
    </row>
    <row r="482" spans="1:7" ht="14.25" x14ac:dyDescent="0.15">
      <c r="A482" s="25"/>
      <c r="B482" s="25"/>
      <c r="G482" s="25"/>
    </row>
    <row r="483" spans="1:7" ht="14.25" x14ac:dyDescent="0.15">
      <c r="A483" s="30"/>
      <c r="B483" s="25"/>
      <c r="G483" s="25"/>
    </row>
    <row r="484" spans="1:7" ht="14.25" x14ac:dyDescent="0.15">
      <c r="A484" s="25"/>
      <c r="B484" s="25"/>
      <c r="G484" s="25"/>
    </row>
    <row r="485" spans="1:7" ht="14.25" x14ac:dyDescent="0.15">
      <c r="A485" s="30"/>
      <c r="B485" s="25"/>
      <c r="G485" s="25"/>
    </row>
    <row r="486" spans="1:7" ht="14.25" x14ac:dyDescent="0.15">
      <c r="A486" s="25"/>
      <c r="B486" s="25"/>
      <c r="G486" s="25"/>
    </row>
    <row r="487" spans="1:7" ht="14.25" x14ac:dyDescent="0.15">
      <c r="A487" s="30"/>
      <c r="B487" s="25"/>
      <c r="G487" s="25"/>
    </row>
    <row r="488" spans="1:7" ht="14.25" x14ac:dyDescent="0.15">
      <c r="A488" s="25"/>
      <c r="B488" s="25"/>
      <c r="G488" s="25"/>
    </row>
    <row r="489" spans="1:7" ht="14.25" x14ac:dyDescent="0.15">
      <c r="A489" s="30"/>
      <c r="B489" s="25"/>
      <c r="G489" s="25"/>
    </row>
    <row r="490" spans="1:7" ht="14.25" x14ac:dyDescent="0.15">
      <c r="A490" s="25"/>
      <c r="B490" s="25"/>
      <c r="G490" s="25"/>
    </row>
    <row r="491" spans="1:7" ht="14.25" x14ac:dyDescent="0.15">
      <c r="A491" s="30"/>
      <c r="B491" s="25"/>
      <c r="G491" s="25"/>
    </row>
    <row r="492" spans="1:7" ht="14.25" x14ac:dyDescent="0.15">
      <c r="A492" s="25"/>
      <c r="B492" s="25"/>
      <c r="G492" s="25"/>
    </row>
    <row r="493" spans="1:7" ht="14.25" x14ac:dyDescent="0.15">
      <c r="A493" s="30"/>
      <c r="B493" s="25"/>
      <c r="G493" s="25"/>
    </row>
    <row r="494" spans="1:7" ht="14.25" x14ac:dyDescent="0.15">
      <c r="A494" s="25"/>
      <c r="B494" s="25"/>
      <c r="G494" s="25"/>
    </row>
    <row r="495" spans="1:7" ht="14.25" x14ac:dyDescent="0.15">
      <c r="A495" s="30"/>
      <c r="B495" s="25"/>
      <c r="G495" s="25"/>
    </row>
    <row r="496" spans="1:7" ht="14.25" x14ac:dyDescent="0.15">
      <c r="A496" s="25"/>
      <c r="B496" s="25"/>
      <c r="G496" s="25"/>
    </row>
    <row r="497" spans="1:7" ht="14.25" x14ac:dyDescent="0.15">
      <c r="A497" s="30"/>
      <c r="B497" s="25"/>
      <c r="G497" s="25"/>
    </row>
    <row r="498" spans="1:7" ht="14.25" x14ac:dyDescent="0.15">
      <c r="A498" s="25"/>
      <c r="B498" s="25"/>
      <c r="G498" s="25"/>
    </row>
    <row r="499" spans="1:7" ht="14.25" x14ac:dyDescent="0.15">
      <c r="A499" s="30"/>
      <c r="B499" s="25"/>
      <c r="G499" s="25"/>
    </row>
    <row r="500" spans="1:7" ht="14.25" x14ac:dyDescent="0.15">
      <c r="A500" s="25"/>
      <c r="B500" s="25"/>
      <c r="G500" s="25"/>
    </row>
    <row r="501" spans="1:7" ht="14.25" x14ac:dyDescent="0.15">
      <c r="A501" s="30"/>
      <c r="B501" s="25"/>
      <c r="G501" s="25"/>
    </row>
    <row r="502" spans="1:7" ht="14.25" x14ac:dyDescent="0.15">
      <c r="A502" s="25"/>
      <c r="B502" s="25"/>
      <c r="G502" s="25"/>
    </row>
    <row r="503" spans="1:7" ht="14.25" x14ac:dyDescent="0.15">
      <c r="A503" s="30"/>
      <c r="B503" s="25"/>
      <c r="G503" s="25"/>
    </row>
    <row r="504" spans="1:7" ht="14.25" x14ac:dyDescent="0.15">
      <c r="A504" s="25"/>
      <c r="B504" s="25"/>
      <c r="G504" s="25"/>
    </row>
    <row r="505" spans="1:7" ht="14.25" x14ac:dyDescent="0.15">
      <c r="A505" s="30"/>
      <c r="B505" s="25"/>
      <c r="G505" s="25"/>
    </row>
    <row r="506" spans="1:7" ht="14.25" x14ac:dyDescent="0.15">
      <c r="A506" s="25"/>
      <c r="B506" s="25"/>
      <c r="G506" s="25"/>
    </row>
    <row r="507" spans="1:7" ht="14.25" x14ac:dyDescent="0.15">
      <c r="A507" s="30"/>
      <c r="B507" s="25"/>
      <c r="G507" s="25"/>
    </row>
    <row r="508" spans="1:7" ht="14.25" x14ac:dyDescent="0.15">
      <c r="A508" s="25"/>
      <c r="B508" s="25"/>
      <c r="G508" s="25"/>
    </row>
    <row r="509" spans="1:7" ht="14.25" x14ac:dyDescent="0.15">
      <c r="A509" s="30"/>
      <c r="B509" s="25"/>
      <c r="G509" s="25"/>
    </row>
    <row r="510" spans="1:7" ht="14.25" x14ac:dyDescent="0.15">
      <c r="A510" s="25"/>
      <c r="B510" s="25"/>
      <c r="G510" s="25"/>
    </row>
    <row r="511" spans="1:7" ht="14.25" x14ac:dyDescent="0.15">
      <c r="A511" s="30"/>
      <c r="B511" s="25"/>
      <c r="G511" s="25"/>
    </row>
    <row r="512" spans="1:7" ht="14.25" x14ac:dyDescent="0.15">
      <c r="A512" s="25"/>
      <c r="B512" s="25"/>
      <c r="G512" s="25"/>
    </row>
    <row r="513" spans="1:7" ht="14.25" x14ac:dyDescent="0.15">
      <c r="A513" s="30"/>
      <c r="B513" s="25"/>
      <c r="G513" s="25"/>
    </row>
    <row r="514" spans="1:7" ht="14.25" x14ac:dyDescent="0.15">
      <c r="A514" s="25"/>
      <c r="B514" s="25"/>
      <c r="G514" s="25"/>
    </row>
    <row r="515" spans="1:7" ht="14.25" x14ac:dyDescent="0.15">
      <c r="A515" s="30"/>
      <c r="B515" s="25"/>
      <c r="G515" s="25"/>
    </row>
    <row r="516" spans="1:7" ht="14.25" x14ac:dyDescent="0.15">
      <c r="A516" s="25"/>
      <c r="B516" s="25"/>
      <c r="G516" s="25"/>
    </row>
    <row r="517" spans="1:7" ht="14.25" x14ac:dyDescent="0.15">
      <c r="A517" s="30"/>
      <c r="B517" s="25"/>
      <c r="G517" s="25"/>
    </row>
    <row r="518" spans="1:7" ht="14.25" x14ac:dyDescent="0.15">
      <c r="A518" s="25"/>
      <c r="B518" s="25"/>
      <c r="G518" s="25"/>
    </row>
    <row r="519" spans="1:7" ht="14.25" x14ac:dyDescent="0.15">
      <c r="A519" s="30"/>
      <c r="B519" s="25"/>
      <c r="G519" s="25"/>
    </row>
    <row r="520" spans="1:7" ht="14.25" x14ac:dyDescent="0.15">
      <c r="A520" s="25"/>
      <c r="B520" s="25"/>
      <c r="G520" s="25"/>
    </row>
    <row r="521" spans="1:7" ht="14.25" x14ac:dyDescent="0.15">
      <c r="A521" s="30"/>
      <c r="B521" s="25"/>
      <c r="G521" s="25"/>
    </row>
    <row r="522" spans="1:7" ht="14.25" x14ac:dyDescent="0.15">
      <c r="A522" s="25"/>
      <c r="B522" s="25"/>
      <c r="G522" s="25"/>
    </row>
    <row r="523" spans="1:7" ht="14.25" x14ac:dyDescent="0.15">
      <c r="A523" s="30"/>
      <c r="B523" s="25"/>
      <c r="G523" s="25"/>
    </row>
    <row r="524" spans="1:7" ht="14.25" x14ac:dyDescent="0.15">
      <c r="A524" s="25"/>
      <c r="B524" s="25"/>
      <c r="G524" s="25"/>
    </row>
    <row r="525" spans="1:7" ht="14.25" x14ac:dyDescent="0.15">
      <c r="A525" s="30"/>
      <c r="B525" s="25"/>
      <c r="G525" s="25"/>
    </row>
    <row r="526" spans="1:7" ht="14.25" x14ac:dyDescent="0.15">
      <c r="A526" s="25"/>
      <c r="B526" s="25"/>
      <c r="G526" s="25"/>
    </row>
    <row r="527" spans="1:7" ht="14.25" x14ac:dyDescent="0.15">
      <c r="A527" s="30"/>
      <c r="B527" s="25"/>
      <c r="G527" s="25"/>
    </row>
    <row r="528" spans="1:7" ht="14.25" x14ac:dyDescent="0.15">
      <c r="A528" s="25"/>
      <c r="B528" s="25"/>
      <c r="G528" s="25"/>
    </row>
    <row r="529" spans="1:7" ht="14.25" x14ac:dyDescent="0.15">
      <c r="A529" s="30"/>
      <c r="B529" s="25"/>
      <c r="G529" s="25"/>
    </row>
    <row r="530" spans="1:7" ht="14.25" x14ac:dyDescent="0.15">
      <c r="A530" s="25"/>
      <c r="B530" s="25"/>
      <c r="G530" s="25"/>
    </row>
    <row r="531" spans="1:7" ht="14.25" x14ac:dyDescent="0.15">
      <c r="A531" s="30"/>
      <c r="B531" s="25"/>
      <c r="G531" s="25"/>
    </row>
    <row r="532" spans="1:7" ht="14.25" x14ac:dyDescent="0.15">
      <c r="A532" s="25"/>
      <c r="B532" s="25"/>
      <c r="G532" s="25"/>
    </row>
    <row r="533" spans="1:7" ht="14.25" x14ac:dyDescent="0.15">
      <c r="A533" s="30"/>
      <c r="B533" s="25"/>
      <c r="G533" s="25"/>
    </row>
    <row r="534" spans="1:7" ht="14.25" x14ac:dyDescent="0.15">
      <c r="A534" s="25"/>
      <c r="B534" s="25"/>
      <c r="G534" s="25"/>
    </row>
    <row r="535" spans="1:7" ht="14.25" x14ac:dyDescent="0.15">
      <c r="A535" s="30"/>
      <c r="B535" s="25"/>
      <c r="G535" s="25"/>
    </row>
    <row r="536" spans="1:7" ht="14.25" x14ac:dyDescent="0.15">
      <c r="A536" s="25"/>
      <c r="B536" s="25"/>
      <c r="G536" s="25"/>
    </row>
    <row r="537" spans="1:7" ht="14.25" x14ac:dyDescent="0.15">
      <c r="A537" s="30"/>
      <c r="B537" s="25"/>
      <c r="G537" s="25"/>
    </row>
    <row r="538" spans="1:7" ht="14.25" x14ac:dyDescent="0.15">
      <c r="A538" s="25"/>
      <c r="B538" s="25"/>
      <c r="G538" s="25"/>
    </row>
    <row r="539" spans="1:7" ht="14.25" x14ac:dyDescent="0.15">
      <c r="A539" s="30"/>
      <c r="B539" s="25"/>
      <c r="G539" s="25"/>
    </row>
    <row r="540" spans="1:7" ht="14.25" x14ac:dyDescent="0.15">
      <c r="A540" s="25"/>
      <c r="B540" s="25"/>
      <c r="G540" s="25"/>
    </row>
    <row r="541" spans="1:7" ht="14.25" x14ac:dyDescent="0.15">
      <c r="A541" s="30"/>
      <c r="B541" s="25"/>
      <c r="G541" s="25"/>
    </row>
    <row r="542" spans="1:7" ht="14.25" x14ac:dyDescent="0.15">
      <c r="A542" s="25"/>
      <c r="B542" s="25"/>
      <c r="G542" s="25"/>
    </row>
    <row r="543" spans="1:7" ht="14.25" x14ac:dyDescent="0.15">
      <c r="A543" s="30"/>
      <c r="B543" s="25"/>
      <c r="G543" s="25"/>
    </row>
    <row r="544" spans="1:7" ht="14.25" x14ac:dyDescent="0.15">
      <c r="A544" s="25"/>
      <c r="B544" s="25"/>
      <c r="G544" s="25"/>
    </row>
    <row r="545" spans="1:7" ht="14.25" x14ac:dyDescent="0.15">
      <c r="A545" s="30"/>
      <c r="B545" s="25"/>
      <c r="G545" s="25"/>
    </row>
    <row r="546" spans="1:7" ht="14.25" x14ac:dyDescent="0.15">
      <c r="A546" s="25"/>
      <c r="B546" s="25"/>
      <c r="G546" s="25"/>
    </row>
    <row r="547" spans="1:7" ht="14.25" x14ac:dyDescent="0.15">
      <c r="A547" s="30"/>
      <c r="B547" s="25"/>
      <c r="G547" s="25"/>
    </row>
    <row r="548" spans="1:7" ht="14.25" x14ac:dyDescent="0.15">
      <c r="A548" s="25"/>
      <c r="B548" s="25"/>
      <c r="G548" s="25"/>
    </row>
    <row r="549" spans="1:7" ht="14.25" x14ac:dyDescent="0.15">
      <c r="A549" s="30"/>
      <c r="B549" s="25"/>
      <c r="G549" s="25"/>
    </row>
    <row r="550" spans="1:7" ht="14.25" x14ac:dyDescent="0.15">
      <c r="A550" s="25"/>
      <c r="B550" s="25"/>
      <c r="G550" s="25"/>
    </row>
    <row r="551" spans="1:7" ht="14.25" x14ac:dyDescent="0.15">
      <c r="A551" s="30"/>
      <c r="B551" s="25"/>
      <c r="G551" s="25"/>
    </row>
    <row r="552" spans="1:7" ht="14.25" x14ac:dyDescent="0.15">
      <c r="A552" s="25"/>
      <c r="B552" s="25"/>
      <c r="G552" s="25"/>
    </row>
    <row r="553" spans="1:7" ht="14.25" x14ac:dyDescent="0.15">
      <c r="A553" s="30"/>
      <c r="B553" s="25"/>
      <c r="G553" s="25"/>
    </row>
    <row r="554" spans="1:7" ht="14.25" x14ac:dyDescent="0.15">
      <c r="A554" s="25"/>
      <c r="B554" s="25"/>
      <c r="G554" s="25"/>
    </row>
    <row r="555" spans="1:7" ht="14.25" x14ac:dyDescent="0.15">
      <c r="A555" s="30"/>
      <c r="B555" s="25"/>
      <c r="G555" s="25"/>
    </row>
    <row r="556" spans="1:7" ht="14.25" x14ac:dyDescent="0.15">
      <c r="A556" s="25"/>
      <c r="B556" s="25"/>
      <c r="G556" s="25"/>
    </row>
    <row r="557" spans="1:7" ht="14.25" x14ac:dyDescent="0.15">
      <c r="A557" s="30"/>
      <c r="B557" s="25"/>
      <c r="G557" s="25"/>
    </row>
    <row r="558" spans="1:7" ht="14.25" x14ac:dyDescent="0.15">
      <c r="A558" s="25"/>
      <c r="B558" s="25"/>
      <c r="G558" s="25"/>
    </row>
    <row r="559" spans="1:7" ht="14.25" x14ac:dyDescent="0.15">
      <c r="A559" s="30"/>
      <c r="B559" s="25"/>
      <c r="G559" s="25"/>
    </row>
    <row r="560" spans="1:7" ht="14.25" x14ac:dyDescent="0.15">
      <c r="A560" s="25"/>
      <c r="B560" s="25"/>
      <c r="G560" s="25"/>
    </row>
    <row r="561" spans="1:7" ht="14.25" x14ac:dyDescent="0.15">
      <c r="A561" s="30"/>
      <c r="B561" s="25"/>
      <c r="G561" s="25"/>
    </row>
    <row r="562" spans="1:7" ht="14.25" x14ac:dyDescent="0.15">
      <c r="A562" s="25"/>
      <c r="B562" s="25"/>
      <c r="G562" s="25"/>
    </row>
    <row r="563" spans="1:7" ht="14.25" x14ac:dyDescent="0.15">
      <c r="A563" s="30"/>
      <c r="B563" s="25"/>
      <c r="G563" s="25"/>
    </row>
    <row r="564" spans="1:7" ht="14.25" x14ac:dyDescent="0.15">
      <c r="A564" s="25"/>
      <c r="B564" s="25"/>
      <c r="G564" s="25"/>
    </row>
    <row r="565" spans="1:7" ht="14.25" x14ac:dyDescent="0.15">
      <c r="A565" s="30"/>
      <c r="B565" s="25"/>
      <c r="G565" s="25"/>
    </row>
    <row r="566" spans="1:7" ht="14.25" x14ac:dyDescent="0.15">
      <c r="A566" s="25"/>
      <c r="B566" s="25"/>
      <c r="G566" s="25"/>
    </row>
    <row r="567" spans="1:7" ht="14.25" x14ac:dyDescent="0.15">
      <c r="A567" s="30"/>
      <c r="B567" s="25"/>
      <c r="G567" s="25"/>
    </row>
    <row r="568" spans="1:7" ht="14.25" x14ac:dyDescent="0.15">
      <c r="A568" s="25"/>
      <c r="B568" s="25"/>
      <c r="G568" s="25"/>
    </row>
    <row r="569" spans="1:7" ht="14.25" x14ac:dyDescent="0.15">
      <c r="A569" s="30"/>
      <c r="B569" s="25"/>
      <c r="G569" s="25"/>
    </row>
    <row r="570" spans="1:7" ht="14.25" x14ac:dyDescent="0.15">
      <c r="A570" s="25"/>
      <c r="B570" s="25"/>
      <c r="G570" s="25"/>
    </row>
    <row r="571" spans="1:7" ht="14.25" x14ac:dyDescent="0.15">
      <c r="A571" s="30"/>
      <c r="B571" s="25"/>
      <c r="G571" s="25"/>
    </row>
    <row r="572" spans="1:7" ht="14.25" x14ac:dyDescent="0.15">
      <c r="A572" s="25"/>
      <c r="B572" s="25"/>
      <c r="G572" s="25"/>
    </row>
    <row r="573" spans="1:7" ht="14.25" x14ac:dyDescent="0.15">
      <c r="A573" s="30"/>
      <c r="B573" s="25"/>
      <c r="G573" s="25"/>
    </row>
    <row r="574" spans="1:7" ht="14.25" x14ac:dyDescent="0.15">
      <c r="A574" s="25"/>
      <c r="B574" s="25"/>
      <c r="G574" s="25"/>
    </row>
    <row r="575" spans="1:7" ht="14.25" x14ac:dyDescent="0.15">
      <c r="A575" s="30"/>
      <c r="B575" s="25"/>
      <c r="G575" s="25"/>
    </row>
    <row r="576" spans="1:7" ht="14.25" x14ac:dyDescent="0.15">
      <c r="A576" s="25"/>
      <c r="B576" s="25"/>
      <c r="G576" s="25"/>
    </row>
    <row r="577" spans="1:7" ht="14.25" x14ac:dyDescent="0.15">
      <c r="A577" s="30"/>
      <c r="B577" s="25"/>
      <c r="G577" s="25"/>
    </row>
    <row r="578" spans="1:7" ht="14.25" x14ac:dyDescent="0.15">
      <c r="A578" s="25"/>
      <c r="B578" s="25"/>
      <c r="G578" s="25"/>
    </row>
    <row r="579" spans="1:7" ht="14.25" x14ac:dyDescent="0.15">
      <c r="A579" s="30"/>
      <c r="B579" s="25"/>
      <c r="G579" s="25"/>
    </row>
    <row r="580" spans="1:7" ht="14.25" x14ac:dyDescent="0.15">
      <c r="A580" s="25"/>
      <c r="B580" s="25"/>
      <c r="G580" s="25"/>
    </row>
    <row r="581" spans="1:7" ht="14.25" x14ac:dyDescent="0.15">
      <c r="A581" s="30"/>
      <c r="B581" s="25"/>
      <c r="G581" s="25"/>
    </row>
    <row r="582" spans="1:7" ht="14.25" x14ac:dyDescent="0.15">
      <c r="A582" s="25"/>
      <c r="B582" s="25"/>
      <c r="G582" s="25"/>
    </row>
    <row r="583" spans="1:7" ht="14.25" x14ac:dyDescent="0.15">
      <c r="A583" s="30"/>
      <c r="B583" s="25"/>
      <c r="G583" s="25"/>
    </row>
    <row r="584" spans="1:7" ht="14.25" x14ac:dyDescent="0.15">
      <c r="A584" s="25"/>
      <c r="B584" s="25"/>
      <c r="G584" s="25"/>
    </row>
    <row r="585" spans="1:7" ht="14.25" x14ac:dyDescent="0.15">
      <c r="A585" s="30"/>
      <c r="B585" s="25"/>
      <c r="G585" s="25"/>
    </row>
    <row r="586" spans="1:7" ht="14.25" x14ac:dyDescent="0.15">
      <c r="A586" s="25"/>
      <c r="B586" s="25"/>
      <c r="G586" s="25"/>
    </row>
    <row r="587" spans="1:7" ht="14.25" x14ac:dyDescent="0.15">
      <c r="A587" s="30"/>
      <c r="B587" s="25"/>
      <c r="G587" s="25"/>
    </row>
    <row r="588" spans="1:7" ht="14.25" x14ac:dyDescent="0.15">
      <c r="A588" s="25"/>
      <c r="B588" s="25"/>
      <c r="G588" s="25"/>
    </row>
    <row r="589" spans="1:7" ht="14.25" x14ac:dyDescent="0.15">
      <c r="A589" s="30"/>
      <c r="B589" s="25"/>
      <c r="G589" s="25"/>
    </row>
    <row r="590" spans="1:7" ht="14.25" x14ac:dyDescent="0.15">
      <c r="A590" s="25"/>
      <c r="B590" s="25"/>
      <c r="G590" s="25"/>
    </row>
    <row r="591" spans="1:7" ht="14.25" x14ac:dyDescent="0.15">
      <c r="A591" s="30"/>
      <c r="B591" s="25"/>
      <c r="G591" s="25"/>
    </row>
    <row r="592" spans="1:7" ht="14.25" x14ac:dyDescent="0.15">
      <c r="A592" s="25"/>
      <c r="B592" s="25"/>
      <c r="G592" s="25"/>
    </row>
    <row r="593" spans="1:7" ht="14.25" x14ac:dyDescent="0.15">
      <c r="A593" s="30"/>
      <c r="B593" s="25"/>
      <c r="G593" s="25"/>
    </row>
    <row r="594" spans="1:7" ht="14.25" x14ac:dyDescent="0.15">
      <c r="A594" s="25"/>
      <c r="B594" s="25"/>
      <c r="G594" s="25"/>
    </row>
    <row r="595" spans="1:7" ht="14.25" x14ac:dyDescent="0.15">
      <c r="A595" s="30"/>
      <c r="B595" s="25"/>
      <c r="G595" s="25"/>
    </row>
    <row r="596" spans="1:7" ht="14.25" x14ac:dyDescent="0.15">
      <c r="A596" s="25"/>
      <c r="B596" s="25"/>
      <c r="G596" s="25"/>
    </row>
    <row r="597" spans="1:7" ht="14.25" x14ac:dyDescent="0.15">
      <c r="A597" s="30"/>
      <c r="B597" s="25"/>
      <c r="G597" s="25"/>
    </row>
    <row r="598" spans="1:7" ht="14.25" x14ac:dyDescent="0.15">
      <c r="A598" s="25"/>
      <c r="B598" s="25"/>
      <c r="G598" s="25"/>
    </row>
    <row r="599" spans="1:7" ht="14.25" x14ac:dyDescent="0.15">
      <c r="A599" s="30"/>
      <c r="B599" s="25"/>
      <c r="G599" s="25"/>
    </row>
    <row r="600" spans="1:7" ht="14.25" x14ac:dyDescent="0.15">
      <c r="A600" s="25"/>
      <c r="B600" s="25"/>
      <c r="G600" s="25"/>
    </row>
    <row r="601" spans="1:7" ht="14.25" x14ac:dyDescent="0.15">
      <c r="A601" s="30"/>
      <c r="B601" s="25"/>
      <c r="G601" s="25"/>
    </row>
    <row r="602" spans="1:7" ht="14.25" x14ac:dyDescent="0.15">
      <c r="A602" s="25"/>
      <c r="B602" s="25"/>
      <c r="G602" s="25"/>
    </row>
    <row r="603" spans="1:7" ht="14.25" x14ac:dyDescent="0.15">
      <c r="A603" s="30"/>
      <c r="B603" s="25"/>
      <c r="G603" s="25"/>
    </row>
    <row r="604" spans="1:7" ht="14.25" x14ac:dyDescent="0.15">
      <c r="A604" s="25"/>
      <c r="B604" s="25"/>
      <c r="G604" s="25"/>
    </row>
    <row r="605" spans="1:7" ht="14.25" x14ac:dyDescent="0.15">
      <c r="A605" s="30"/>
      <c r="B605" s="25"/>
      <c r="G605" s="25"/>
    </row>
    <row r="606" spans="1:7" ht="14.25" x14ac:dyDescent="0.15">
      <c r="A606" s="25"/>
      <c r="B606" s="25"/>
      <c r="G606" s="25"/>
    </row>
    <row r="607" spans="1:7" ht="14.25" x14ac:dyDescent="0.15">
      <c r="A607" s="30"/>
      <c r="B607" s="25"/>
      <c r="G607" s="25"/>
    </row>
    <row r="608" spans="1:7" ht="14.25" x14ac:dyDescent="0.15">
      <c r="A608" s="25"/>
      <c r="B608" s="25"/>
      <c r="G608" s="25"/>
    </row>
    <row r="609" spans="1:7" ht="14.25" x14ac:dyDescent="0.15">
      <c r="A609" s="30"/>
      <c r="B609" s="25"/>
      <c r="G609" s="25"/>
    </row>
    <row r="610" spans="1:7" ht="14.25" x14ac:dyDescent="0.15">
      <c r="A610" s="25"/>
      <c r="B610" s="25"/>
      <c r="G610" s="25"/>
    </row>
    <row r="611" spans="1:7" ht="14.25" x14ac:dyDescent="0.15">
      <c r="A611" s="30"/>
      <c r="B611" s="25"/>
      <c r="G611" s="25"/>
    </row>
    <row r="612" spans="1:7" ht="14.25" x14ac:dyDescent="0.15">
      <c r="A612" s="25"/>
      <c r="B612" s="25"/>
      <c r="G612" s="25"/>
    </row>
    <row r="613" spans="1:7" ht="14.25" x14ac:dyDescent="0.15">
      <c r="A613" s="30"/>
      <c r="B613" s="25"/>
      <c r="G613" s="25"/>
    </row>
    <row r="614" spans="1:7" ht="14.25" x14ac:dyDescent="0.15">
      <c r="A614" s="25"/>
      <c r="B614" s="25"/>
      <c r="G614" s="25"/>
    </row>
    <row r="615" spans="1:7" ht="14.25" x14ac:dyDescent="0.15">
      <c r="A615" s="30"/>
      <c r="B615" s="25"/>
      <c r="G615" s="25"/>
    </row>
    <row r="616" spans="1:7" ht="14.25" x14ac:dyDescent="0.15">
      <c r="A616" s="25"/>
      <c r="B616" s="25"/>
      <c r="G616" s="25"/>
    </row>
    <row r="617" spans="1:7" ht="14.25" x14ac:dyDescent="0.15">
      <c r="A617" s="30"/>
      <c r="B617" s="25"/>
      <c r="G617" s="25"/>
    </row>
    <row r="618" spans="1:7" ht="14.25" x14ac:dyDescent="0.15">
      <c r="A618" s="25"/>
      <c r="B618" s="25"/>
      <c r="G618" s="25"/>
    </row>
    <row r="619" spans="1:7" ht="14.25" x14ac:dyDescent="0.15">
      <c r="A619" s="30"/>
      <c r="B619" s="25"/>
      <c r="G619" s="25"/>
    </row>
    <row r="620" spans="1:7" ht="14.25" x14ac:dyDescent="0.15">
      <c r="A620" s="25"/>
      <c r="B620" s="25"/>
      <c r="G620" s="25"/>
    </row>
    <row r="621" spans="1:7" ht="14.25" x14ac:dyDescent="0.15">
      <c r="A621" s="30"/>
      <c r="B621" s="25"/>
      <c r="G621" s="25"/>
    </row>
    <row r="622" spans="1:7" ht="14.25" x14ac:dyDescent="0.15">
      <c r="A622" s="25"/>
      <c r="B622" s="25"/>
      <c r="G622" s="25"/>
    </row>
    <row r="623" spans="1:7" ht="14.25" x14ac:dyDescent="0.15">
      <c r="A623" s="30"/>
      <c r="B623" s="25"/>
      <c r="G623" s="25"/>
    </row>
    <row r="624" spans="1:7" ht="14.25" x14ac:dyDescent="0.15">
      <c r="A624" s="25"/>
      <c r="B624" s="25"/>
      <c r="G624" s="25"/>
    </row>
    <row r="625" spans="1:7" ht="14.25" x14ac:dyDescent="0.15">
      <c r="A625" s="30"/>
      <c r="B625" s="25"/>
      <c r="G625" s="25"/>
    </row>
    <row r="626" spans="1:7" ht="14.25" x14ac:dyDescent="0.15">
      <c r="A626" s="25"/>
      <c r="B626" s="25"/>
      <c r="G626" s="25"/>
    </row>
    <row r="627" spans="1:7" ht="14.25" x14ac:dyDescent="0.15">
      <c r="A627" s="30"/>
      <c r="B627" s="25"/>
      <c r="G627" s="25"/>
    </row>
    <row r="628" spans="1:7" ht="14.25" x14ac:dyDescent="0.15">
      <c r="A628" s="25"/>
      <c r="B628" s="25"/>
      <c r="G628" s="25"/>
    </row>
    <row r="629" spans="1:7" ht="14.25" x14ac:dyDescent="0.15">
      <c r="A629" s="30"/>
      <c r="B629" s="25"/>
      <c r="G629" s="25"/>
    </row>
    <row r="630" spans="1:7" ht="14.25" x14ac:dyDescent="0.15">
      <c r="A630" s="25"/>
      <c r="B630" s="25"/>
      <c r="G630" s="25"/>
    </row>
    <row r="631" spans="1:7" ht="14.25" x14ac:dyDescent="0.15">
      <c r="A631" s="30"/>
      <c r="B631" s="25"/>
      <c r="G631" s="25"/>
    </row>
    <row r="632" spans="1:7" ht="14.25" x14ac:dyDescent="0.15">
      <c r="A632" s="25"/>
      <c r="B632" s="25"/>
      <c r="G632" s="25"/>
    </row>
    <row r="633" spans="1:7" ht="14.25" x14ac:dyDescent="0.15">
      <c r="A633" s="30"/>
      <c r="B633" s="25"/>
      <c r="G633" s="25"/>
    </row>
    <row r="634" spans="1:7" ht="14.25" x14ac:dyDescent="0.15">
      <c r="A634" s="25"/>
      <c r="B634" s="25"/>
      <c r="G634" s="25"/>
    </row>
    <row r="635" spans="1:7" ht="14.25" x14ac:dyDescent="0.15">
      <c r="A635" s="30"/>
      <c r="B635" s="25"/>
      <c r="G635" s="25"/>
    </row>
    <row r="636" spans="1:7" ht="14.25" x14ac:dyDescent="0.15">
      <c r="A636" s="25"/>
      <c r="B636" s="25"/>
      <c r="G636" s="25"/>
    </row>
    <row r="637" spans="1:7" ht="14.25" x14ac:dyDescent="0.15">
      <c r="A637" s="30"/>
      <c r="B637" s="25"/>
      <c r="G637" s="25"/>
    </row>
    <row r="638" spans="1:7" ht="14.25" x14ac:dyDescent="0.15">
      <c r="A638" s="25"/>
      <c r="B638" s="25"/>
      <c r="G638" s="25"/>
    </row>
    <row r="639" spans="1:7" ht="14.25" x14ac:dyDescent="0.15">
      <c r="A639" s="30"/>
      <c r="B639" s="25"/>
      <c r="G639" s="25"/>
    </row>
    <row r="640" spans="1:7" ht="14.25" x14ac:dyDescent="0.15">
      <c r="A640" s="25"/>
      <c r="B640" s="25"/>
      <c r="G640" s="25"/>
    </row>
    <row r="641" spans="1:7" ht="14.25" x14ac:dyDescent="0.15">
      <c r="A641" s="30"/>
      <c r="B641" s="25"/>
      <c r="G641" s="25"/>
    </row>
    <row r="642" spans="1:7" ht="14.25" x14ac:dyDescent="0.15">
      <c r="A642" s="25"/>
      <c r="B642" s="25"/>
      <c r="G642" s="25"/>
    </row>
    <row r="643" spans="1:7" ht="14.25" x14ac:dyDescent="0.15">
      <c r="A643" s="30"/>
      <c r="B643" s="25"/>
      <c r="G643" s="25"/>
    </row>
    <row r="644" spans="1:7" ht="14.25" x14ac:dyDescent="0.15">
      <c r="A644" s="25"/>
      <c r="B644" s="25"/>
      <c r="G644" s="25"/>
    </row>
    <row r="645" spans="1:7" ht="14.25" x14ac:dyDescent="0.15">
      <c r="A645" s="30"/>
      <c r="B645" s="25"/>
      <c r="G645" s="25"/>
    </row>
    <row r="646" spans="1:7" ht="14.25" x14ac:dyDescent="0.15">
      <c r="A646" s="25"/>
      <c r="B646" s="25"/>
      <c r="G646" s="25"/>
    </row>
    <row r="647" spans="1:7" ht="14.25" x14ac:dyDescent="0.15">
      <c r="A647" s="30"/>
      <c r="B647" s="25"/>
      <c r="G647" s="25"/>
    </row>
    <row r="648" spans="1:7" ht="14.25" x14ac:dyDescent="0.15">
      <c r="A648" s="25"/>
      <c r="B648" s="25"/>
      <c r="G648" s="25"/>
    </row>
    <row r="649" spans="1:7" ht="14.25" x14ac:dyDescent="0.15">
      <c r="A649" s="30"/>
      <c r="B649" s="25"/>
      <c r="G649" s="25"/>
    </row>
    <row r="650" spans="1:7" ht="14.25" x14ac:dyDescent="0.15">
      <c r="A650" s="25"/>
      <c r="B650" s="25"/>
      <c r="G650" s="25"/>
    </row>
    <row r="651" spans="1:7" ht="14.25" x14ac:dyDescent="0.15">
      <c r="A651" s="30"/>
      <c r="B651" s="25"/>
      <c r="G651" s="25"/>
    </row>
    <row r="652" spans="1:7" ht="14.25" x14ac:dyDescent="0.15">
      <c r="A652" s="25"/>
      <c r="B652" s="25"/>
      <c r="G652" s="25"/>
    </row>
    <row r="653" spans="1:7" ht="14.25" x14ac:dyDescent="0.15">
      <c r="A653" s="30"/>
      <c r="B653" s="25"/>
      <c r="G653" s="25"/>
    </row>
    <row r="654" spans="1:7" ht="14.25" x14ac:dyDescent="0.15">
      <c r="A654" s="25"/>
      <c r="B654" s="25"/>
      <c r="G654" s="25"/>
    </row>
    <row r="655" spans="1:7" ht="14.25" x14ac:dyDescent="0.15">
      <c r="A655" s="30"/>
      <c r="B655" s="25"/>
      <c r="G655" s="25"/>
    </row>
    <row r="656" spans="1:7" ht="14.25" x14ac:dyDescent="0.15">
      <c r="A656" s="25"/>
      <c r="B656" s="25"/>
      <c r="G656" s="25"/>
    </row>
    <row r="657" spans="1:7" ht="14.25" x14ac:dyDescent="0.15">
      <c r="A657" s="30"/>
      <c r="B657" s="25"/>
      <c r="G657" s="25"/>
    </row>
    <row r="658" spans="1:7" ht="14.25" x14ac:dyDescent="0.15">
      <c r="A658" s="25"/>
      <c r="B658" s="25"/>
      <c r="G658" s="25"/>
    </row>
    <row r="659" spans="1:7" ht="14.25" x14ac:dyDescent="0.15">
      <c r="A659" s="30"/>
      <c r="B659" s="25"/>
      <c r="G659" s="25"/>
    </row>
    <row r="660" spans="1:7" ht="14.25" x14ac:dyDescent="0.15">
      <c r="A660" s="25"/>
      <c r="B660" s="25"/>
      <c r="G660" s="25"/>
    </row>
    <row r="661" spans="1:7" ht="14.25" x14ac:dyDescent="0.15">
      <c r="A661" s="30"/>
      <c r="B661" s="25"/>
      <c r="G661" s="25"/>
    </row>
    <row r="662" spans="1:7" ht="14.25" x14ac:dyDescent="0.15">
      <c r="A662" s="25"/>
      <c r="B662" s="25"/>
      <c r="G662" s="25"/>
    </row>
    <row r="663" spans="1:7" ht="14.25" x14ac:dyDescent="0.15">
      <c r="A663" s="30"/>
      <c r="B663" s="25"/>
      <c r="G663" s="25"/>
    </row>
    <row r="664" spans="1:7" ht="14.25" x14ac:dyDescent="0.15">
      <c r="A664" s="25"/>
      <c r="B664" s="25"/>
      <c r="G664" s="25"/>
    </row>
    <row r="665" spans="1:7" ht="14.25" x14ac:dyDescent="0.15">
      <c r="A665" s="30"/>
      <c r="B665" s="25"/>
      <c r="G665" s="25"/>
    </row>
    <row r="666" spans="1:7" ht="14.25" x14ac:dyDescent="0.15">
      <c r="A666" s="25"/>
      <c r="B666" s="25"/>
      <c r="G666" s="25"/>
    </row>
    <row r="667" spans="1:7" ht="14.25" x14ac:dyDescent="0.15">
      <c r="A667" s="30"/>
      <c r="B667" s="25"/>
      <c r="G667" s="25"/>
    </row>
    <row r="668" spans="1:7" ht="14.25" x14ac:dyDescent="0.15">
      <c r="A668" s="25"/>
      <c r="B668" s="25"/>
      <c r="G668" s="25"/>
    </row>
    <row r="669" spans="1:7" ht="14.25" x14ac:dyDescent="0.15">
      <c r="A669" s="30"/>
      <c r="B669" s="25"/>
      <c r="G669" s="25"/>
    </row>
    <row r="670" spans="1:7" ht="14.25" x14ac:dyDescent="0.15">
      <c r="A670" s="25"/>
      <c r="B670" s="25"/>
      <c r="G670" s="25"/>
    </row>
    <row r="671" spans="1:7" ht="14.25" x14ac:dyDescent="0.15">
      <c r="A671" s="30"/>
      <c r="B671" s="25"/>
      <c r="G671" s="25"/>
    </row>
    <row r="672" spans="1:7" ht="14.25" x14ac:dyDescent="0.15">
      <c r="A672" s="25"/>
      <c r="B672" s="25"/>
      <c r="G672" s="25"/>
    </row>
    <row r="673" spans="1:7" ht="14.25" x14ac:dyDescent="0.15">
      <c r="A673" s="30"/>
      <c r="B673" s="25"/>
      <c r="G673" s="25"/>
    </row>
    <row r="674" spans="1:7" ht="14.25" x14ac:dyDescent="0.15">
      <c r="A674" s="25"/>
      <c r="B674" s="25"/>
      <c r="G674" s="25"/>
    </row>
    <row r="675" spans="1:7" ht="14.25" x14ac:dyDescent="0.15">
      <c r="A675" s="30"/>
      <c r="B675" s="25"/>
      <c r="G675" s="25"/>
    </row>
    <row r="676" spans="1:7" ht="14.25" x14ac:dyDescent="0.15">
      <c r="A676" s="25"/>
      <c r="B676" s="25"/>
      <c r="G676" s="25"/>
    </row>
    <row r="677" spans="1:7" ht="14.25" x14ac:dyDescent="0.15">
      <c r="A677" s="30"/>
      <c r="B677" s="25"/>
      <c r="G677" s="25"/>
    </row>
    <row r="678" spans="1:7" ht="14.25" x14ac:dyDescent="0.15">
      <c r="A678" s="25"/>
      <c r="B678" s="25"/>
      <c r="G678" s="25"/>
    </row>
    <row r="679" spans="1:7" ht="14.25" x14ac:dyDescent="0.15">
      <c r="A679" s="30"/>
      <c r="B679" s="25"/>
      <c r="G679" s="25"/>
    </row>
    <row r="680" spans="1:7" ht="14.25" x14ac:dyDescent="0.15">
      <c r="A680" s="25"/>
      <c r="B680" s="25"/>
      <c r="G680" s="25"/>
    </row>
    <row r="681" spans="1:7" ht="14.25" x14ac:dyDescent="0.15">
      <c r="A681" s="30"/>
      <c r="B681" s="25"/>
      <c r="G681" s="25"/>
    </row>
    <row r="682" spans="1:7" ht="14.25" x14ac:dyDescent="0.15">
      <c r="A682" s="25"/>
      <c r="B682" s="25"/>
      <c r="G682" s="25"/>
    </row>
    <row r="683" spans="1:7" ht="14.25" x14ac:dyDescent="0.15">
      <c r="A683" s="30"/>
      <c r="B683" s="25"/>
      <c r="G683" s="25"/>
    </row>
    <row r="684" spans="1:7" ht="14.25" x14ac:dyDescent="0.15">
      <c r="A684" s="25"/>
      <c r="B684" s="25"/>
      <c r="G684" s="25"/>
    </row>
    <row r="685" spans="1:7" ht="14.25" x14ac:dyDescent="0.15">
      <c r="A685" s="30"/>
      <c r="B685" s="25"/>
      <c r="G685" s="25"/>
    </row>
    <row r="686" spans="1:7" ht="14.25" x14ac:dyDescent="0.15">
      <c r="A686" s="25"/>
      <c r="B686" s="25"/>
      <c r="G686" s="25"/>
    </row>
    <row r="687" spans="1:7" ht="14.25" x14ac:dyDescent="0.15">
      <c r="A687" s="30"/>
      <c r="B687" s="25"/>
      <c r="G687" s="25"/>
    </row>
    <row r="688" spans="1:7" ht="14.25" x14ac:dyDescent="0.15">
      <c r="A688" s="25"/>
      <c r="B688" s="25"/>
      <c r="G688" s="25"/>
    </row>
    <row r="689" spans="1:7" ht="14.25" x14ac:dyDescent="0.15">
      <c r="A689" s="30"/>
      <c r="B689" s="25"/>
      <c r="G689" s="25"/>
    </row>
    <row r="690" spans="1:7" ht="14.25" x14ac:dyDescent="0.15">
      <c r="A690" s="25"/>
      <c r="B690" s="25"/>
      <c r="G690" s="25"/>
    </row>
    <row r="691" spans="1:7" ht="14.25" x14ac:dyDescent="0.15">
      <c r="A691" s="30"/>
      <c r="B691" s="25"/>
      <c r="G691" s="25"/>
    </row>
    <row r="692" spans="1:7" ht="14.25" x14ac:dyDescent="0.15">
      <c r="A692" s="25"/>
      <c r="B692" s="25"/>
      <c r="G692" s="25"/>
    </row>
    <row r="693" spans="1:7" ht="14.25" x14ac:dyDescent="0.15">
      <c r="A693" s="30"/>
      <c r="B693" s="25"/>
      <c r="G693" s="25"/>
    </row>
    <row r="694" spans="1:7" ht="14.25" x14ac:dyDescent="0.15">
      <c r="A694" s="25"/>
      <c r="B694" s="25"/>
      <c r="G694" s="25"/>
    </row>
    <row r="695" spans="1:7" ht="14.25" x14ac:dyDescent="0.15">
      <c r="A695" s="30"/>
      <c r="B695" s="25"/>
      <c r="G695" s="25"/>
    </row>
    <row r="696" spans="1:7" ht="14.25" x14ac:dyDescent="0.15">
      <c r="A696" s="25"/>
      <c r="B696" s="25"/>
      <c r="G696" s="25"/>
    </row>
    <row r="697" spans="1:7" ht="14.25" x14ac:dyDescent="0.15">
      <c r="A697" s="30"/>
      <c r="B697" s="25"/>
      <c r="G697" s="25"/>
    </row>
    <row r="698" spans="1:7" ht="14.25" x14ac:dyDescent="0.15">
      <c r="A698" s="25"/>
      <c r="B698" s="25"/>
      <c r="G698" s="25"/>
    </row>
    <row r="699" spans="1:7" ht="14.25" x14ac:dyDescent="0.15">
      <c r="A699" s="30"/>
      <c r="B699" s="25"/>
      <c r="G699" s="25"/>
    </row>
    <row r="700" spans="1:7" ht="14.25" x14ac:dyDescent="0.15">
      <c r="A700" s="25"/>
      <c r="B700" s="25"/>
      <c r="G700" s="25"/>
    </row>
    <row r="701" spans="1:7" ht="14.25" x14ac:dyDescent="0.15">
      <c r="A701" s="30"/>
      <c r="B701" s="25"/>
      <c r="G701" s="25"/>
    </row>
    <row r="702" spans="1:7" ht="14.25" x14ac:dyDescent="0.15">
      <c r="A702" s="25"/>
      <c r="B702" s="25"/>
      <c r="G702" s="25"/>
    </row>
    <row r="703" spans="1:7" ht="14.25" x14ac:dyDescent="0.15">
      <c r="A703" s="30"/>
      <c r="B703" s="25"/>
      <c r="G703" s="25"/>
    </row>
    <row r="704" spans="1:7" ht="14.25" x14ac:dyDescent="0.15">
      <c r="A704" s="25"/>
      <c r="B704" s="25"/>
      <c r="G704" s="25"/>
    </row>
    <row r="705" spans="1:7" ht="14.25" x14ac:dyDescent="0.15">
      <c r="A705" s="30"/>
      <c r="B705" s="25"/>
      <c r="G705" s="25"/>
    </row>
    <row r="706" spans="1:7" ht="14.25" x14ac:dyDescent="0.15">
      <c r="A706" s="25"/>
      <c r="B706" s="25"/>
      <c r="G706" s="25"/>
    </row>
    <row r="707" spans="1:7" ht="14.25" x14ac:dyDescent="0.15">
      <c r="A707" s="30"/>
      <c r="B707" s="25"/>
      <c r="G707" s="25"/>
    </row>
    <row r="708" spans="1:7" ht="14.25" x14ac:dyDescent="0.15">
      <c r="A708" s="25"/>
      <c r="B708" s="25"/>
      <c r="G708" s="25"/>
    </row>
    <row r="709" spans="1:7" ht="14.25" x14ac:dyDescent="0.15">
      <c r="A709" s="30"/>
      <c r="B709" s="25"/>
      <c r="G709" s="25"/>
    </row>
    <row r="710" spans="1:7" ht="14.25" x14ac:dyDescent="0.15">
      <c r="A710" s="25"/>
      <c r="B710" s="25"/>
      <c r="G710" s="25"/>
    </row>
    <row r="711" spans="1:7" ht="14.25" x14ac:dyDescent="0.15">
      <c r="A711" s="30"/>
      <c r="B711" s="25"/>
      <c r="G711" s="25"/>
    </row>
    <row r="712" spans="1:7" ht="14.25" x14ac:dyDescent="0.15">
      <c r="A712" s="25"/>
      <c r="B712" s="25"/>
      <c r="G712" s="25"/>
    </row>
    <row r="713" spans="1:7" ht="14.25" x14ac:dyDescent="0.15">
      <c r="A713" s="30"/>
      <c r="B713" s="25"/>
      <c r="G713" s="25"/>
    </row>
    <row r="714" spans="1:7" ht="14.25" x14ac:dyDescent="0.15">
      <c r="A714" s="25"/>
      <c r="B714" s="25"/>
      <c r="G714" s="25"/>
    </row>
    <row r="715" spans="1:7" ht="14.25" x14ac:dyDescent="0.15">
      <c r="A715" s="30"/>
      <c r="B715" s="25"/>
      <c r="G715" s="25"/>
    </row>
    <row r="716" spans="1:7" ht="14.25" x14ac:dyDescent="0.15">
      <c r="A716" s="25"/>
      <c r="B716" s="25"/>
      <c r="G716" s="25"/>
    </row>
    <row r="717" spans="1:7" ht="14.25" x14ac:dyDescent="0.15">
      <c r="A717" s="30"/>
      <c r="B717" s="25"/>
      <c r="G717" s="25"/>
    </row>
    <row r="718" spans="1:7" ht="14.25" x14ac:dyDescent="0.15">
      <c r="A718" s="25"/>
      <c r="B718" s="25"/>
      <c r="G718" s="25"/>
    </row>
    <row r="719" spans="1:7" ht="14.25" x14ac:dyDescent="0.15">
      <c r="A719" s="30"/>
      <c r="B719" s="25"/>
      <c r="G719" s="25"/>
    </row>
    <row r="720" spans="1:7" ht="14.25" x14ac:dyDescent="0.15">
      <c r="A720" s="25"/>
      <c r="B720" s="25"/>
      <c r="G720" s="25"/>
    </row>
    <row r="721" spans="1:7" ht="14.25" x14ac:dyDescent="0.15">
      <c r="A721" s="30"/>
      <c r="B721" s="25"/>
      <c r="G721" s="25"/>
    </row>
    <row r="722" spans="1:7" ht="14.25" x14ac:dyDescent="0.15">
      <c r="A722" s="25"/>
      <c r="B722" s="25"/>
      <c r="G722" s="25"/>
    </row>
    <row r="723" spans="1:7" ht="14.25" x14ac:dyDescent="0.15">
      <c r="A723" s="30"/>
      <c r="B723" s="25"/>
      <c r="G723" s="25"/>
    </row>
    <row r="724" spans="1:7" ht="14.25" x14ac:dyDescent="0.15">
      <c r="A724" s="25"/>
      <c r="B724" s="25"/>
      <c r="G724" s="25"/>
    </row>
    <row r="725" spans="1:7" ht="14.25" x14ac:dyDescent="0.15">
      <c r="A725" s="30"/>
      <c r="B725" s="25"/>
      <c r="G725" s="25"/>
    </row>
    <row r="726" spans="1:7" ht="14.25" x14ac:dyDescent="0.15">
      <c r="A726" s="25"/>
      <c r="B726" s="25"/>
      <c r="G726" s="25"/>
    </row>
    <row r="727" spans="1:7" ht="14.25" x14ac:dyDescent="0.15">
      <c r="A727" s="30"/>
      <c r="B727" s="25"/>
      <c r="G727" s="25"/>
    </row>
    <row r="728" spans="1:7" ht="14.25" x14ac:dyDescent="0.15">
      <c r="A728" s="25"/>
      <c r="B728" s="25"/>
      <c r="G728" s="25"/>
    </row>
    <row r="729" spans="1:7" ht="14.25" x14ac:dyDescent="0.15">
      <c r="A729" s="30"/>
      <c r="B729" s="25"/>
      <c r="G729" s="25"/>
    </row>
  </sheetData>
  <phoneticPr fontId="34" type="noConversion"/>
  <conditionalFormatting sqref="C9">
    <cfRule type="duplicateValues" dxfId="23" priority="6"/>
  </conditionalFormatting>
  <conditionalFormatting sqref="C10">
    <cfRule type="duplicateValues" dxfId="22" priority="4"/>
  </conditionalFormatting>
  <conditionalFormatting sqref="C11">
    <cfRule type="duplicateValues" dxfId="21" priority="2"/>
  </conditionalFormatting>
  <conditionalFormatting sqref="B31">
    <cfRule type="duplicateValues" dxfId="20" priority="1"/>
  </conditionalFormatting>
  <conditionalFormatting sqref="B730:B1048576">
    <cfRule type="duplicateValues" dxfId="19" priority="8"/>
  </conditionalFormatting>
  <conditionalFormatting sqref="B1:B9 B12 B15 B18 B21 B24 B27 B30 B33 B35 B37 B39:B729">
    <cfRule type="duplicateValues" dxfId="18" priority="7"/>
  </conditionalFormatting>
  <conditionalFormatting sqref="B10 B13 B16 B19 B22 B25 B28">
    <cfRule type="duplicateValues" dxfId="17" priority="5"/>
  </conditionalFormatting>
  <conditionalFormatting sqref="B11 B14 B17 B20 B23 B26 B29 B32 B34 B36 B38">
    <cfRule type="duplicateValues" dxfId="16" priority="3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97"/>
  <sheetViews>
    <sheetView workbookViewId="0">
      <pane ySplit="8" topLeftCell="A9" activePane="bottomLeft" state="frozen"/>
      <selection pane="bottomLeft" activeCell="N22" sqref="N22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5" width="12.5" style="16" customWidth="1"/>
    <col min="6" max="6" width="9.5" style="16" customWidth="1"/>
    <col min="7" max="8" width="11.875" style="16" customWidth="1"/>
    <col min="9" max="9" width="12.25" style="16" customWidth="1"/>
    <col min="10" max="10" width="26.25" style="16" customWidth="1"/>
    <col min="11" max="11" width="9" style="16"/>
    <col min="12" max="12" width="26.75" style="16" customWidth="1"/>
    <col min="13" max="13" width="15.875" style="16" customWidth="1"/>
    <col min="14" max="14" width="18.625" style="16" customWidth="1"/>
    <col min="15" max="15" width="9" style="16"/>
    <col min="16" max="16" width="12.25" style="16" customWidth="1"/>
    <col min="17" max="16384" width="9" style="16"/>
  </cols>
  <sheetData>
    <row r="1" spans="1:16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  <c r="F1" s="5" t="s">
        <v>41</v>
      </c>
      <c r="G1" s="5" t="s">
        <v>41</v>
      </c>
      <c r="H1" s="5" t="s">
        <v>41</v>
      </c>
      <c r="I1" s="5" t="s">
        <v>41</v>
      </c>
      <c r="J1" s="5" t="s">
        <v>41</v>
      </c>
      <c r="P1" s="5" t="s">
        <v>41</v>
      </c>
    </row>
    <row r="2" spans="1:16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  <c r="L2" s="5" t="s">
        <v>41</v>
      </c>
      <c r="M2" s="5" t="s">
        <v>41</v>
      </c>
      <c r="N2" s="5" t="s">
        <v>41</v>
      </c>
      <c r="O2" s="5" t="s">
        <v>41</v>
      </c>
    </row>
    <row r="3" spans="1:16" s="6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43</v>
      </c>
      <c r="F3" s="6" t="s">
        <v>43</v>
      </c>
      <c r="G3" s="6" t="s">
        <v>44</v>
      </c>
      <c r="H3" s="6" t="s">
        <v>44</v>
      </c>
      <c r="I3" s="6" t="s">
        <v>43</v>
      </c>
      <c r="J3" s="6" t="s">
        <v>43</v>
      </c>
      <c r="K3" s="6" t="s">
        <v>44</v>
      </c>
      <c r="L3" s="6" t="s">
        <v>44</v>
      </c>
      <c r="M3" s="6" t="s">
        <v>44</v>
      </c>
      <c r="N3" s="6" t="s">
        <v>44</v>
      </c>
      <c r="O3" s="6" t="s">
        <v>43</v>
      </c>
      <c r="P3" s="6" t="s">
        <v>43</v>
      </c>
    </row>
    <row r="4" spans="1:16" s="6" customFormat="1" ht="14.25" x14ac:dyDescent="0.15">
      <c r="B4" s="6" t="s">
        <v>45</v>
      </c>
      <c r="C4" s="6" t="s">
        <v>46</v>
      </c>
      <c r="D4" s="6" t="s">
        <v>180</v>
      </c>
      <c r="E4" s="6" t="s">
        <v>47</v>
      </c>
      <c r="F4" s="6" t="s">
        <v>229</v>
      </c>
      <c r="G4" s="6" t="s">
        <v>230</v>
      </c>
      <c r="H4" s="6" t="s">
        <v>231</v>
      </c>
      <c r="I4" s="6" t="s">
        <v>232</v>
      </c>
      <c r="J4" s="6" t="s">
        <v>233</v>
      </c>
      <c r="K4" s="6" t="s">
        <v>234</v>
      </c>
      <c r="L4" s="6" t="s">
        <v>235</v>
      </c>
      <c r="M4" s="6" t="s">
        <v>236</v>
      </c>
      <c r="N4" s="6" t="s">
        <v>237</v>
      </c>
      <c r="O4" s="6" t="s">
        <v>238</v>
      </c>
      <c r="P4" s="6" t="s">
        <v>239</v>
      </c>
    </row>
    <row r="5" spans="1:16" s="6" customFormat="1" ht="14.25" x14ac:dyDescent="0.15">
      <c r="B5" s="6" t="str">
        <f t="shared" ref="B5:H5" si="0">IF(B3="","",IF(B3="INT","i",IF(B3="FLOAT","f",IF(B3="STRING","s"))))</f>
        <v>i</v>
      </c>
      <c r="C5" s="6" t="str">
        <f t="shared" si="0"/>
        <v>i</v>
      </c>
      <c r="D5" s="6" t="str">
        <f t="shared" si="0"/>
        <v>i</v>
      </c>
      <c r="E5" s="6" t="str">
        <f t="shared" si="0"/>
        <v>i</v>
      </c>
      <c r="F5" s="6" t="str">
        <f t="shared" ref="F5:I5" si="1">IF(F3="","",IF(F3="INT","i",IF(F3="FLOAT","f",IF(F3="STRING","s"))))</f>
        <v>i</v>
      </c>
      <c r="G5" s="6" t="str">
        <f t="shared" si="0"/>
        <v>s</v>
      </c>
      <c r="H5" s="6" t="str">
        <f t="shared" si="0"/>
        <v>s</v>
      </c>
      <c r="I5" s="6" t="str">
        <f t="shared" si="1"/>
        <v>i</v>
      </c>
      <c r="J5" s="6" t="str">
        <f t="shared" ref="J5" si="2">IF(J3="","",IF(J3="INT","i",IF(J3="FLOAT","f",IF(J3="STRING","s"))))</f>
        <v>i</v>
      </c>
      <c r="K5" s="6" t="s">
        <v>240</v>
      </c>
      <c r="L5" s="6" t="str">
        <f>IF(L3="","",IF(L3="INT","i",IF(L3="FLOAT","f",IF(L3="STRING","s"))))</f>
        <v>s</v>
      </c>
      <c r="M5" s="6" t="s">
        <v>240</v>
      </c>
      <c r="N5" s="6" t="str">
        <f>IF(N3="","",IF(N3="INT","i",IF(N3="FLOAT","f",IF(N3="STRING","s"))))</f>
        <v>s</v>
      </c>
      <c r="O5" s="6" t="str">
        <f t="shared" ref="O5:P5" si="3">IF(O3="","",IF(O3="INT","i",IF(O3="FLOAT","f",IF(O3="STRING","s"))))</f>
        <v>i</v>
      </c>
      <c r="P5" s="6" t="str">
        <f t="shared" si="3"/>
        <v>i</v>
      </c>
    </row>
    <row r="6" spans="1:16" s="6" customFormat="1" ht="14.25" x14ac:dyDescent="0.15">
      <c r="A6" s="6" t="s">
        <v>41</v>
      </c>
      <c r="B6" s="6" t="str">
        <f t="shared" ref="B6:E6" si="4">B5&amp;B4</f>
        <v>iID</v>
      </c>
      <c r="C6" s="6" t="str">
        <f t="shared" si="4"/>
        <v>iBuildingID</v>
      </c>
      <c r="D6" s="6" t="str">
        <f t="shared" si="4"/>
        <v>iSubID</v>
      </c>
      <c r="E6" s="6" t="str">
        <f t="shared" si="4"/>
        <v>iBuildingType</v>
      </c>
      <c r="F6" s="6" t="str">
        <f t="shared" ref="F6:I6" si="5">F5&amp;F4</f>
        <v>iUnlockLvl</v>
      </c>
      <c r="G6" s="6" t="str">
        <f t="shared" si="5"/>
        <v>sProductItem</v>
      </c>
      <c r="H6" s="6" t="str">
        <f t="shared" si="5"/>
        <v>sUnlockPrice</v>
      </c>
      <c r="I6" s="6" t="str">
        <f t="shared" si="5"/>
        <v>iSpeedRate</v>
      </c>
      <c r="J6" s="6" t="str">
        <f t="shared" ref="J6" si="6">J5&amp;J4</f>
        <v>iInitSpeed</v>
      </c>
      <c r="K6" s="6" t="s">
        <v>241</v>
      </c>
      <c r="L6" s="6" t="str">
        <f t="shared" ref="L6:P6" si="7">L5&amp;L4</f>
        <v>sBuildName</v>
      </c>
      <c r="M6" s="6" t="s">
        <v>242</v>
      </c>
      <c r="N6" s="6" t="str">
        <f>N5&amp;N4</f>
        <v>sNormalBg</v>
      </c>
      <c r="O6" s="6" t="str">
        <f t="shared" si="7"/>
        <v>iScreenID</v>
      </c>
      <c r="P6" s="6" t="str">
        <f t="shared" si="7"/>
        <v>iSpeedProp</v>
      </c>
    </row>
    <row r="7" spans="1:16" s="6" customFormat="1" ht="43.15" customHeight="1" x14ac:dyDescent="0.15">
      <c r="B7" s="6" t="s">
        <v>52</v>
      </c>
      <c r="C7" s="6" t="s">
        <v>53</v>
      </c>
      <c r="D7" s="6" t="s">
        <v>184</v>
      </c>
      <c r="E7" s="6" t="s">
        <v>54</v>
      </c>
      <c r="F7" s="6" t="s">
        <v>243</v>
      </c>
      <c r="G7" s="6" t="s">
        <v>244</v>
      </c>
      <c r="H7" s="6" t="s">
        <v>245</v>
      </c>
      <c r="I7" s="6" t="s">
        <v>246</v>
      </c>
      <c r="J7" s="6" t="s">
        <v>247</v>
      </c>
      <c r="K7" s="6" t="s">
        <v>248</v>
      </c>
      <c r="L7" s="6" t="s">
        <v>195</v>
      </c>
      <c r="M7" s="6" t="s">
        <v>249</v>
      </c>
      <c r="N7" s="6" t="s">
        <v>250</v>
      </c>
      <c r="O7" s="6" t="s">
        <v>251</v>
      </c>
      <c r="P7" s="6" t="s">
        <v>252</v>
      </c>
    </row>
    <row r="8" spans="1:16" s="6" customFormat="1" ht="14.25" x14ac:dyDescent="0.15">
      <c r="A8" s="6" t="s">
        <v>59</v>
      </c>
      <c r="B8" s="6" t="e">
        <f>MODE(B10:B943)</f>
        <v>#N/A</v>
      </c>
      <c r="D8" s="6">
        <v>0</v>
      </c>
      <c r="E8" s="6">
        <v>0</v>
      </c>
      <c r="F8" s="6">
        <v>0</v>
      </c>
      <c r="O8" s="6">
        <v>0</v>
      </c>
      <c r="P8" s="6">
        <v>0</v>
      </c>
    </row>
    <row r="9" spans="1:16" s="12" customFormat="1" ht="50.25" customHeight="1" x14ac:dyDescent="0.15">
      <c r="I9" s="12" t="s">
        <v>253</v>
      </c>
      <c r="P9" s="57" t="s">
        <v>254</v>
      </c>
    </row>
    <row r="10" spans="1:16" ht="14.25" x14ac:dyDescent="0.15">
      <c r="A10" s="25" t="s">
        <v>41</v>
      </c>
      <c r="B10" s="25">
        <v>1</v>
      </c>
      <c r="C10" s="25">
        <v>90003</v>
      </c>
      <c r="D10" s="25">
        <v>1</v>
      </c>
      <c r="E10" s="25">
        <v>3</v>
      </c>
      <c r="F10" s="56">
        <v>1</v>
      </c>
      <c r="G10" s="25" t="s">
        <v>1179</v>
      </c>
      <c r="H10" s="25" t="s">
        <v>203</v>
      </c>
      <c r="I10" s="25">
        <v>115</v>
      </c>
      <c r="J10" s="25">
        <v>156</v>
      </c>
      <c r="K10" s="58" t="s">
        <v>1181</v>
      </c>
      <c r="L10" s="59" t="s">
        <v>204</v>
      </c>
      <c r="M10" s="16" t="s">
        <v>256</v>
      </c>
      <c r="N10" s="59" t="s">
        <v>257</v>
      </c>
      <c r="O10" s="16">
        <v>3</v>
      </c>
      <c r="P10" s="25">
        <v>1</v>
      </c>
    </row>
    <row r="11" spans="1:16" s="38" customFormat="1" ht="14.25" x14ac:dyDescent="0.15">
      <c r="A11" s="30" t="s">
        <v>41</v>
      </c>
      <c r="B11" s="30">
        <v>2</v>
      </c>
      <c r="C11" s="25">
        <v>90003</v>
      </c>
      <c r="D11" s="25">
        <v>2</v>
      </c>
      <c r="E11" s="25">
        <v>3</v>
      </c>
      <c r="F11" s="56">
        <v>4</v>
      </c>
      <c r="G11" s="25" t="s">
        <v>258</v>
      </c>
      <c r="H11" s="25" t="s">
        <v>205</v>
      </c>
      <c r="I11" s="25">
        <v>157</v>
      </c>
      <c r="J11" s="25">
        <v>313</v>
      </c>
      <c r="K11" s="60" t="s">
        <v>1182</v>
      </c>
      <c r="L11" s="59" t="s">
        <v>206</v>
      </c>
      <c r="M11" s="66" t="s">
        <v>259</v>
      </c>
      <c r="N11" s="59" t="s">
        <v>257</v>
      </c>
      <c r="O11" s="16">
        <v>3</v>
      </c>
      <c r="P11" s="25">
        <v>1</v>
      </c>
    </row>
    <row r="12" spans="1:16" ht="14.25" x14ac:dyDescent="0.15">
      <c r="A12" s="25" t="s">
        <v>41</v>
      </c>
      <c r="B12" s="25">
        <v>3</v>
      </c>
      <c r="C12" s="25">
        <v>90003</v>
      </c>
      <c r="D12" s="25">
        <v>3</v>
      </c>
      <c r="E12" s="25">
        <v>3</v>
      </c>
      <c r="F12" s="56">
        <v>11</v>
      </c>
      <c r="G12" s="25" t="s">
        <v>1180</v>
      </c>
      <c r="H12" s="25" t="s">
        <v>199</v>
      </c>
      <c r="I12" s="25">
        <v>215</v>
      </c>
      <c r="J12" s="25">
        <v>626</v>
      </c>
      <c r="K12" s="58" t="s">
        <v>1183</v>
      </c>
      <c r="L12" s="59" t="s">
        <v>207</v>
      </c>
      <c r="M12" s="16" t="s">
        <v>260</v>
      </c>
      <c r="N12" s="59" t="s">
        <v>257</v>
      </c>
      <c r="O12" s="16">
        <v>3</v>
      </c>
      <c r="P12" s="25">
        <v>1</v>
      </c>
    </row>
    <row r="13" spans="1:16" s="38" customFormat="1" ht="14.25" x14ac:dyDescent="0.15">
      <c r="A13" s="30" t="s">
        <v>41</v>
      </c>
      <c r="B13" s="30">
        <v>4</v>
      </c>
      <c r="C13" s="25">
        <v>90003</v>
      </c>
      <c r="D13" s="25">
        <v>4</v>
      </c>
      <c r="E13" s="25">
        <v>3</v>
      </c>
      <c r="F13" s="56">
        <v>16</v>
      </c>
      <c r="G13" s="25" t="s">
        <v>261</v>
      </c>
      <c r="H13" s="25" t="s">
        <v>201</v>
      </c>
      <c r="I13" s="25">
        <v>315</v>
      </c>
      <c r="J13" s="25">
        <v>1253</v>
      </c>
      <c r="K13" s="60" t="s">
        <v>1184</v>
      </c>
      <c r="L13" s="59" t="s">
        <v>208</v>
      </c>
      <c r="M13" s="66" t="s">
        <v>262</v>
      </c>
      <c r="N13" s="59" t="s">
        <v>257</v>
      </c>
      <c r="O13" s="16">
        <v>3</v>
      </c>
      <c r="P13" s="25">
        <v>1</v>
      </c>
    </row>
    <row r="14" spans="1:16" ht="14.25" x14ac:dyDescent="0.15">
      <c r="A14" s="25" t="s">
        <v>41</v>
      </c>
      <c r="B14" s="25">
        <v>5</v>
      </c>
      <c r="C14" s="25">
        <v>90003</v>
      </c>
      <c r="D14" s="25">
        <v>5</v>
      </c>
      <c r="E14" s="25">
        <v>3</v>
      </c>
      <c r="F14" s="56">
        <v>18</v>
      </c>
      <c r="G14" s="25" t="s">
        <v>263</v>
      </c>
      <c r="H14" s="25" t="s">
        <v>209</v>
      </c>
      <c r="I14" s="25">
        <v>396</v>
      </c>
      <c r="J14" s="25">
        <v>1880</v>
      </c>
      <c r="K14" s="58" t="s">
        <v>1185</v>
      </c>
      <c r="L14" s="59" t="s">
        <v>210</v>
      </c>
      <c r="M14" s="16" t="s">
        <v>264</v>
      </c>
      <c r="N14" s="59" t="s">
        <v>257</v>
      </c>
      <c r="O14" s="16">
        <v>3</v>
      </c>
      <c r="P14" s="25">
        <v>1</v>
      </c>
    </row>
    <row r="15" spans="1:16" s="38" customFormat="1" ht="14.25" x14ac:dyDescent="0.15">
      <c r="A15" s="30" t="s">
        <v>41</v>
      </c>
      <c r="B15" s="30">
        <v>6</v>
      </c>
      <c r="C15" s="25">
        <v>90003</v>
      </c>
      <c r="D15" s="25">
        <v>6</v>
      </c>
      <c r="E15" s="25">
        <v>3</v>
      </c>
      <c r="F15" s="56">
        <v>27</v>
      </c>
      <c r="G15" s="25" t="s">
        <v>265</v>
      </c>
      <c r="H15" s="25" t="s">
        <v>211</v>
      </c>
      <c r="I15" s="25">
        <v>388</v>
      </c>
      <c r="J15" s="25">
        <v>2506</v>
      </c>
      <c r="K15" s="60" t="s">
        <v>1186</v>
      </c>
      <c r="L15" s="59" t="s">
        <v>212</v>
      </c>
      <c r="M15" s="66" t="s">
        <v>266</v>
      </c>
      <c r="N15" s="59" t="s">
        <v>257</v>
      </c>
      <c r="O15" s="16">
        <v>3</v>
      </c>
      <c r="P15" s="25">
        <v>1</v>
      </c>
    </row>
    <row r="16" spans="1:16" ht="14.25" x14ac:dyDescent="0.15">
      <c r="A16" s="30" t="s">
        <v>1187</v>
      </c>
      <c r="B16" s="30">
        <v>7</v>
      </c>
      <c r="C16" s="25">
        <v>90004</v>
      </c>
      <c r="D16" s="25">
        <v>1</v>
      </c>
      <c r="E16" s="25">
        <v>4</v>
      </c>
      <c r="F16" s="25">
        <v>7</v>
      </c>
      <c r="G16" s="25" t="s">
        <v>267</v>
      </c>
      <c r="H16" s="25" t="s">
        <v>203</v>
      </c>
      <c r="I16" s="25">
        <v>87</v>
      </c>
      <c r="J16" s="25">
        <v>156</v>
      </c>
      <c r="K16" s="58" t="s">
        <v>1188</v>
      </c>
      <c r="L16" s="59" t="s">
        <v>213</v>
      </c>
      <c r="M16" s="67" t="s">
        <v>268</v>
      </c>
      <c r="N16" s="59" t="s">
        <v>269</v>
      </c>
      <c r="O16" s="16">
        <v>4</v>
      </c>
      <c r="P16" s="25">
        <v>2</v>
      </c>
    </row>
    <row r="17" spans="1:16" s="38" customFormat="1" ht="14.25" x14ac:dyDescent="0.15">
      <c r="A17" s="30" t="s">
        <v>41</v>
      </c>
      <c r="B17" s="30">
        <v>8</v>
      </c>
      <c r="C17" s="25">
        <v>90004</v>
      </c>
      <c r="D17" s="25">
        <v>2</v>
      </c>
      <c r="E17" s="25">
        <v>4</v>
      </c>
      <c r="F17" s="25">
        <v>9</v>
      </c>
      <c r="G17" s="25" t="s">
        <v>270</v>
      </c>
      <c r="H17" s="25" t="s">
        <v>205</v>
      </c>
      <c r="I17" s="25">
        <v>113</v>
      </c>
      <c r="J17" s="25">
        <v>313</v>
      </c>
      <c r="K17" s="60" t="s">
        <v>1189</v>
      </c>
      <c r="L17" s="59" t="s">
        <v>214</v>
      </c>
      <c r="M17" s="38" t="s">
        <v>271</v>
      </c>
      <c r="N17" s="59" t="s">
        <v>272</v>
      </c>
      <c r="O17" s="16">
        <v>4</v>
      </c>
      <c r="P17" s="25">
        <v>2</v>
      </c>
    </row>
    <row r="18" spans="1:16" ht="14.25" x14ac:dyDescent="0.15">
      <c r="A18" s="30" t="s">
        <v>41</v>
      </c>
      <c r="B18" s="30">
        <v>9</v>
      </c>
      <c r="C18" s="25">
        <v>90004</v>
      </c>
      <c r="D18" s="25">
        <v>3</v>
      </c>
      <c r="E18" s="25">
        <v>4</v>
      </c>
      <c r="F18" s="25">
        <v>17</v>
      </c>
      <c r="G18" s="25" t="s">
        <v>273</v>
      </c>
      <c r="H18" s="25" t="s">
        <v>199</v>
      </c>
      <c r="I18" s="25">
        <v>176</v>
      </c>
      <c r="J18" s="25">
        <v>626</v>
      </c>
      <c r="K18" s="58" t="s">
        <v>1190</v>
      </c>
      <c r="L18" s="59" t="s">
        <v>215</v>
      </c>
      <c r="M18" s="67" t="s">
        <v>274</v>
      </c>
      <c r="N18" s="59" t="s">
        <v>275</v>
      </c>
      <c r="O18" s="16">
        <v>4</v>
      </c>
      <c r="P18" s="25">
        <v>2</v>
      </c>
    </row>
    <row r="19" spans="1:16" s="38" customFormat="1" ht="14.25" x14ac:dyDescent="0.15">
      <c r="A19" s="30" t="s">
        <v>41</v>
      </c>
      <c r="B19" s="30">
        <v>10</v>
      </c>
      <c r="C19" s="25">
        <v>90004</v>
      </c>
      <c r="D19" s="25">
        <v>4</v>
      </c>
      <c r="E19" s="25">
        <v>4</v>
      </c>
      <c r="F19" s="25">
        <v>20</v>
      </c>
      <c r="G19" s="25" t="s">
        <v>276</v>
      </c>
      <c r="H19" s="25" t="s">
        <v>201</v>
      </c>
      <c r="I19" s="25">
        <v>272</v>
      </c>
      <c r="J19" s="25">
        <v>1253</v>
      </c>
      <c r="K19" s="60" t="s">
        <v>1193</v>
      </c>
      <c r="L19" s="59" t="s">
        <v>216</v>
      </c>
      <c r="M19" s="38" t="s">
        <v>277</v>
      </c>
      <c r="N19" s="59" t="s">
        <v>278</v>
      </c>
      <c r="O19" s="16">
        <v>4</v>
      </c>
      <c r="P19" s="25">
        <v>2</v>
      </c>
    </row>
    <row r="20" spans="1:16" ht="14.25" x14ac:dyDescent="0.15">
      <c r="A20" s="30" t="s">
        <v>41</v>
      </c>
      <c r="B20" s="30">
        <v>11</v>
      </c>
      <c r="C20" s="25">
        <v>90004</v>
      </c>
      <c r="D20" s="25">
        <v>5</v>
      </c>
      <c r="E20" s="25">
        <v>4</v>
      </c>
      <c r="F20" s="25">
        <v>23</v>
      </c>
      <c r="G20" s="25" t="s">
        <v>279</v>
      </c>
      <c r="H20" s="25" t="s">
        <v>209</v>
      </c>
      <c r="I20" s="25">
        <v>339</v>
      </c>
      <c r="J20" s="25">
        <v>1880</v>
      </c>
      <c r="K20" s="58" t="s">
        <v>1191</v>
      </c>
      <c r="L20" s="59" t="s">
        <v>217</v>
      </c>
      <c r="M20" s="61" t="s">
        <v>280</v>
      </c>
      <c r="N20" s="59" t="s">
        <v>281</v>
      </c>
      <c r="O20" s="16">
        <v>4</v>
      </c>
      <c r="P20" s="25">
        <v>2</v>
      </c>
    </row>
    <row r="21" spans="1:16" s="38" customFormat="1" ht="14.25" x14ac:dyDescent="0.15">
      <c r="A21" s="30" t="s">
        <v>41</v>
      </c>
      <c r="B21" s="30">
        <v>12</v>
      </c>
      <c r="C21" s="25">
        <v>90004</v>
      </c>
      <c r="D21" s="25">
        <v>6</v>
      </c>
      <c r="E21" s="25">
        <v>4</v>
      </c>
      <c r="F21" s="25">
        <v>32</v>
      </c>
      <c r="G21" s="25" t="s">
        <v>282</v>
      </c>
      <c r="H21" s="25" t="s">
        <v>211</v>
      </c>
      <c r="I21" s="25">
        <v>365</v>
      </c>
      <c r="J21" s="25">
        <v>2506</v>
      </c>
      <c r="K21" s="60" t="s">
        <v>1192</v>
      </c>
      <c r="L21" s="59" t="s">
        <v>218</v>
      </c>
      <c r="M21" s="66" t="s">
        <v>283</v>
      </c>
      <c r="N21" s="59" t="s">
        <v>284</v>
      </c>
      <c r="O21" s="16">
        <v>4</v>
      </c>
      <c r="P21" s="25">
        <v>2</v>
      </c>
    </row>
    <row r="22" spans="1:16" ht="14.25" x14ac:dyDescent="0.15">
      <c r="A22" s="30" t="s">
        <v>41</v>
      </c>
      <c r="B22" s="30">
        <v>13</v>
      </c>
      <c r="C22" s="25">
        <v>90005</v>
      </c>
      <c r="D22" s="25">
        <v>1</v>
      </c>
      <c r="E22" s="25">
        <v>5</v>
      </c>
      <c r="F22" s="25">
        <v>20</v>
      </c>
      <c r="G22" s="25" t="s">
        <v>285</v>
      </c>
      <c r="H22" s="25" t="s">
        <v>203</v>
      </c>
      <c r="I22" s="25">
        <v>87</v>
      </c>
      <c r="J22" s="25">
        <v>156</v>
      </c>
      <c r="K22" s="58" t="s">
        <v>1195</v>
      </c>
      <c r="L22" s="59" t="s">
        <v>219</v>
      </c>
      <c r="M22" s="67" t="s">
        <v>286</v>
      </c>
      <c r="N22" s="59" t="s">
        <v>1202</v>
      </c>
      <c r="O22" s="38">
        <v>5</v>
      </c>
      <c r="P22" s="25">
        <v>3</v>
      </c>
    </row>
    <row r="23" spans="1:16" s="38" customFormat="1" ht="14.25" x14ac:dyDescent="0.15">
      <c r="A23" s="30" t="s">
        <v>41</v>
      </c>
      <c r="B23" s="30">
        <v>14</v>
      </c>
      <c r="C23" s="25">
        <v>90005</v>
      </c>
      <c r="D23" s="25">
        <v>2</v>
      </c>
      <c r="E23" s="25">
        <v>5</v>
      </c>
      <c r="F23" s="25">
        <v>22</v>
      </c>
      <c r="G23" s="25" t="s">
        <v>287</v>
      </c>
      <c r="H23" s="25" t="s">
        <v>205</v>
      </c>
      <c r="I23" s="25">
        <v>103</v>
      </c>
      <c r="J23" s="25">
        <v>313</v>
      </c>
      <c r="K23" s="60" t="s">
        <v>1194</v>
      </c>
      <c r="L23" s="59" t="s">
        <v>220</v>
      </c>
      <c r="M23" s="38" t="s">
        <v>288</v>
      </c>
      <c r="N23" s="59" t="s">
        <v>289</v>
      </c>
      <c r="O23" s="38">
        <v>5</v>
      </c>
      <c r="P23" s="25">
        <v>3</v>
      </c>
    </row>
    <row r="24" spans="1:16" ht="14.25" x14ac:dyDescent="0.15">
      <c r="A24" s="30" t="s">
        <v>41</v>
      </c>
      <c r="B24" s="30">
        <v>15</v>
      </c>
      <c r="C24" s="25">
        <v>90005</v>
      </c>
      <c r="D24" s="25">
        <v>3</v>
      </c>
      <c r="E24" s="25">
        <v>5</v>
      </c>
      <c r="F24" s="25">
        <v>26</v>
      </c>
      <c r="G24" s="25" t="s">
        <v>290</v>
      </c>
      <c r="H24" s="25" t="s">
        <v>199</v>
      </c>
      <c r="I24" s="25">
        <v>126</v>
      </c>
      <c r="J24" s="25">
        <v>626</v>
      </c>
      <c r="K24" s="58" t="s">
        <v>1196</v>
      </c>
      <c r="L24" s="59" t="s">
        <v>221</v>
      </c>
      <c r="M24" s="67" t="s">
        <v>291</v>
      </c>
      <c r="N24" s="59" t="s">
        <v>292</v>
      </c>
      <c r="O24" s="38">
        <v>5</v>
      </c>
      <c r="P24" s="25">
        <v>3</v>
      </c>
    </row>
    <row r="25" spans="1:16" s="38" customFormat="1" ht="14.25" x14ac:dyDescent="0.15">
      <c r="A25" s="30" t="s">
        <v>41</v>
      </c>
      <c r="B25" s="30">
        <v>16</v>
      </c>
      <c r="C25" s="25">
        <v>90005</v>
      </c>
      <c r="D25" s="25">
        <v>4</v>
      </c>
      <c r="E25" s="25">
        <v>5</v>
      </c>
      <c r="F25" s="25">
        <v>30</v>
      </c>
      <c r="G25" s="25" t="s">
        <v>293</v>
      </c>
      <c r="H25" s="25" t="s">
        <v>201</v>
      </c>
      <c r="I25" s="25">
        <v>208</v>
      </c>
      <c r="J25" s="25">
        <v>1253</v>
      </c>
      <c r="K25" s="60" t="s">
        <v>1197</v>
      </c>
      <c r="L25" s="59" t="s">
        <v>222</v>
      </c>
      <c r="M25" s="38" t="s">
        <v>294</v>
      </c>
      <c r="N25" s="59" t="s">
        <v>295</v>
      </c>
      <c r="O25" s="38">
        <v>5</v>
      </c>
      <c r="P25" s="25">
        <v>3</v>
      </c>
    </row>
    <row r="26" spans="1:16" ht="14.25" x14ac:dyDescent="0.15">
      <c r="A26" s="30" t="s">
        <v>41</v>
      </c>
      <c r="B26" s="30">
        <v>17</v>
      </c>
      <c r="C26" s="25">
        <v>90005</v>
      </c>
      <c r="D26" s="25">
        <v>5</v>
      </c>
      <c r="E26" s="25">
        <v>5</v>
      </c>
      <c r="F26" s="25">
        <v>34</v>
      </c>
      <c r="G26" s="25" t="s">
        <v>296</v>
      </c>
      <c r="H26" s="25" t="s">
        <v>209</v>
      </c>
      <c r="I26" s="25">
        <v>284</v>
      </c>
      <c r="J26" s="25">
        <v>1880</v>
      </c>
      <c r="K26" s="58" t="s">
        <v>1198</v>
      </c>
      <c r="L26" s="59" t="s">
        <v>223</v>
      </c>
      <c r="M26" s="67" t="s">
        <v>297</v>
      </c>
      <c r="N26" s="59" t="s">
        <v>298</v>
      </c>
      <c r="O26" s="38">
        <v>5</v>
      </c>
      <c r="P26" s="25">
        <v>3</v>
      </c>
    </row>
    <row r="27" spans="1:16" s="38" customFormat="1" ht="14.25" x14ac:dyDescent="0.15">
      <c r="A27" s="30" t="s">
        <v>41</v>
      </c>
      <c r="B27" s="30">
        <v>18</v>
      </c>
      <c r="C27" s="25">
        <v>90005</v>
      </c>
      <c r="D27" s="25">
        <v>6</v>
      </c>
      <c r="E27" s="25">
        <v>5</v>
      </c>
      <c r="F27" s="25">
        <v>43</v>
      </c>
      <c r="G27" s="25" t="s">
        <v>299</v>
      </c>
      <c r="H27" s="25" t="s">
        <v>211</v>
      </c>
      <c r="I27" s="25">
        <v>323</v>
      </c>
      <c r="J27" s="25">
        <v>2506</v>
      </c>
      <c r="K27" s="60" t="s">
        <v>1199</v>
      </c>
      <c r="L27" s="59" t="s">
        <v>224</v>
      </c>
      <c r="M27" s="66" t="s">
        <v>300</v>
      </c>
      <c r="N27" s="59" t="s">
        <v>301</v>
      </c>
      <c r="O27" s="38">
        <v>5</v>
      </c>
      <c r="P27" s="25">
        <v>3</v>
      </c>
    </row>
    <row r="28" spans="1:16" ht="14.25" x14ac:dyDescent="0.15">
      <c r="A28" s="25"/>
      <c r="B28" s="25"/>
      <c r="C28" s="25"/>
      <c r="D28" s="25"/>
      <c r="E28" s="25"/>
      <c r="P28" s="25"/>
    </row>
    <row r="29" spans="1:16" s="38" customFormat="1" ht="14.25" x14ac:dyDescent="0.15">
      <c r="A29" s="30"/>
      <c r="B29" s="30"/>
      <c r="C29" s="30"/>
      <c r="D29" s="30"/>
      <c r="E29" s="30"/>
      <c r="P29" s="30"/>
    </row>
    <row r="30" spans="1:16" ht="14.25" x14ac:dyDescent="0.15">
      <c r="A30" s="25"/>
      <c r="B30" s="25"/>
      <c r="C30" s="25"/>
      <c r="D30" s="25"/>
      <c r="E30" s="25"/>
      <c r="P30" s="25"/>
    </row>
    <row r="31" spans="1:16" s="38" customFormat="1" ht="14.25" x14ac:dyDescent="0.15">
      <c r="A31" s="30"/>
      <c r="B31" s="30"/>
      <c r="C31" s="30"/>
      <c r="D31" s="30"/>
      <c r="E31" s="30"/>
      <c r="P31" s="30"/>
    </row>
    <row r="32" spans="1:16" ht="14.25" x14ac:dyDescent="0.15">
      <c r="A32" s="25"/>
      <c r="B32" s="25"/>
      <c r="C32" s="25"/>
      <c r="D32" s="25"/>
      <c r="E32" s="25"/>
      <c r="P32" s="25"/>
    </row>
    <row r="33" spans="1:16" s="38" customFormat="1" ht="14.25" x14ac:dyDescent="0.15">
      <c r="A33" s="30"/>
      <c r="B33" s="30"/>
      <c r="C33" s="30"/>
      <c r="D33" s="30"/>
      <c r="E33" s="30"/>
      <c r="P33" s="30"/>
    </row>
    <row r="34" spans="1:16" ht="14.25" x14ac:dyDescent="0.15">
      <c r="A34" s="25"/>
      <c r="B34" s="25"/>
      <c r="C34" s="25"/>
      <c r="D34" s="25"/>
      <c r="E34" s="25"/>
      <c r="P34" s="25"/>
    </row>
    <row r="35" spans="1:16" s="38" customFormat="1" ht="14.25" x14ac:dyDescent="0.15">
      <c r="A35" s="30"/>
      <c r="B35" s="30"/>
      <c r="C35" s="30"/>
      <c r="D35" s="30"/>
      <c r="E35" s="30"/>
      <c r="P35" s="30"/>
    </row>
    <row r="36" spans="1:16" ht="14.25" x14ac:dyDescent="0.15">
      <c r="A36" s="25"/>
      <c r="B36" s="25"/>
      <c r="C36" s="25"/>
      <c r="D36" s="25"/>
      <c r="E36" s="25"/>
      <c r="P36" s="25"/>
    </row>
    <row r="37" spans="1:16" s="38" customFormat="1" ht="14.25" x14ac:dyDescent="0.15">
      <c r="A37" s="30"/>
      <c r="B37" s="30"/>
      <c r="C37" s="30"/>
      <c r="D37" s="30"/>
      <c r="E37" s="30"/>
      <c r="P37" s="30"/>
    </row>
    <row r="38" spans="1:16" ht="14.25" x14ac:dyDescent="0.15">
      <c r="A38" s="25"/>
      <c r="B38" s="25"/>
      <c r="C38" s="25"/>
      <c r="D38" s="25"/>
      <c r="E38" s="25"/>
      <c r="P38" s="25"/>
    </row>
    <row r="39" spans="1:16" s="38" customFormat="1" ht="14.25" x14ac:dyDescent="0.15">
      <c r="A39" s="30"/>
      <c r="B39" s="30"/>
      <c r="C39" s="30"/>
      <c r="D39" s="30"/>
      <c r="E39" s="30"/>
      <c r="P39" s="30"/>
    </row>
    <row r="40" spans="1:16" ht="14.25" x14ac:dyDescent="0.15">
      <c r="A40" s="25"/>
      <c r="B40" s="25"/>
      <c r="C40" s="25"/>
      <c r="D40" s="25"/>
      <c r="E40" s="25"/>
      <c r="P40" s="25"/>
    </row>
    <row r="41" spans="1:16" s="38" customFormat="1" ht="14.25" x14ac:dyDescent="0.15">
      <c r="A41" s="30"/>
      <c r="B41" s="30"/>
      <c r="C41" s="30"/>
      <c r="D41" s="30"/>
      <c r="E41" s="30"/>
      <c r="P41" s="30"/>
    </row>
    <row r="42" spans="1:16" ht="14.25" x14ac:dyDescent="0.15">
      <c r="A42" s="25"/>
      <c r="B42" s="25"/>
      <c r="C42" s="25"/>
      <c r="D42" s="25"/>
      <c r="E42" s="25"/>
      <c r="P42" s="25"/>
    </row>
    <row r="43" spans="1:16" s="38" customFormat="1" ht="14.25" x14ac:dyDescent="0.15">
      <c r="A43" s="30"/>
      <c r="B43" s="30"/>
      <c r="C43" s="30"/>
      <c r="D43" s="30"/>
      <c r="E43" s="30"/>
      <c r="P43" s="30"/>
    </row>
    <row r="44" spans="1:16" ht="14.25" x14ac:dyDescent="0.15">
      <c r="A44" s="25"/>
      <c r="B44" s="25"/>
      <c r="C44" s="25"/>
      <c r="D44" s="25"/>
      <c r="E44" s="25"/>
      <c r="P44" s="25"/>
    </row>
    <row r="45" spans="1:16" s="38" customFormat="1" ht="14.25" x14ac:dyDescent="0.15">
      <c r="A45" s="30"/>
      <c r="B45" s="30"/>
      <c r="C45" s="30"/>
      <c r="D45" s="30"/>
      <c r="E45" s="30"/>
      <c r="P45" s="30"/>
    </row>
    <row r="46" spans="1:16" ht="14.25" x14ac:dyDescent="0.15">
      <c r="A46" s="25"/>
      <c r="B46" s="25"/>
      <c r="C46" s="25"/>
      <c r="D46" s="25"/>
      <c r="E46" s="25"/>
      <c r="P46" s="25"/>
    </row>
    <row r="47" spans="1:16" s="38" customFormat="1" ht="14.25" x14ac:dyDescent="0.15">
      <c r="A47" s="30"/>
      <c r="B47" s="30"/>
      <c r="C47" s="30"/>
      <c r="D47" s="30"/>
      <c r="E47" s="30"/>
      <c r="P47" s="30"/>
    </row>
    <row r="48" spans="1:16" ht="14.25" x14ac:dyDescent="0.15">
      <c r="A48" s="25"/>
      <c r="B48" s="25"/>
      <c r="C48" s="25"/>
      <c r="D48" s="25"/>
      <c r="E48" s="25"/>
      <c r="P48" s="25"/>
    </row>
    <row r="49" spans="1:16" s="38" customFormat="1" ht="14.25" x14ac:dyDescent="0.15">
      <c r="A49" s="30"/>
      <c r="B49" s="30"/>
      <c r="C49" s="30"/>
      <c r="D49" s="30"/>
      <c r="E49" s="30"/>
      <c r="P49" s="30"/>
    </row>
    <row r="50" spans="1:16" ht="14.25" x14ac:dyDescent="0.15">
      <c r="A50" s="25"/>
      <c r="B50" s="25"/>
      <c r="C50" s="25"/>
      <c r="D50" s="25"/>
      <c r="E50" s="25"/>
      <c r="P50" s="25"/>
    </row>
    <row r="51" spans="1:16" s="38" customFormat="1" ht="14.25" x14ac:dyDescent="0.15">
      <c r="A51" s="30"/>
      <c r="B51" s="30"/>
      <c r="C51" s="30"/>
      <c r="D51" s="30"/>
      <c r="E51" s="30"/>
      <c r="P51" s="30"/>
    </row>
    <row r="52" spans="1:16" ht="14.25" x14ac:dyDescent="0.15">
      <c r="A52" s="25"/>
      <c r="B52" s="25"/>
      <c r="C52" s="25"/>
      <c r="D52" s="25"/>
      <c r="E52" s="25"/>
      <c r="P52" s="25"/>
    </row>
    <row r="53" spans="1:16" s="38" customFormat="1" ht="14.25" x14ac:dyDescent="0.15">
      <c r="A53" s="30"/>
      <c r="B53" s="30"/>
      <c r="C53" s="30"/>
      <c r="D53" s="30"/>
      <c r="E53" s="30"/>
      <c r="P53" s="30"/>
    </row>
    <row r="54" spans="1:16" ht="14.25" x14ac:dyDescent="0.15">
      <c r="A54" s="25"/>
      <c r="B54" s="25"/>
      <c r="C54" s="25"/>
      <c r="D54" s="25"/>
      <c r="E54" s="25"/>
      <c r="P54" s="25"/>
    </row>
    <row r="55" spans="1:16" s="38" customFormat="1" ht="14.25" x14ac:dyDescent="0.15">
      <c r="A55" s="30"/>
      <c r="B55" s="30"/>
      <c r="C55" s="30"/>
      <c r="D55" s="30"/>
      <c r="E55" s="30"/>
      <c r="P55" s="30"/>
    </row>
    <row r="56" spans="1:16" ht="14.25" x14ac:dyDescent="0.15">
      <c r="A56" s="25"/>
      <c r="B56" s="25"/>
      <c r="C56" s="25"/>
      <c r="D56" s="25"/>
      <c r="E56" s="25"/>
      <c r="P56" s="25"/>
    </row>
    <row r="57" spans="1:16" s="38" customFormat="1" ht="14.25" x14ac:dyDescent="0.15">
      <c r="A57" s="30"/>
      <c r="B57" s="30"/>
      <c r="C57" s="30"/>
      <c r="D57" s="30"/>
      <c r="E57" s="30"/>
      <c r="P57" s="30"/>
    </row>
    <row r="58" spans="1:16" ht="14.25" x14ac:dyDescent="0.15">
      <c r="A58" s="25"/>
      <c r="B58" s="25"/>
      <c r="C58" s="25"/>
      <c r="D58" s="25"/>
      <c r="E58" s="25"/>
      <c r="P58" s="25"/>
    </row>
    <row r="59" spans="1:16" s="38" customFormat="1" ht="14.25" x14ac:dyDescent="0.15">
      <c r="A59" s="30"/>
      <c r="B59" s="30"/>
      <c r="C59" s="30"/>
      <c r="D59" s="30"/>
      <c r="E59" s="30"/>
      <c r="P59" s="30"/>
    </row>
    <row r="60" spans="1:16" ht="14.25" x14ac:dyDescent="0.15">
      <c r="A60" s="25"/>
      <c r="B60" s="25"/>
      <c r="C60" s="25"/>
      <c r="D60" s="25"/>
      <c r="E60" s="25"/>
      <c r="P60" s="25"/>
    </row>
    <row r="61" spans="1:16" s="38" customFormat="1" ht="14.25" x14ac:dyDescent="0.15">
      <c r="A61" s="30"/>
      <c r="B61" s="30"/>
      <c r="C61" s="30"/>
      <c r="D61" s="30"/>
      <c r="E61" s="30"/>
      <c r="P61" s="30"/>
    </row>
    <row r="62" spans="1:16" ht="14.25" x14ac:dyDescent="0.15">
      <c r="A62" s="25"/>
      <c r="B62" s="25"/>
      <c r="C62" s="25"/>
      <c r="D62" s="25"/>
      <c r="E62" s="25"/>
      <c r="P62" s="25"/>
    </row>
    <row r="63" spans="1:16" s="38" customFormat="1" ht="14.25" x14ac:dyDescent="0.15">
      <c r="A63" s="30"/>
      <c r="B63" s="30"/>
      <c r="C63" s="30"/>
      <c r="D63" s="30"/>
      <c r="E63" s="30"/>
      <c r="P63" s="30"/>
    </row>
    <row r="64" spans="1:16" ht="14.25" x14ac:dyDescent="0.15">
      <c r="A64" s="25"/>
      <c r="B64" s="25"/>
      <c r="C64" s="25"/>
      <c r="D64" s="25"/>
      <c r="E64" s="25"/>
      <c r="P64" s="25"/>
    </row>
    <row r="65" spans="1:16" s="38" customFormat="1" ht="14.25" x14ac:dyDescent="0.15">
      <c r="A65" s="30"/>
      <c r="B65" s="30"/>
      <c r="C65" s="30"/>
      <c r="D65" s="30"/>
      <c r="E65" s="30"/>
      <c r="P65" s="30"/>
    </row>
    <row r="66" spans="1:16" ht="14.25" x14ac:dyDescent="0.15">
      <c r="A66" s="25"/>
      <c r="B66" s="25"/>
      <c r="C66" s="25"/>
      <c r="D66" s="25"/>
      <c r="E66" s="25"/>
      <c r="P66" s="25"/>
    </row>
    <row r="67" spans="1:16" s="38" customFormat="1" ht="14.25" x14ac:dyDescent="0.15">
      <c r="A67" s="30"/>
      <c r="B67" s="30"/>
      <c r="C67" s="30"/>
      <c r="D67" s="30"/>
      <c r="E67" s="30"/>
      <c r="P67" s="30"/>
    </row>
    <row r="68" spans="1:16" ht="14.25" x14ac:dyDescent="0.15">
      <c r="A68" s="25"/>
      <c r="B68" s="25"/>
      <c r="C68" s="25"/>
      <c r="D68" s="25"/>
      <c r="E68" s="25"/>
      <c r="P68" s="25"/>
    </row>
    <row r="69" spans="1:16" s="38" customFormat="1" ht="14.25" x14ac:dyDescent="0.15">
      <c r="A69" s="30"/>
      <c r="B69" s="30"/>
      <c r="C69" s="30"/>
      <c r="D69" s="30"/>
      <c r="E69" s="30"/>
      <c r="P69" s="30"/>
    </row>
    <row r="70" spans="1:16" ht="14.25" x14ac:dyDescent="0.15">
      <c r="A70" s="25"/>
      <c r="B70" s="25"/>
      <c r="C70" s="25"/>
      <c r="D70" s="25"/>
      <c r="E70" s="25"/>
      <c r="P70" s="25"/>
    </row>
    <row r="71" spans="1:16" s="38" customFormat="1" ht="14.25" x14ac:dyDescent="0.15">
      <c r="A71" s="30"/>
      <c r="B71" s="30"/>
      <c r="C71" s="30"/>
      <c r="D71" s="30"/>
      <c r="E71" s="30"/>
      <c r="P71" s="30"/>
    </row>
    <row r="72" spans="1:16" ht="14.25" x14ac:dyDescent="0.15">
      <c r="A72" s="25"/>
      <c r="B72" s="25"/>
      <c r="C72" s="25"/>
      <c r="D72" s="25"/>
      <c r="E72" s="25"/>
      <c r="P72" s="25"/>
    </row>
    <row r="73" spans="1:16" s="38" customFormat="1" ht="14.25" x14ac:dyDescent="0.15">
      <c r="A73" s="30"/>
      <c r="B73" s="30"/>
      <c r="C73" s="30"/>
      <c r="D73" s="30"/>
      <c r="E73" s="30"/>
      <c r="P73" s="30"/>
    </row>
    <row r="74" spans="1:16" ht="14.25" x14ac:dyDescent="0.15">
      <c r="A74" s="25"/>
      <c r="B74" s="25"/>
      <c r="C74" s="25"/>
      <c r="D74" s="25"/>
      <c r="E74" s="25"/>
      <c r="P74" s="25"/>
    </row>
    <row r="75" spans="1:16" s="38" customFormat="1" ht="14.25" x14ac:dyDescent="0.15">
      <c r="A75" s="30"/>
      <c r="B75" s="30"/>
      <c r="C75" s="30"/>
      <c r="D75" s="30"/>
      <c r="E75" s="30"/>
      <c r="P75" s="30"/>
    </row>
    <row r="76" spans="1:16" ht="14.25" x14ac:dyDescent="0.15">
      <c r="A76" s="25"/>
      <c r="B76" s="25"/>
      <c r="C76" s="25"/>
      <c r="D76" s="25"/>
      <c r="E76" s="25"/>
      <c r="P76" s="25"/>
    </row>
    <row r="77" spans="1:16" s="38" customFormat="1" ht="14.25" x14ac:dyDescent="0.15">
      <c r="A77" s="30"/>
      <c r="B77" s="30"/>
      <c r="C77" s="30"/>
      <c r="D77" s="30"/>
      <c r="E77" s="30"/>
      <c r="P77" s="30"/>
    </row>
    <row r="78" spans="1:16" ht="14.25" x14ac:dyDescent="0.15">
      <c r="A78" s="25"/>
      <c r="B78" s="25"/>
      <c r="C78" s="25"/>
      <c r="D78" s="25"/>
      <c r="E78" s="25"/>
      <c r="P78" s="25"/>
    </row>
    <row r="79" spans="1:16" s="38" customFormat="1" ht="14.25" x14ac:dyDescent="0.15">
      <c r="A79" s="30"/>
      <c r="B79" s="30"/>
      <c r="C79" s="30"/>
      <c r="D79" s="30"/>
      <c r="E79" s="30"/>
      <c r="P79" s="30"/>
    </row>
    <row r="80" spans="1:16" ht="14.25" x14ac:dyDescent="0.15">
      <c r="A80" s="25"/>
      <c r="B80" s="25"/>
      <c r="C80" s="25"/>
      <c r="D80" s="25"/>
      <c r="E80" s="25"/>
      <c r="P80" s="25"/>
    </row>
    <row r="81" spans="1:16" s="38" customFormat="1" ht="14.25" x14ac:dyDescent="0.15">
      <c r="A81" s="30"/>
      <c r="B81" s="30"/>
      <c r="C81" s="30"/>
      <c r="D81" s="30"/>
      <c r="E81" s="30"/>
      <c r="P81" s="30"/>
    </row>
    <row r="82" spans="1:16" ht="14.25" x14ac:dyDescent="0.15">
      <c r="A82" s="25"/>
      <c r="B82" s="25"/>
      <c r="C82" s="25"/>
      <c r="D82" s="25"/>
      <c r="E82" s="25"/>
      <c r="P82" s="25"/>
    </row>
    <row r="83" spans="1:16" s="38" customFormat="1" ht="14.25" x14ac:dyDescent="0.15">
      <c r="A83" s="30"/>
      <c r="B83" s="30"/>
      <c r="C83" s="30"/>
      <c r="D83" s="30"/>
      <c r="E83" s="30"/>
      <c r="P83" s="30"/>
    </row>
    <row r="84" spans="1:16" ht="14.25" x14ac:dyDescent="0.15">
      <c r="A84" s="25"/>
      <c r="B84" s="25"/>
      <c r="C84" s="25"/>
      <c r="D84" s="25"/>
      <c r="E84" s="25"/>
      <c r="P84" s="25"/>
    </row>
    <row r="85" spans="1:16" s="38" customFormat="1" ht="14.25" x14ac:dyDescent="0.15">
      <c r="A85" s="30"/>
      <c r="B85" s="30"/>
      <c r="C85" s="30"/>
      <c r="D85" s="30"/>
      <c r="E85" s="30"/>
      <c r="P85" s="30"/>
    </row>
    <row r="86" spans="1:16" ht="14.25" x14ac:dyDescent="0.15">
      <c r="A86" s="25"/>
      <c r="B86" s="25"/>
      <c r="C86" s="25"/>
      <c r="D86" s="25"/>
      <c r="E86" s="25"/>
      <c r="P86" s="25"/>
    </row>
    <row r="87" spans="1:16" s="38" customFormat="1" ht="14.25" x14ac:dyDescent="0.15">
      <c r="A87" s="30"/>
      <c r="B87" s="30"/>
      <c r="C87" s="30"/>
      <c r="D87" s="30"/>
      <c r="E87" s="30"/>
      <c r="P87" s="30"/>
    </row>
    <row r="88" spans="1:16" ht="14.25" x14ac:dyDescent="0.15">
      <c r="A88" s="25"/>
      <c r="B88" s="25"/>
      <c r="C88" s="25"/>
      <c r="D88" s="25"/>
      <c r="E88" s="25"/>
      <c r="P88" s="25"/>
    </row>
    <row r="89" spans="1:16" s="38" customFormat="1" ht="14.25" x14ac:dyDescent="0.15">
      <c r="A89" s="30"/>
      <c r="B89" s="30"/>
      <c r="C89" s="30"/>
      <c r="D89" s="30"/>
      <c r="E89" s="30"/>
      <c r="P89" s="30"/>
    </row>
    <row r="90" spans="1:16" ht="14.25" x14ac:dyDescent="0.15">
      <c r="A90" s="25"/>
      <c r="B90" s="25"/>
      <c r="C90" s="25"/>
      <c r="D90" s="25"/>
      <c r="E90" s="25"/>
      <c r="P90" s="25"/>
    </row>
    <row r="91" spans="1:16" s="38" customFormat="1" ht="14.25" x14ac:dyDescent="0.15">
      <c r="A91" s="30"/>
      <c r="B91" s="30"/>
      <c r="C91" s="30"/>
      <c r="D91" s="30"/>
      <c r="E91" s="30"/>
      <c r="P91" s="30"/>
    </row>
    <row r="92" spans="1:16" ht="14.25" x14ac:dyDescent="0.15">
      <c r="A92" s="25"/>
      <c r="B92" s="25"/>
      <c r="C92" s="25"/>
      <c r="D92" s="25"/>
      <c r="E92" s="25"/>
      <c r="P92" s="25"/>
    </row>
    <row r="93" spans="1:16" s="38" customFormat="1" ht="14.25" x14ac:dyDescent="0.15">
      <c r="A93" s="30"/>
      <c r="B93" s="30"/>
      <c r="C93" s="30"/>
      <c r="D93" s="30"/>
      <c r="E93" s="30"/>
      <c r="P93" s="30"/>
    </row>
    <row r="94" spans="1:16" ht="14.25" x14ac:dyDescent="0.15">
      <c r="A94" s="25"/>
      <c r="B94" s="25"/>
      <c r="C94" s="25"/>
      <c r="D94" s="25"/>
      <c r="E94" s="25"/>
      <c r="P94" s="25"/>
    </row>
    <row r="95" spans="1:16" s="38" customFormat="1" ht="14.25" x14ac:dyDescent="0.15">
      <c r="A95" s="30"/>
      <c r="B95" s="30"/>
      <c r="C95" s="30"/>
      <c r="D95" s="30"/>
      <c r="E95" s="30"/>
      <c r="P95" s="30"/>
    </row>
    <row r="96" spans="1:16" ht="14.25" x14ac:dyDescent="0.15">
      <c r="A96" s="25"/>
      <c r="B96" s="25"/>
      <c r="C96" s="25"/>
      <c r="D96" s="25"/>
      <c r="E96" s="25"/>
      <c r="P96" s="25"/>
    </row>
    <row r="97" spans="1:16" s="38" customFormat="1" ht="14.25" x14ac:dyDescent="0.15">
      <c r="A97" s="30"/>
      <c r="B97" s="30"/>
      <c r="C97" s="30"/>
      <c r="D97" s="30"/>
      <c r="E97" s="30"/>
      <c r="P97" s="30"/>
    </row>
  </sheetData>
  <phoneticPr fontId="34" type="noConversion"/>
  <conditionalFormatting sqref="B1:B11">
    <cfRule type="duplicateValues" dxfId="15" priority="1"/>
  </conditionalFormatting>
  <conditionalFormatting sqref="B12:B27">
    <cfRule type="duplicateValues" dxfId="14" priority="2"/>
  </conditionalFormatting>
  <conditionalFormatting sqref="B28:B97">
    <cfRule type="duplicateValues" dxfId="13" priority="8"/>
  </conditionalFormatting>
  <conditionalFormatting sqref="B98:B1048576">
    <cfRule type="duplicateValues" dxfId="12" priority="4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278"/>
  <sheetViews>
    <sheetView workbookViewId="0">
      <pane ySplit="8" topLeftCell="A9" activePane="bottomLeft" state="frozen"/>
      <selection pane="bottomLeft" activeCell="J29" sqref="J29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4" width="12.5" style="16" customWidth="1"/>
    <col min="5" max="5" width="9" style="16"/>
    <col min="6" max="6" width="10.5" style="16" customWidth="1"/>
    <col min="7" max="9" width="12.25" style="16" customWidth="1"/>
    <col min="10" max="12" width="9" style="16"/>
    <col min="13" max="13" width="9" style="36"/>
    <col min="14" max="16384" width="9" style="16"/>
  </cols>
  <sheetData>
    <row r="1" spans="1:13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  <c r="F1" s="5" t="s">
        <v>41</v>
      </c>
      <c r="G1" s="5" t="s">
        <v>41</v>
      </c>
      <c r="H1" s="5" t="s">
        <v>41</v>
      </c>
      <c r="J1" s="5" t="s">
        <v>41</v>
      </c>
      <c r="M1" s="5" t="s">
        <v>41</v>
      </c>
    </row>
    <row r="2" spans="1:13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  <c r="L2" s="5" t="s">
        <v>41</v>
      </c>
    </row>
    <row r="3" spans="1:13" s="19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43</v>
      </c>
      <c r="F3" s="6" t="s">
        <v>43</v>
      </c>
      <c r="G3" s="6" t="s">
        <v>44</v>
      </c>
      <c r="H3" s="6" t="s">
        <v>44</v>
      </c>
      <c r="I3" s="6" t="s">
        <v>44</v>
      </c>
      <c r="J3" s="6" t="s">
        <v>43</v>
      </c>
      <c r="K3" s="6" t="s">
        <v>43</v>
      </c>
      <c r="L3" s="6" t="s">
        <v>43</v>
      </c>
      <c r="M3" s="19" t="s">
        <v>43</v>
      </c>
    </row>
    <row r="4" spans="1:13" s="19" customFormat="1" ht="14.25" x14ac:dyDescent="0.15">
      <c r="A4" s="6"/>
      <c r="B4" s="6" t="s">
        <v>45</v>
      </c>
      <c r="C4" s="6" t="s">
        <v>46</v>
      </c>
      <c r="D4" s="6" t="s">
        <v>47</v>
      </c>
      <c r="E4" s="6" t="s">
        <v>48</v>
      </c>
      <c r="F4" s="6" t="s">
        <v>3</v>
      </c>
      <c r="G4" s="6" t="s">
        <v>183</v>
      </c>
      <c r="H4" s="6" t="s">
        <v>302</v>
      </c>
      <c r="I4" s="6" t="s">
        <v>50</v>
      </c>
      <c r="J4" s="6" t="s">
        <v>303</v>
      </c>
      <c r="K4" s="6" t="s">
        <v>304</v>
      </c>
      <c r="L4" s="6" t="s">
        <v>305</v>
      </c>
      <c r="M4" s="19" t="s">
        <v>306</v>
      </c>
    </row>
    <row r="5" spans="1:13" s="19" customFormat="1" ht="14.25" x14ac:dyDescent="0.15">
      <c r="A5" s="6"/>
      <c r="B5" s="6" t="str">
        <f t="shared" ref="B5:E5" si="0">IF(B3="","",IF(B3="INT","i",IF(B3="FLOAT","f",IF(B3="STRING","s"))))</f>
        <v>i</v>
      </c>
      <c r="C5" s="6" t="str">
        <f t="shared" ref="C5" si="1">IF(C3="","",IF(C3="INT","i",IF(C3="FLOAT","f",IF(C3="STRING","s"))))</f>
        <v>i</v>
      </c>
      <c r="D5" s="6" t="str">
        <f t="shared" si="0"/>
        <v>i</v>
      </c>
      <c r="E5" s="6" t="str">
        <f t="shared" si="0"/>
        <v>i</v>
      </c>
      <c r="F5" s="6" t="str">
        <f t="shared" ref="F5:I5" si="2">IF(F3="","",IF(F3="INT","i",IF(F3="FLOAT","f",IF(F3="STRING","s"))))</f>
        <v>i</v>
      </c>
      <c r="G5" s="6" t="str">
        <f t="shared" si="2"/>
        <v>s</v>
      </c>
      <c r="H5" s="6" t="str">
        <f t="shared" si="2"/>
        <v>s</v>
      </c>
      <c r="I5" s="6" t="str">
        <f t="shared" si="2"/>
        <v>s</v>
      </c>
      <c r="J5" s="6" t="str">
        <f t="shared" ref="J5:L5" si="3">IF(J3="","",IF(J3="INT","i",IF(J3="FLOAT","f",IF(J3="STRING","s"))))</f>
        <v>i</v>
      </c>
      <c r="K5" s="6" t="str">
        <f t="shared" si="3"/>
        <v>i</v>
      </c>
      <c r="L5" s="6" t="str">
        <f t="shared" si="3"/>
        <v>i</v>
      </c>
      <c r="M5" s="19" t="s">
        <v>307</v>
      </c>
    </row>
    <row r="6" spans="1:13" s="19" customFormat="1" ht="14.25" x14ac:dyDescent="0.15">
      <c r="A6" s="6" t="s">
        <v>41</v>
      </c>
      <c r="B6" s="6" t="str">
        <f t="shared" ref="B6:E6" si="4">B5&amp;B4</f>
        <v>iID</v>
      </c>
      <c r="C6" s="6" t="str">
        <f t="shared" ref="C6" si="5">C5&amp;C4</f>
        <v>iBuildingID</v>
      </c>
      <c r="D6" s="6" t="str">
        <f t="shared" si="4"/>
        <v>iBuildingType</v>
      </c>
      <c r="E6" s="6" t="str">
        <f t="shared" si="4"/>
        <v>iLevel</v>
      </c>
      <c r="F6" s="6" t="str">
        <f t="shared" ref="F6:I6" si="6">F5&amp;F4</f>
        <v>iCount</v>
      </c>
      <c r="G6" s="6" t="str">
        <f t="shared" si="6"/>
        <v>sCostItem</v>
      </c>
      <c r="H6" s="6" t="str">
        <f t="shared" si="6"/>
        <v>sEffect</v>
      </c>
      <c r="I6" s="6" t="str">
        <f t="shared" si="6"/>
        <v>sName</v>
      </c>
      <c r="J6" s="6" t="str">
        <f t="shared" ref="J6:K6" si="7">J5&amp;J4</f>
        <v>iSubType</v>
      </c>
      <c r="K6" s="6" t="str">
        <f t="shared" si="7"/>
        <v>iGridType</v>
      </c>
      <c r="L6" s="6" t="str">
        <f t="shared" ref="L6:M6" si="8">L5&amp;L4</f>
        <v>iGridNum</v>
      </c>
      <c r="M6" s="19" t="str">
        <f t="shared" si="8"/>
        <v>iLimitCnt</v>
      </c>
    </row>
    <row r="7" spans="1:13" s="10" customFormat="1" ht="43.15" customHeight="1" x14ac:dyDescent="0.15">
      <c r="A7" s="6"/>
      <c r="B7" s="6" t="s">
        <v>52</v>
      </c>
      <c r="C7" s="6" t="s">
        <v>308</v>
      </c>
      <c r="D7" s="6" t="s">
        <v>54</v>
      </c>
      <c r="E7" s="6" t="s">
        <v>55</v>
      </c>
      <c r="F7" s="6" t="s">
        <v>309</v>
      </c>
      <c r="G7" s="6" t="s">
        <v>310</v>
      </c>
      <c r="H7" s="6" t="s">
        <v>311</v>
      </c>
      <c r="I7" s="6" t="s">
        <v>312</v>
      </c>
      <c r="J7" s="6" t="s">
        <v>313</v>
      </c>
      <c r="K7" s="6" t="s">
        <v>314</v>
      </c>
      <c r="L7" s="6" t="s">
        <v>315</v>
      </c>
      <c r="M7" s="10" t="s">
        <v>316</v>
      </c>
    </row>
    <row r="8" spans="1:13" s="10" customFormat="1" ht="14.25" x14ac:dyDescent="0.15">
      <c r="A8" s="6" t="s">
        <v>59</v>
      </c>
      <c r="B8" s="6" t="e">
        <f>MODE(B9:B985)</f>
        <v>#N/A</v>
      </c>
      <c r="C8" s="6">
        <v>0</v>
      </c>
      <c r="D8" s="6">
        <v>9</v>
      </c>
      <c r="E8" s="6">
        <v>1</v>
      </c>
      <c r="F8" s="6">
        <v>1</v>
      </c>
      <c r="G8" s="6"/>
      <c r="H8" s="6"/>
      <c r="I8" s="6"/>
      <c r="J8" s="6">
        <v>1</v>
      </c>
      <c r="K8" s="6">
        <v>1</v>
      </c>
      <c r="L8" s="6">
        <v>1</v>
      </c>
      <c r="M8" s="10">
        <v>1</v>
      </c>
    </row>
    <row r="9" spans="1:13" ht="14.25" x14ac:dyDescent="0.15">
      <c r="A9" s="25" t="s">
        <v>41</v>
      </c>
      <c r="B9" s="25">
        <v>1</v>
      </c>
      <c r="C9" s="25">
        <v>88000</v>
      </c>
      <c r="D9" s="25"/>
      <c r="E9" s="25"/>
      <c r="F9" s="25"/>
      <c r="G9" s="32"/>
      <c r="H9" s="32"/>
      <c r="I9" s="32" t="s">
        <v>317</v>
      </c>
      <c r="J9" s="25">
        <v>1</v>
      </c>
      <c r="K9" s="25">
        <v>1</v>
      </c>
      <c r="L9" s="25">
        <v>1</v>
      </c>
      <c r="M9" s="48">
        <v>3</v>
      </c>
    </row>
    <row r="10" spans="1:13" s="38" customFormat="1" ht="14.25" x14ac:dyDescent="0.15">
      <c r="A10" s="30" t="s">
        <v>41</v>
      </c>
      <c r="B10" s="30">
        <v>2</v>
      </c>
      <c r="C10" s="25">
        <v>88001</v>
      </c>
      <c r="D10" s="30"/>
      <c r="E10" s="30"/>
      <c r="F10" s="30"/>
      <c r="G10" s="33"/>
      <c r="H10" s="33"/>
      <c r="I10" s="33" t="s">
        <v>318</v>
      </c>
      <c r="J10" s="30">
        <v>2</v>
      </c>
      <c r="K10" s="30">
        <v>2</v>
      </c>
      <c r="L10" s="30">
        <v>3</v>
      </c>
      <c r="M10" s="36">
        <v>5</v>
      </c>
    </row>
    <row r="11" spans="1:13" ht="14.25" x14ac:dyDescent="0.15">
      <c r="A11" s="25" t="s">
        <v>41</v>
      </c>
      <c r="B11" s="25">
        <v>3</v>
      </c>
      <c r="C11" s="25">
        <v>88002</v>
      </c>
      <c r="D11" s="25"/>
      <c r="E11" s="25"/>
      <c r="F11" s="25"/>
      <c r="G11" s="32"/>
      <c r="H11" s="32"/>
      <c r="I11" s="32" t="s">
        <v>319</v>
      </c>
      <c r="J11" s="25">
        <v>3</v>
      </c>
      <c r="K11" s="25">
        <v>2</v>
      </c>
      <c r="L11" s="25">
        <v>1</v>
      </c>
      <c r="M11" s="36">
        <v>5</v>
      </c>
    </row>
    <row r="12" spans="1:13" s="38" customFormat="1" ht="14.25" x14ac:dyDescent="0.15">
      <c r="A12" s="30" t="s">
        <v>41</v>
      </c>
      <c r="B12" s="30">
        <v>4</v>
      </c>
      <c r="C12" s="25">
        <v>88003</v>
      </c>
      <c r="D12" s="30"/>
      <c r="E12" s="30"/>
      <c r="F12" s="30"/>
      <c r="G12" s="33"/>
      <c r="H12" s="33"/>
      <c r="I12" s="33" t="s">
        <v>320</v>
      </c>
      <c r="J12" s="30">
        <v>1</v>
      </c>
      <c r="K12" s="30">
        <v>1</v>
      </c>
      <c r="L12" s="30">
        <v>1</v>
      </c>
      <c r="M12" s="36">
        <v>2</v>
      </c>
    </row>
    <row r="13" spans="1:13" ht="14.25" x14ac:dyDescent="0.15">
      <c r="A13" s="25"/>
      <c r="B13" s="25"/>
      <c r="C13" s="25"/>
      <c r="D13" s="25"/>
      <c r="E13" s="25"/>
      <c r="F13" s="25"/>
      <c r="G13" s="32"/>
      <c r="H13" s="32"/>
      <c r="I13" s="32"/>
    </row>
    <row r="14" spans="1:13" ht="14.25" x14ac:dyDescent="0.15">
      <c r="A14" s="25"/>
      <c r="B14" s="25"/>
      <c r="C14" s="25"/>
      <c r="D14" s="25"/>
      <c r="E14" s="25"/>
      <c r="F14" s="25"/>
      <c r="G14" s="32"/>
      <c r="H14" s="32"/>
      <c r="I14" s="32"/>
    </row>
    <row r="15" spans="1:13" ht="14.25" x14ac:dyDescent="0.15">
      <c r="A15" s="25"/>
      <c r="B15" s="25"/>
      <c r="C15" s="25"/>
      <c r="D15" s="25"/>
      <c r="E15" s="25"/>
      <c r="F15" s="25"/>
      <c r="G15" s="32"/>
      <c r="H15" s="32"/>
      <c r="I15" s="32"/>
    </row>
    <row r="16" spans="1:13" ht="14.25" x14ac:dyDescent="0.15">
      <c r="A16" s="25"/>
      <c r="B16" s="25"/>
      <c r="C16" s="25"/>
      <c r="D16" s="25"/>
      <c r="E16" s="25"/>
      <c r="F16" s="25"/>
      <c r="G16" s="32"/>
      <c r="H16" s="32"/>
      <c r="I16" s="32"/>
    </row>
    <row r="17" spans="1:9" ht="14.25" x14ac:dyDescent="0.15">
      <c r="A17" s="25"/>
      <c r="B17" s="25"/>
      <c r="C17" s="25"/>
      <c r="D17" s="25"/>
      <c r="E17" s="25"/>
      <c r="F17" s="25"/>
      <c r="G17" s="32"/>
      <c r="H17" s="32"/>
      <c r="I17" s="32"/>
    </row>
    <row r="18" spans="1:9" ht="14.25" x14ac:dyDescent="0.15">
      <c r="A18" s="25"/>
      <c r="B18" s="25"/>
      <c r="C18" s="25"/>
      <c r="D18" s="25"/>
      <c r="E18" s="25"/>
      <c r="F18" s="25"/>
      <c r="G18" s="32"/>
      <c r="H18" s="32"/>
      <c r="I18" s="32"/>
    </row>
    <row r="19" spans="1:9" ht="14.25" x14ac:dyDescent="0.15">
      <c r="A19" s="25"/>
      <c r="B19" s="25"/>
      <c r="C19" s="25"/>
      <c r="D19" s="25"/>
      <c r="E19" s="25"/>
      <c r="F19" s="25"/>
      <c r="G19" s="42"/>
      <c r="H19" s="42"/>
      <c r="I19" s="42"/>
    </row>
    <row r="20" spans="1:9" ht="14.25" x14ac:dyDescent="0.15">
      <c r="A20" s="25"/>
      <c r="B20" s="25"/>
      <c r="C20" s="25"/>
      <c r="D20" s="25"/>
      <c r="E20" s="25"/>
      <c r="F20" s="25"/>
      <c r="G20" s="42"/>
      <c r="H20" s="42"/>
      <c r="I20" s="42"/>
    </row>
    <row r="21" spans="1:9" ht="14.25" x14ac:dyDescent="0.15">
      <c r="A21" s="25"/>
      <c r="B21" s="25"/>
      <c r="C21" s="25"/>
      <c r="D21" s="25"/>
      <c r="E21" s="25"/>
      <c r="F21" s="25"/>
      <c r="G21" s="42"/>
      <c r="H21" s="42"/>
      <c r="I21" s="42"/>
    </row>
    <row r="22" spans="1:9" ht="14.25" x14ac:dyDescent="0.15">
      <c r="A22" s="25"/>
      <c r="B22" s="25"/>
      <c r="C22" s="25"/>
      <c r="D22" s="25"/>
      <c r="E22" s="25"/>
      <c r="F22" s="25"/>
      <c r="G22" s="42"/>
      <c r="H22" s="42"/>
      <c r="I22" s="42"/>
    </row>
    <row r="23" spans="1:9" ht="14.25" x14ac:dyDescent="0.15">
      <c r="A23" s="25"/>
      <c r="B23" s="25"/>
      <c r="C23" s="25"/>
      <c r="D23" s="25"/>
      <c r="E23" s="25"/>
      <c r="F23" s="25"/>
      <c r="G23" s="42"/>
      <c r="H23" s="42"/>
      <c r="I23" s="42"/>
    </row>
    <row r="24" spans="1:9" ht="14.25" x14ac:dyDescent="0.15">
      <c r="A24" s="25"/>
      <c r="B24" s="25"/>
      <c r="C24" s="25"/>
      <c r="D24" s="25"/>
      <c r="E24" s="25"/>
      <c r="F24" s="25"/>
      <c r="G24" s="42"/>
      <c r="H24" s="42"/>
      <c r="I24" s="42"/>
    </row>
    <row r="25" spans="1:9" ht="14.25" x14ac:dyDescent="0.15">
      <c r="A25" s="25"/>
      <c r="B25" s="25"/>
      <c r="C25" s="25"/>
      <c r="D25" s="25"/>
      <c r="E25" s="25"/>
      <c r="F25" s="25"/>
      <c r="G25" s="42"/>
      <c r="H25" s="42"/>
      <c r="I25" s="42"/>
    </row>
    <row r="26" spans="1:9" ht="14.25" x14ac:dyDescent="0.15">
      <c r="A26" s="25"/>
      <c r="B26" s="25"/>
      <c r="C26" s="25"/>
      <c r="D26" s="25"/>
      <c r="E26" s="25"/>
      <c r="F26" s="25"/>
      <c r="G26" s="42"/>
      <c r="H26" s="42"/>
      <c r="I26" s="42"/>
    </row>
    <row r="27" spans="1:9" ht="14.25" x14ac:dyDescent="0.15">
      <c r="A27" s="25"/>
      <c r="B27" s="25"/>
      <c r="C27" s="25"/>
      <c r="D27" s="25"/>
      <c r="E27" s="25"/>
      <c r="F27" s="25"/>
      <c r="G27" s="42"/>
      <c r="H27" s="42"/>
      <c r="I27" s="42"/>
    </row>
    <row r="28" spans="1:9" ht="14.25" x14ac:dyDescent="0.15">
      <c r="A28" s="25"/>
      <c r="B28" s="25"/>
      <c r="C28" s="25"/>
      <c r="D28" s="25"/>
      <c r="E28" s="25"/>
      <c r="F28" s="25"/>
      <c r="G28" s="42"/>
      <c r="H28" s="42"/>
      <c r="I28" s="42"/>
    </row>
    <row r="29" spans="1:9" ht="14.25" x14ac:dyDescent="0.15">
      <c r="A29" s="25"/>
      <c r="B29" s="25"/>
      <c r="C29" s="25"/>
      <c r="D29" s="25"/>
      <c r="E29" s="25"/>
      <c r="F29" s="25"/>
      <c r="G29" s="43"/>
      <c r="H29" s="43"/>
      <c r="I29" s="43"/>
    </row>
    <row r="30" spans="1:9" ht="14.25" x14ac:dyDescent="0.15">
      <c r="A30" s="25"/>
      <c r="B30" s="25"/>
      <c r="C30" s="25"/>
      <c r="D30" s="25"/>
      <c r="E30" s="25"/>
      <c r="F30" s="25"/>
      <c r="G30" s="44"/>
      <c r="H30" s="44"/>
      <c r="I30" s="44"/>
    </row>
    <row r="31" spans="1:9" ht="14.25" x14ac:dyDescent="0.15">
      <c r="A31" s="25"/>
      <c r="B31" s="25"/>
      <c r="C31" s="25"/>
      <c r="D31" s="25"/>
      <c r="E31" s="25"/>
      <c r="F31" s="25"/>
      <c r="G31" s="44"/>
      <c r="H31" s="44"/>
      <c r="I31" s="44"/>
    </row>
    <row r="32" spans="1:9" ht="14.25" x14ac:dyDescent="0.15">
      <c r="A32" s="25"/>
      <c r="B32" s="25"/>
      <c r="C32" s="25"/>
      <c r="D32" s="25"/>
      <c r="E32" s="25"/>
      <c r="F32" s="25"/>
      <c r="G32" s="44"/>
      <c r="H32" s="44"/>
      <c r="I32" s="44"/>
    </row>
    <row r="33" spans="1:13" ht="14.25" x14ac:dyDescent="0.15">
      <c r="A33" s="25"/>
      <c r="B33" s="25"/>
      <c r="C33" s="25"/>
      <c r="D33" s="25"/>
      <c r="E33" s="25"/>
      <c r="F33" s="25"/>
      <c r="G33" s="44"/>
      <c r="H33" s="44"/>
      <c r="I33" s="44"/>
    </row>
    <row r="34" spans="1:13" ht="14.25" x14ac:dyDescent="0.15">
      <c r="A34" s="25"/>
      <c r="B34" s="25"/>
      <c r="C34" s="25"/>
      <c r="D34" s="25"/>
      <c r="E34" s="25"/>
      <c r="F34" s="25"/>
      <c r="G34" s="44"/>
      <c r="H34" s="44"/>
      <c r="I34" s="44"/>
    </row>
    <row r="35" spans="1:13" ht="14.25" x14ac:dyDescent="0.15">
      <c r="A35" s="25"/>
      <c r="B35" s="25"/>
      <c r="C35" s="25"/>
      <c r="D35" s="25"/>
      <c r="E35" s="25"/>
      <c r="F35" s="25"/>
      <c r="G35" s="44"/>
      <c r="H35" s="44"/>
      <c r="I35" s="44"/>
      <c r="M35" s="49"/>
    </row>
    <row r="36" spans="1:13" ht="14.25" x14ac:dyDescent="0.15">
      <c r="A36" s="25"/>
      <c r="B36" s="25"/>
      <c r="C36" s="25"/>
      <c r="D36" s="25"/>
      <c r="E36" s="25"/>
      <c r="F36" s="25"/>
      <c r="G36" s="44"/>
      <c r="H36" s="44"/>
      <c r="I36" s="44"/>
      <c r="M36" s="49"/>
    </row>
    <row r="37" spans="1:13" ht="14.25" x14ac:dyDescent="0.15">
      <c r="A37" s="25"/>
      <c r="B37" s="25"/>
      <c r="C37" s="25"/>
      <c r="D37" s="25"/>
      <c r="E37" s="25"/>
      <c r="F37" s="25"/>
      <c r="G37" s="44"/>
      <c r="H37" s="44"/>
      <c r="I37" s="44"/>
      <c r="M37" s="49"/>
    </row>
    <row r="38" spans="1:13" ht="14.25" x14ac:dyDescent="0.15">
      <c r="A38" s="25"/>
      <c r="B38" s="25"/>
      <c r="C38" s="25"/>
      <c r="D38" s="25"/>
      <c r="E38" s="25"/>
      <c r="F38" s="25"/>
      <c r="G38" s="44"/>
      <c r="H38" s="44"/>
      <c r="I38" s="44"/>
      <c r="M38" s="49"/>
    </row>
    <row r="39" spans="1:13" ht="14.25" x14ac:dyDescent="0.15">
      <c r="A39" s="25"/>
      <c r="B39" s="25"/>
      <c r="C39" s="25"/>
      <c r="D39" s="25"/>
      <c r="E39" s="25"/>
      <c r="F39" s="25"/>
      <c r="G39" s="45"/>
      <c r="H39" s="45"/>
      <c r="I39" s="45"/>
      <c r="M39" s="49"/>
    </row>
    <row r="40" spans="1:13" ht="14.25" x14ac:dyDescent="0.15">
      <c r="A40" s="25"/>
      <c r="B40" s="25"/>
      <c r="C40" s="25"/>
      <c r="D40" s="25"/>
      <c r="E40" s="25"/>
      <c r="F40" s="25"/>
      <c r="G40" s="46"/>
      <c r="H40" s="46"/>
      <c r="I40" s="46"/>
      <c r="M40" s="49"/>
    </row>
    <row r="41" spans="1:13" ht="14.25" x14ac:dyDescent="0.15">
      <c r="A41" s="25"/>
      <c r="B41" s="25"/>
      <c r="C41" s="25"/>
      <c r="D41" s="25"/>
      <c r="E41" s="25"/>
      <c r="F41" s="25"/>
      <c r="G41" s="45"/>
      <c r="H41" s="45"/>
      <c r="I41" s="45"/>
      <c r="M41" s="50"/>
    </row>
    <row r="42" spans="1:13" ht="14.25" x14ac:dyDescent="0.15">
      <c r="A42" s="25"/>
      <c r="B42" s="25"/>
      <c r="C42" s="25"/>
      <c r="D42" s="25"/>
      <c r="E42" s="25"/>
      <c r="F42" s="25"/>
      <c r="G42" s="45"/>
      <c r="H42" s="45"/>
      <c r="I42" s="45"/>
      <c r="M42" s="50"/>
    </row>
    <row r="43" spans="1:13" ht="14.25" x14ac:dyDescent="0.15">
      <c r="A43" s="25"/>
      <c r="B43" s="25"/>
      <c r="C43" s="25"/>
      <c r="D43" s="25"/>
      <c r="E43" s="25"/>
      <c r="F43" s="25"/>
      <c r="G43" s="45"/>
      <c r="H43" s="45"/>
      <c r="I43" s="45"/>
      <c r="M43" s="50"/>
    </row>
    <row r="44" spans="1:13" ht="14.25" x14ac:dyDescent="0.15">
      <c r="A44" s="25"/>
      <c r="B44" s="25"/>
      <c r="C44" s="25"/>
      <c r="D44" s="25"/>
      <c r="E44" s="25"/>
      <c r="F44" s="25"/>
      <c r="G44" s="45"/>
      <c r="H44" s="45"/>
      <c r="I44" s="45"/>
      <c r="M44" s="50"/>
    </row>
    <row r="45" spans="1:13" ht="14.25" x14ac:dyDescent="0.15">
      <c r="A45" s="25"/>
      <c r="B45" s="25"/>
      <c r="C45" s="25"/>
      <c r="D45" s="25"/>
      <c r="E45" s="25"/>
      <c r="F45" s="25"/>
      <c r="G45" s="45"/>
      <c r="H45" s="45"/>
      <c r="I45" s="45"/>
      <c r="M45" s="50"/>
    </row>
    <row r="46" spans="1:13" ht="14.25" x14ac:dyDescent="0.15">
      <c r="A46" s="25"/>
      <c r="B46" s="25"/>
      <c r="C46" s="25"/>
      <c r="D46" s="25"/>
      <c r="E46" s="25"/>
      <c r="F46" s="25"/>
      <c r="G46" s="45"/>
      <c r="H46" s="45"/>
      <c r="I46" s="45"/>
      <c r="M46" s="50"/>
    </row>
    <row r="47" spans="1:13" ht="14.25" x14ac:dyDescent="0.15">
      <c r="A47" s="25"/>
      <c r="B47" s="25"/>
      <c r="C47" s="25"/>
      <c r="D47" s="25"/>
      <c r="E47" s="25"/>
      <c r="F47" s="25"/>
      <c r="G47" s="45"/>
      <c r="H47" s="45"/>
      <c r="I47" s="45"/>
      <c r="M47" s="51"/>
    </row>
    <row r="48" spans="1:13" ht="14.25" x14ac:dyDescent="0.15">
      <c r="A48" s="25"/>
      <c r="B48" s="25"/>
      <c r="C48" s="25"/>
      <c r="D48" s="25"/>
      <c r="E48" s="25"/>
      <c r="F48" s="25"/>
      <c r="G48" s="45"/>
      <c r="H48" s="45"/>
      <c r="I48" s="45"/>
      <c r="M48" s="51"/>
    </row>
    <row r="49" spans="1:13" ht="14.25" x14ac:dyDescent="0.15">
      <c r="A49" s="25"/>
      <c r="B49" s="25"/>
      <c r="G49" s="44"/>
      <c r="H49" s="44"/>
      <c r="I49" s="44"/>
      <c r="M49" s="51"/>
    </row>
    <row r="50" spans="1:13" ht="14.25" x14ac:dyDescent="0.15">
      <c r="A50" s="25"/>
      <c r="B50" s="25"/>
      <c r="G50" s="44"/>
      <c r="H50" s="44"/>
      <c r="I50" s="44"/>
      <c r="M50" s="51"/>
    </row>
    <row r="51" spans="1:13" ht="14.25" x14ac:dyDescent="0.15">
      <c r="A51" s="25"/>
      <c r="B51" s="25"/>
      <c r="G51" s="44"/>
      <c r="H51" s="44"/>
      <c r="I51" s="44"/>
      <c r="M51" s="51"/>
    </row>
    <row r="52" spans="1:13" ht="14.25" x14ac:dyDescent="0.15">
      <c r="A52" s="25"/>
      <c r="B52" s="25"/>
      <c r="G52" s="44"/>
      <c r="H52" s="44"/>
      <c r="I52" s="44"/>
      <c r="M52" s="51"/>
    </row>
    <row r="53" spans="1:13" ht="14.25" x14ac:dyDescent="0.15">
      <c r="A53" s="25"/>
      <c r="B53" s="25"/>
      <c r="G53" s="44"/>
      <c r="H53" s="44"/>
      <c r="I53" s="44"/>
      <c r="M53" s="52"/>
    </row>
    <row r="54" spans="1:13" ht="14.25" x14ac:dyDescent="0.15">
      <c r="A54" s="25"/>
      <c r="B54" s="25"/>
      <c r="G54" s="44"/>
      <c r="H54" s="44"/>
      <c r="I54" s="44"/>
      <c r="M54" s="52"/>
    </row>
    <row r="55" spans="1:13" ht="14.25" x14ac:dyDescent="0.15">
      <c r="A55" s="25"/>
      <c r="B55" s="25"/>
      <c r="G55" s="44"/>
      <c r="H55" s="44"/>
      <c r="I55" s="44"/>
      <c r="M55" s="52"/>
    </row>
    <row r="56" spans="1:13" ht="14.25" x14ac:dyDescent="0.15">
      <c r="A56" s="25"/>
      <c r="B56" s="25"/>
      <c r="G56" s="44"/>
      <c r="H56" s="44"/>
      <c r="I56" s="44"/>
      <c r="M56" s="52"/>
    </row>
    <row r="57" spans="1:13" ht="14.25" x14ac:dyDescent="0.15">
      <c r="A57" s="25"/>
      <c r="B57" s="25"/>
      <c r="G57" s="44"/>
      <c r="H57" s="44"/>
      <c r="I57" s="44"/>
      <c r="M57" s="52"/>
    </row>
    <row r="58" spans="1:13" ht="14.25" x14ac:dyDescent="0.15">
      <c r="A58" s="25"/>
      <c r="B58" s="25"/>
      <c r="G58" s="44"/>
      <c r="H58" s="44"/>
      <c r="I58" s="44"/>
      <c r="M58" s="52"/>
    </row>
    <row r="59" spans="1:13" ht="14.25" x14ac:dyDescent="0.15">
      <c r="A59" s="25"/>
      <c r="B59" s="25"/>
      <c r="G59" s="47"/>
      <c r="H59" s="47"/>
      <c r="I59" s="47"/>
      <c r="M59" s="52"/>
    </row>
    <row r="60" spans="1:13" ht="14.25" x14ac:dyDescent="0.15">
      <c r="A60" s="25"/>
      <c r="B60" s="25"/>
      <c r="G60" s="47"/>
      <c r="H60" s="47"/>
      <c r="I60" s="47"/>
      <c r="M60" s="52"/>
    </row>
    <row r="61" spans="1:13" ht="14.25" x14ac:dyDescent="0.15">
      <c r="A61" s="25"/>
      <c r="B61" s="25"/>
      <c r="G61" s="47"/>
      <c r="H61" s="47"/>
      <c r="I61" s="47"/>
      <c r="M61" s="52"/>
    </row>
    <row r="62" spans="1:13" ht="14.25" x14ac:dyDescent="0.15">
      <c r="A62" s="25"/>
      <c r="B62" s="25"/>
      <c r="G62" s="25"/>
      <c r="H62" s="25"/>
      <c r="I62" s="25"/>
      <c r="M62" s="52"/>
    </row>
    <row r="63" spans="1:13" ht="14.25" x14ac:dyDescent="0.15">
      <c r="A63" s="25"/>
      <c r="B63" s="25"/>
      <c r="G63" s="47"/>
      <c r="H63" s="47"/>
      <c r="I63" s="47"/>
      <c r="M63" s="52"/>
    </row>
    <row r="64" spans="1:13" ht="14.25" x14ac:dyDescent="0.15">
      <c r="A64" s="25"/>
      <c r="B64" s="25"/>
      <c r="G64" s="47"/>
      <c r="H64" s="47"/>
      <c r="I64" s="47"/>
      <c r="M64" s="52"/>
    </row>
    <row r="65" spans="1:13" ht="14.25" x14ac:dyDescent="0.15">
      <c r="A65" s="25"/>
      <c r="B65" s="25"/>
      <c r="G65" s="47"/>
      <c r="H65" s="47"/>
      <c r="I65" s="47"/>
      <c r="M65" s="53"/>
    </row>
    <row r="66" spans="1:13" ht="14.25" x14ac:dyDescent="0.15">
      <c r="A66" s="25"/>
      <c r="B66" s="25"/>
      <c r="G66" s="47"/>
      <c r="H66" s="47"/>
      <c r="I66" s="47"/>
      <c r="M66" s="53"/>
    </row>
    <row r="67" spans="1:13" ht="14.25" x14ac:dyDescent="0.15">
      <c r="A67" s="25"/>
      <c r="B67" s="25"/>
      <c r="G67" s="47"/>
      <c r="H67" s="47"/>
      <c r="I67" s="47"/>
      <c r="M67" s="53"/>
    </row>
    <row r="68" spans="1:13" ht="14.25" x14ac:dyDescent="0.15">
      <c r="A68" s="25"/>
      <c r="B68" s="25"/>
      <c r="G68" s="47"/>
      <c r="H68" s="47"/>
      <c r="I68" s="47"/>
      <c r="M68" s="53"/>
    </row>
    <row r="69" spans="1:13" ht="14.25" x14ac:dyDescent="0.15">
      <c r="A69" s="25"/>
      <c r="B69" s="25"/>
      <c r="M69" s="53"/>
    </row>
    <row r="70" spans="1:13" ht="14.25" x14ac:dyDescent="0.15">
      <c r="A70" s="25"/>
      <c r="B70" s="25"/>
      <c r="M70" s="53"/>
    </row>
    <row r="71" spans="1:13" ht="14.25" x14ac:dyDescent="0.15">
      <c r="A71" s="25"/>
      <c r="B71" s="25"/>
      <c r="M71" s="53"/>
    </row>
    <row r="72" spans="1:13" ht="14.25" x14ac:dyDescent="0.15">
      <c r="A72" s="25"/>
      <c r="B72" s="25"/>
      <c r="M72" s="53"/>
    </row>
    <row r="73" spans="1:13" ht="14.25" x14ac:dyDescent="0.15">
      <c r="A73" s="25"/>
      <c r="B73" s="25"/>
      <c r="M73" s="53"/>
    </row>
    <row r="74" spans="1:13" ht="14.25" x14ac:dyDescent="0.15">
      <c r="A74" s="25"/>
      <c r="B74" s="25"/>
      <c r="M74" s="53"/>
    </row>
    <row r="75" spans="1:13" ht="14.25" x14ac:dyDescent="0.15">
      <c r="A75" s="25"/>
      <c r="B75" s="25"/>
      <c r="M75" s="53"/>
    </row>
    <row r="76" spans="1:13" ht="14.25" x14ac:dyDescent="0.15">
      <c r="A76" s="25"/>
      <c r="B76" s="25"/>
      <c r="M76" s="53"/>
    </row>
    <row r="77" spans="1:13" ht="14.25" x14ac:dyDescent="0.15">
      <c r="A77" s="25"/>
      <c r="B77" s="25"/>
      <c r="M77" s="53"/>
    </row>
    <row r="78" spans="1:13" ht="14.25" x14ac:dyDescent="0.15">
      <c r="A78" s="25"/>
      <c r="B78" s="25"/>
      <c r="M78" s="53"/>
    </row>
    <row r="79" spans="1:13" ht="14.25" x14ac:dyDescent="0.15">
      <c r="A79" s="25"/>
      <c r="B79" s="25"/>
      <c r="G79" s="44"/>
      <c r="H79" s="44"/>
      <c r="I79" s="44"/>
      <c r="M79" s="53"/>
    </row>
    <row r="80" spans="1:13" ht="9.9499999999999993" customHeight="1" x14ac:dyDescent="0.15">
      <c r="A80" s="25"/>
      <c r="B80" s="25"/>
      <c r="G80" s="44"/>
      <c r="H80" s="44"/>
      <c r="I80" s="44"/>
      <c r="M80" s="53"/>
    </row>
    <row r="81" spans="1:13" ht="14.25" x14ac:dyDescent="0.15">
      <c r="A81" s="25"/>
      <c r="B81" s="25"/>
      <c r="G81" s="44"/>
      <c r="H81" s="44"/>
      <c r="I81" s="44"/>
      <c r="M81" s="53"/>
    </row>
    <row r="82" spans="1:13" ht="14.25" x14ac:dyDescent="0.15">
      <c r="A82" s="25"/>
      <c r="B82" s="25"/>
      <c r="G82" s="44"/>
      <c r="H82" s="44"/>
      <c r="I82" s="44"/>
      <c r="M82" s="53"/>
    </row>
    <row r="83" spans="1:13" ht="14.25" x14ac:dyDescent="0.15">
      <c r="A83" s="25"/>
      <c r="B83" s="25"/>
      <c r="G83" s="44"/>
      <c r="H83" s="44"/>
      <c r="I83" s="44"/>
      <c r="M83" s="53"/>
    </row>
    <row r="84" spans="1:13" ht="14.25" x14ac:dyDescent="0.15">
      <c r="A84" s="25"/>
      <c r="B84" s="25"/>
      <c r="G84" s="44"/>
      <c r="H84" s="44"/>
      <c r="I84" s="44"/>
      <c r="M84" s="53"/>
    </row>
    <row r="85" spans="1:13" ht="14.25" x14ac:dyDescent="0.15">
      <c r="A85" s="25"/>
      <c r="B85" s="25"/>
      <c r="G85" s="44"/>
      <c r="H85" s="44"/>
      <c r="I85" s="44"/>
      <c r="M85" s="54"/>
    </row>
    <row r="86" spans="1:13" ht="14.25" x14ac:dyDescent="0.15">
      <c r="A86" s="25"/>
      <c r="B86" s="25"/>
      <c r="G86" s="44"/>
      <c r="H86" s="44"/>
      <c r="I86" s="44"/>
      <c r="M86" s="54"/>
    </row>
    <row r="87" spans="1:13" ht="14.25" x14ac:dyDescent="0.15">
      <c r="A87" s="25"/>
      <c r="B87" s="25"/>
      <c r="G87" s="44"/>
      <c r="H87" s="44"/>
      <c r="I87" s="44"/>
      <c r="M87" s="54"/>
    </row>
    <row r="88" spans="1:13" ht="14.25" x14ac:dyDescent="0.15">
      <c r="A88" s="25"/>
      <c r="B88" s="25"/>
      <c r="G88" s="44"/>
      <c r="H88" s="44"/>
      <c r="I88" s="44"/>
      <c r="M88" s="54"/>
    </row>
    <row r="89" spans="1:13" ht="14.25" x14ac:dyDescent="0.15">
      <c r="A89" s="25"/>
      <c r="B89" s="25"/>
      <c r="M89" s="54"/>
    </row>
    <row r="90" spans="1:13" ht="14.25" x14ac:dyDescent="0.15">
      <c r="A90" s="25"/>
      <c r="B90" s="25"/>
      <c r="M90" s="55"/>
    </row>
    <row r="91" spans="1:13" ht="14.25" x14ac:dyDescent="0.15">
      <c r="A91" s="25"/>
      <c r="B91" s="25"/>
      <c r="M91" s="55"/>
    </row>
    <row r="92" spans="1:13" ht="14.25" x14ac:dyDescent="0.15">
      <c r="A92" s="25"/>
      <c r="B92" s="25"/>
      <c r="M92" s="55"/>
    </row>
    <row r="93" spans="1:13" ht="14.25" x14ac:dyDescent="0.15">
      <c r="A93" s="25"/>
      <c r="B93" s="25"/>
      <c r="M93" s="55"/>
    </row>
    <row r="94" spans="1:13" ht="14.25" x14ac:dyDescent="0.15">
      <c r="A94" s="25"/>
      <c r="B94" s="25"/>
      <c r="M94" s="55"/>
    </row>
    <row r="95" spans="1:13" ht="14.25" x14ac:dyDescent="0.15">
      <c r="A95" s="25"/>
      <c r="B95" s="25"/>
      <c r="M95" s="55"/>
    </row>
    <row r="96" spans="1:13" ht="14.25" x14ac:dyDescent="0.15">
      <c r="A96" s="25"/>
      <c r="B96" s="25"/>
      <c r="M96" s="54"/>
    </row>
    <row r="97" spans="1:13" ht="14.25" x14ac:dyDescent="0.15">
      <c r="A97" s="25"/>
      <c r="B97" s="25"/>
      <c r="M97" s="54"/>
    </row>
    <row r="98" spans="1:13" ht="14.25" x14ac:dyDescent="0.15">
      <c r="A98" s="25"/>
      <c r="B98" s="25"/>
      <c r="M98" s="54"/>
    </row>
    <row r="99" spans="1:13" ht="14.25" x14ac:dyDescent="0.15">
      <c r="A99" s="25"/>
      <c r="B99" s="25"/>
      <c r="M99" s="54"/>
    </row>
    <row r="100" spans="1:13" ht="14.25" x14ac:dyDescent="0.15">
      <c r="A100" s="25"/>
      <c r="B100" s="25"/>
      <c r="M100" s="54"/>
    </row>
    <row r="101" spans="1:13" ht="14.25" x14ac:dyDescent="0.15">
      <c r="A101" s="25"/>
      <c r="B101" s="25"/>
      <c r="M101" s="54"/>
    </row>
    <row r="102" spans="1:13" ht="14.25" x14ac:dyDescent="0.15">
      <c r="A102" s="25"/>
      <c r="B102" s="25"/>
      <c r="M102" s="54"/>
    </row>
    <row r="103" spans="1:13" ht="14.25" x14ac:dyDescent="0.15">
      <c r="A103" s="25"/>
      <c r="B103" s="25"/>
      <c r="M103" s="55"/>
    </row>
    <row r="104" spans="1:13" ht="14.25" x14ac:dyDescent="0.15">
      <c r="A104" s="25"/>
      <c r="B104" s="25"/>
      <c r="M104" s="55"/>
    </row>
    <row r="105" spans="1:13" ht="14.25" x14ac:dyDescent="0.15">
      <c r="A105" s="25"/>
      <c r="B105" s="25"/>
      <c r="M105" s="55"/>
    </row>
    <row r="106" spans="1:13" ht="14.25" x14ac:dyDescent="0.15">
      <c r="A106" s="25"/>
      <c r="B106" s="25"/>
      <c r="M106" s="55"/>
    </row>
    <row r="107" spans="1:13" ht="14.25" x14ac:dyDescent="0.15">
      <c r="A107" s="25"/>
      <c r="B107" s="25"/>
      <c r="M107" s="55"/>
    </row>
    <row r="108" spans="1:13" ht="14.25" x14ac:dyDescent="0.15">
      <c r="A108" s="25"/>
      <c r="B108" s="25"/>
      <c r="M108" s="55"/>
    </row>
    <row r="109" spans="1:13" ht="14.25" x14ac:dyDescent="0.15">
      <c r="M109" s="55"/>
    </row>
    <row r="110" spans="1:13" ht="14.25" x14ac:dyDescent="0.15">
      <c r="M110" s="55"/>
    </row>
    <row r="111" spans="1:13" ht="14.25" x14ac:dyDescent="0.15">
      <c r="M111" s="55"/>
    </row>
    <row r="112" spans="1:13" ht="14.25" x14ac:dyDescent="0.15">
      <c r="M112" s="55"/>
    </row>
    <row r="113" spans="13:13" ht="14.25" x14ac:dyDescent="0.15">
      <c r="M113" s="55"/>
    </row>
    <row r="114" spans="13:13" ht="14.25" x14ac:dyDescent="0.15">
      <c r="M114" s="55"/>
    </row>
    <row r="115" spans="13:13" ht="14.25" x14ac:dyDescent="0.15">
      <c r="M115" s="55"/>
    </row>
    <row r="116" spans="13:13" ht="14.25" x14ac:dyDescent="0.15">
      <c r="M116" s="55"/>
    </row>
    <row r="117" spans="13:13" ht="14.25" x14ac:dyDescent="0.15">
      <c r="M117" s="55"/>
    </row>
    <row r="118" spans="13:13" ht="14.25" x14ac:dyDescent="0.15">
      <c r="M118" s="55"/>
    </row>
    <row r="119" spans="13:13" ht="14.25" x14ac:dyDescent="0.15">
      <c r="M119" s="55"/>
    </row>
    <row r="120" spans="13:13" ht="14.25" x14ac:dyDescent="0.15">
      <c r="M120" s="55"/>
    </row>
    <row r="121" spans="13:13" ht="14.25" x14ac:dyDescent="0.15">
      <c r="M121" s="55"/>
    </row>
    <row r="122" spans="13:13" ht="14.25" x14ac:dyDescent="0.15">
      <c r="M122" s="55"/>
    </row>
    <row r="123" spans="13:13" ht="14.25" x14ac:dyDescent="0.15">
      <c r="M123" s="55"/>
    </row>
    <row r="124" spans="13:13" ht="14.25" x14ac:dyDescent="0.15">
      <c r="M124" s="55"/>
    </row>
    <row r="125" spans="13:13" ht="14.25" x14ac:dyDescent="0.15">
      <c r="M125" s="55"/>
    </row>
    <row r="126" spans="13:13" ht="14.25" x14ac:dyDescent="0.15">
      <c r="M126" s="55"/>
    </row>
    <row r="127" spans="13:13" ht="14.25" x14ac:dyDescent="0.15">
      <c r="M127" s="55"/>
    </row>
    <row r="128" spans="13:13" ht="14.25" x14ac:dyDescent="0.15">
      <c r="M128" s="55"/>
    </row>
    <row r="129" spans="13:13" ht="14.25" x14ac:dyDescent="0.15">
      <c r="M129" s="55"/>
    </row>
    <row r="130" spans="13:13" ht="14.25" x14ac:dyDescent="0.15">
      <c r="M130" s="55"/>
    </row>
    <row r="131" spans="13:13" ht="14.25" x14ac:dyDescent="0.15">
      <c r="M131" s="55"/>
    </row>
    <row r="132" spans="13:13" ht="14.25" x14ac:dyDescent="0.15">
      <c r="M132" s="55"/>
    </row>
    <row r="275" spans="13:13" x14ac:dyDescent="0.15">
      <c r="M275" s="36">
        <v>3</v>
      </c>
    </row>
    <row r="276" spans="13:13" x14ac:dyDescent="0.15">
      <c r="M276" s="36">
        <v>5</v>
      </c>
    </row>
    <row r="277" spans="13:13" x14ac:dyDescent="0.15">
      <c r="M277" s="36">
        <v>5</v>
      </c>
    </row>
    <row r="278" spans="13:13" x14ac:dyDescent="0.15">
      <c r="M278" s="36">
        <v>2</v>
      </c>
    </row>
  </sheetData>
  <phoneticPr fontId="34" type="noConversion"/>
  <conditionalFormatting sqref="B11:B12">
    <cfRule type="duplicateValues" dxfId="11" priority="1"/>
  </conditionalFormatting>
  <conditionalFormatting sqref="B1:B10 B13:B1048576">
    <cfRule type="duplicateValues" dxfId="10" priority="2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74"/>
  <sheetViews>
    <sheetView workbookViewId="0">
      <pane ySplit="8" topLeftCell="A9" activePane="bottomLeft" state="frozen"/>
      <selection pane="bottomLeft" activeCell="F20" sqref="F20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3" width="12.5" style="16" customWidth="1"/>
    <col min="4" max="5" width="10.625" style="16" customWidth="1"/>
    <col min="6" max="6" width="22.625" style="16" customWidth="1"/>
    <col min="7" max="16384" width="9" style="16"/>
  </cols>
  <sheetData>
    <row r="1" spans="1:6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</row>
    <row r="2" spans="1:6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</row>
    <row r="3" spans="1:6" s="6" customFormat="1" ht="14.25" x14ac:dyDescent="0.15">
      <c r="A3" s="6" t="s">
        <v>41</v>
      </c>
      <c r="B3" s="6" t="s">
        <v>43</v>
      </c>
      <c r="C3" s="6" t="s">
        <v>44</v>
      </c>
      <c r="D3" s="6" t="s">
        <v>43</v>
      </c>
      <c r="E3" s="6" t="s">
        <v>43</v>
      </c>
    </row>
    <row r="4" spans="1:6" s="6" customFormat="1" ht="14.25" x14ac:dyDescent="0.15">
      <c r="B4" s="6" t="s">
        <v>45</v>
      </c>
      <c r="C4" s="6" t="s">
        <v>51</v>
      </c>
      <c r="D4" s="6" t="s">
        <v>181</v>
      </c>
      <c r="E4" s="6" t="s">
        <v>182</v>
      </c>
    </row>
    <row r="5" spans="1:6" s="6" customFormat="1" ht="14.25" x14ac:dyDescent="0.15">
      <c r="B5" s="6" t="str">
        <f t="shared" ref="B5:D5" si="0">IF(B3="","",IF(B3="INT","i",IF(B3="FLOAT","f",IF(B3="STRING","s"))))</f>
        <v>i</v>
      </c>
      <c r="C5" s="6" t="str">
        <f t="shared" si="0"/>
        <v>s</v>
      </c>
      <c r="D5" s="6" t="str">
        <f t="shared" si="0"/>
        <v>i</v>
      </c>
      <c r="E5" s="6" t="str">
        <f t="shared" ref="E5" si="1">IF(E3="","",IF(E3="INT","i",IF(E3="FLOAT","f",IF(E3="STRING","s"))))</f>
        <v>i</v>
      </c>
    </row>
    <row r="6" spans="1:6" s="6" customFormat="1" ht="14.25" x14ac:dyDescent="0.15">
      <c r="A6" s="6" t="s">
        <v>41</v>
      </c>
      <c r="B6" s="6" t="str">
        <f t="shared" ref="B6:D6" si="2">B5&amp;B4</f>
        <v>iID</v>
      </c>
      <c r="C6" s="6" t="str">
        <f t="shared" si="2"/>
        <v>sCost</v>
      </c>
      <c r="D6" s="6" t="str">
        <f t="shared" si="2"/>
        <v>iLvl</v>
      </c>
      <c r="E6" s="6" t="str">
        <f t="shared" ref="E6" si="3">E5&amp;E4</f>
        <v>iCapacity</v>
      </c>
    </row>
    <row r="7" spans="1:6" s="6" customFormat="1" ht="43.15" customHeight="1" x14ac:dyDescent="0.15">
      <c r="B7" s="6" t="s">
        <v>52</v>
      </c>
      <c r="C7" s="6" t="s">
        <v>58</v>
      </c>
      <c r="D7" s="6" t="s">
        <v>243</v>
      </c>
      <c r="E7" s="6" t="s">
        <v>186</v>
      </c>
    </row>
    <row r="8" spans="1:6" s="6" customFormat="1" ht="14.25" x14ac:dyDescent="0.15">
      <c r="A8" s="6" t="s">
        <v>59</v>
      </c>
      <c r="B8" s="6">
        <v>0</v>
      </c>
      <c r="D8" s="6">
        <v>1</v>
      </c>
      <c r="E8" s="6">
        <v>0</v>
      </c>
    </row>
    <row r="9" spans="1:6" ht="14.25" x14ac:dyDescent="0.15">
      <c r="A9" s="25" t="s">
        <v>41</v>
      </c>
      <c r="B9" s="25">
        <v>1</v>
      </c>
      <c r="D9" s="25">
        <v>1</v>
      </c>
      <c r="E9" s="25">
        <v>60</v>
      </c>
      <c r="F9" s="25" t="s">
        <v>321</v>
      </c>
    </row>
    <row r="10" spans="1:6" s="38" customFormat="1" ht="14.25" x14ac:dyDescent="0.15">
      <c r="A10" s="30" t="s">
        <v>41</v>
      </c>
      <c r="B10" s="25">
        <v>2</v>
      </c>
      <c r="C10" s="38" t="s">
        <v>69</v>
      </c>
      <c r="D10" s="25">
        <v>10</v>
      </c>
      <c r="E10" s="25">
        <v>70</v>
      </c>
      <c r="F10" s="30"/>
    </row>
    <row r="11" spans="1:6" ht="14.25" x14ac:dyDescent="0.15">
      <c r="A11" s="25" t="s">
        <v>41</v>
      </c>
      <c r="B11" s="25">
        <v>3</v>
      </c>
      <c r="C11" s="16" t="s">
        <v>109</v>
      </c>
      <c r="D11" s="25">
        <v>20</v>
      </c>
      <c r="E11" s="25">
        <v>80</v>
      </c>
      <c r="F11" s="25"/>
    </row>
    <row r="12" spans="1:6" s="38" customFormat="1" ht="14.25" x14ac:dyDescent="0.15">
      <c r="A12" s="30" t="s">
        <v>41</v>
      </c>
      <c r="B12" s="25">
        <v>4</v>
      </c>
      <c r="C12" s="38" t="s">
        <v>159</v>
      </c>
      <c r="D12" s="25">
        <v>30</v>
      </c>
      <c r="E12" s="25">
        <v>90</v>
      </c>
      <c r="F12" s="30"/>
    </row>
    <row r="13" spans="1:6" ht="14.25" x14ac:dyDescent="0.15">
      <c r="A13" s="25" t="s">
        <v>41</v>
      </c>
      <c r="B13" s="25">
        <v>5</v>
      </c>
      <c r="C13" s="16" t="s">
        <v>322</v>
      </c>
      <c r="D13" s="25">
        <v>40</v>
      </c>
      <c r="E13" s="25">
        <v>100</v>
      </c>
      <c r="F13" s="25"/>
    </row>
    <row r="14" spans="1:6" s="38" customFormat="1" ht="14.25" x14ac:dyDescent="0.15">
      <c r="A14" s="30" t="s">
        <v>41</v>
      </c>
      <c r="B14" s="25">
        <v>6</v>
      </c>
      <c r="C14" s="38" t="s">
        <v>323</v>
      </c>
      <c r="D14" s="25">
        <v>50</v>
      </c>
      <c r="E14" s="25">
        <v>110</v>
      </c>
      <c r="F14" s="30"/>
    </row>
    <row r="15" spans="1:6" ht="14.25" x14ac:dyDescent="0.15">
      <c r="A15" s="25" t="s">
        <v>41</v>
      </c>
      <c r="B15" s="25">
        <v>7</v>
      </c>
      <c r="C15" s="16" t="s">
        <v>324</v>
      </c>
      <c r="D15" s="25">
        <v>60</v>
      </c>
      <c r="E15" s="25">
        <v>120</v>
      </c>
    </row>
    <row r="16" spans="1:6" ht="14.25" x14ac:dyDescent="0.15">
      <c r="A16" s="30" t="s">
        <v>41</v>
      </c>
      <c r="B16" s="25">
        <v>8</v>
      </c>
      <c r="C16" s="38" t="s">
        <v>325</v>
      </c>
      <c r="D16" s="25">
        <v>70</v>
      </c>
      <c r="E16" s="25">
        <v>130</v>
      </c>
    </row>
    <row r="17" spans="1:5" ht="14.25" x14ac:dyDescent="0.15">
      <c r="A17" s="25" t="s">
        <v>41</v>
      </c>
      <c r="B17" s="25">
        <v>9</v>
      </c>
      <c r="C17" s="16" t="s">
        <v>326</v>
      </c>
      <c r="D17" s="25">
        <v>80</v>
      </c>
      <c r="E17" s="25">
        <v>140</v>
      </c>
    </row>
    <row r="18" spans="1:5" ht="14.25" x14ac:dyDescent="0.15">
      <c r="A18" s="25" t="s">
        <v>41</v>
      </c>
      <c r="B18" s="25">
        <v>10</v>
      </c>
      <c r="C18" s="16" t="s">
        <v>327</v>
      </c>
      <c r="D18" s="25">
        <v>90</v>
      </c>
      <c r="E18" s="25">
        <v>150</v>
      </c>
    </row>
    <row r="19" spans="1:5" ht="14.25" x14ac:dyDescent="0.15">
      <c r="A19" s="25"/>
      <c r="B19" s="25"/>
      <c r="D19" s="25"/>
      <c r="E19" s="25"/>
    </row>
    <row r="20" spans="1:5" ht="14.25" x14ac:dyDescent="0.15">
      <c r="A20" s="25"/>
      <c r="B20" s="25"/>
      <c r="D20" s="25"/>
      <c r="E20" s="25"/>
    </row>
    <row r="21" spans="1:5" ht="14.25" x14ac:dyDescent="0.15">
      <c r="A21" s="25"/>
      <c r="B21" s="25"/>
      <c r="D21" s="25"/>
      <c r="E21" s="25"/>
    </row>
    <row r="22" spans="1:5" ht="14.25" x14ac:dyDescent="0.15">
      <c r="A22" s="25"/>
      <c r="B22" s="25"/>
      <c r="D22" s="25"/>
      <c r="E22" s="25"/>
    </row>
    <row r="23" spans="1:5" ht="14.25" x14ac:dyDescent="0.15">
      <c r="A23" s="25"/>
      <c r="B23" s="25"/>
      <c r="D23" s="25"/>
      <c r="E23" s="25"/>
    </row>
    <row r="24" spans="1:5" ht="14.25" x14ac:dyDescent="0.15">
      <c r="A24" s="25"/>
      <c r="B24" s="25"/>
      <c r="D24" s="25"/>
      <c r="E24" s="25"/>
    </row>
    <row r="25" spans="1:5" ht="14.25" x14ac:dyDescent="0.15">
      <c r="A25" s="25"/>
      <c r="B25" s="25"/>
      <c r="D25" s="25"/>
      <c r="E25" s="25"/>
    </row>
    <row r="26" spans="1:5" ht="14.25" x14ac:dyDescent="0.15">
      <c r="A26" s="25"/>
      <c r="B26" s="25"/>
      <c r="D26" s="25"/>
      <c r="E26" s="25"/>
    </row>
    <row r="27" spans="1:5" ht="14.25" x14ac:dyDescent="0.15">
      <c r="A27" s="25"/>
      <c r="B27" s="25"/>
      <c r="D27" s="25"/>
      <c r="E27" s="25"/>
    </row>
    <row r="28" spans="1:5" ht="14.25" x14ac:dyDescent="0.15">
      <c r="A28" s="25"/>
      <c r="B28" s="25"/>
      <c r="D28" s="25"/>
      <c r="E28" s="25"/>
    </row>
    <row r="29" spans="1:5" ht="14.25" x14ac:dyDescent="0.15">
      <c r="A29" s="25"/>
      <c r="B29" s="25"/>
      <c r="D29" s="25"/>
      <c r="E29" s="25"/>
    </row>
    <row r="30" spans="1:5" ht="14.25" x14ac:dyDescent="0.15">
      <c r="A30" s="25"/>
      <c r="B30" s="25"/>
      <c r="D30" s="25"/>
      <c r="E30" s="25"/>
    </row>
    <row r="31" spans="1:5" ht="14.25" x14ac:dyDescent="0.15">
      <c r="A31" s="25"/>
      <c r="B31" s="25"/>
      <c r="D31" s="25"/>
      <c r="E31" s="25"/>
    </row>
    <row r="32" spans="1:5" ht="14.25" x14ac:dyDescent="0.15">
      <c r="A32" s="25"/>
      <c r="B32" s="25"/>
      <c r="D32" s="25"/>
      <c r="E32" s="25"/>
    </row>
    <row r="33" spans="1:5" ht="14.25" x14ac:dyDescent="0.15">
      <c r="A33" s="25"/>
      <c r="B33" s="25"/>
      <c r="D33" s="25"/>
      <c r="E33" s="25"/>
    </row>
    <row r="34" spans="1:5" ht="14.25" x14ac:dyDescent="0.15">
      <c r="A34" s="25"/>
      <c r="B34" s="25"/>
      <c r="D34" s="25"/>
      <c r="E34" s="25"/>
    </row>
    <row r="35" spans="1:5" ht="14.25" x14ac:dyDescent="0.15">
      <c r="A35" s="25"/>
      <c r="B35" s="25"/>
      <c r="D35" s="25"/>
      <c r="E35" s="25"/>
    </row>
    <row r="36" spans="1:5" ht="14.25" x14ac:dyDescent="0.15">
      <c r="A36" s="25"/>
      <c r="B36" s="25"/>
      <c r="D36" s="25"/>
      <c r="E36" s="25"/>
    </row>
    <row r="37" spans="1:5" ht="14.25" x14ac:dyDescent="0.15">
      <c r="A37" s="25"/>
      <c r="B37" s="25"/>
      <c r="D37" s="25"/>
      <c r="E37" s="25"/>
    </row>
    <row r="38" spans="1:5" ht="14.25" x14ac:dyDescent="0.15">
      <c r="A38" s="25"/>
      <c r="B38" s="25"/>
      <c r="D38" s="25"/>
      <c r="E38" s="25"/>
    </row>
    <row r="39" spans="1:5" ht="14.25" x14ac:dyDescent="0.15">
      <c r="A39" s="25"/>
      <c r="B39" s="25"/>
      <c r="D39" s="25"/>
      <c r="E39" s="25"/>
    </row>
    <row r="40" spans="1:5" ht="14.25" x14ac:dyDescent="0.15">
      <c r="A40" s="25"/>
      <c r="B40" s="25"/>
      <c r="D40" s="25"/>
      <c r="E40" s="25"/>
    </row>
    <row r="41" spans="1:5" ht="14.25" x14ac:dyDescent="0.15">
      <c r="A41" s="25"/>
      <c r="B41" s="25"/>
      <c r="D41" s="25"/>
      <c r="E41" s="25"/>
    </row>
    <row r="42" spans="1:5" ht="14.25" x14ac:dyDescent="0.15">
      <c r="A42" s="25"/>
      <c r="B42" s="25"/>
      <c r="D42" s="25"/>
      <c r="E42" s="25"/>
    </row>
    <row r="43" spans="1:5" ht="14.25" x14ac:dyDescent="0.15">
      <c r="A43" s="25"/>
      <c r="B43" s="25"/>
      <c r="D43" s="25"/>
      <c r="E43" s="25"/>
    </row>
    <row r="44" spans="1:5" ht="14.25" x14ac:dyDescent="0.15">
      <c r="A44" s="25"/>
      <c r="B44" s="25"/>
      <c r="D44" s="25"/>
      <c r="E44" s="25"/>
    </row>
    <row r="45" spans="1:5" ht="14.25" x14ac:dyDescent="0.15">
      <c r="A45" s="25"/>
      <c r="B45" s="25"/>
      <c r="D45" s="25"/>
      <c r="E45" s="25"/>
    </row>
    <row r="46" spans="1:5" ht="9.9499999999999993" customHeight="1" x14ac:dyDescent="0.15">
      <c r="A46" s="25"/>
      <c r="B46" s="25"/>
      <c r="D46" s="25"/>
      <c r="E46" s="25"/>
    </row>
    <row r="47" spans="1:5" ht="14.25" x14ac:dyDescent="0.15">
      <c r="A47" s="25"/>
      <c r="B47" s="25"/>
      <c r="D47" s="25"/>
      <c r="E47" s="25"/>
    </row>
    <row r="48" spans="1:5" ht="14.25" x14ac:dyDescent="0.15">
      <c r="A48" s="25"/>
      <c r="B48" s="25"/>
      <c r="D48" s="25"/>
      <c r="E48" s="25"/>
    </row>
    <row r="49" spans="1:5" ht="14.25" x14ac:dyDescent="0.15">
      <c r="A49" s="25"/>
      <c r="B49" s="25"/>
      <c r="D49" s="25"/>
      <c r="E49" s="25"/>
    </row>
    <row r="50" spans="1:5" ht="14.25" x14ac:dyDescent="0.15">
      <c r="A50" s="25"/>
      <c r="B50" s="25"/>
      <c r="D50" s="25"/>
      <c r="E50" s="25"/>
    </row>
    <row r="51" spans="1:5" ht="14.25" x14ac:dyDescent="0.15">
      <c r="A51" s="25"/>
      <c r="B51" s="25"/>
      <c r="D51" s="25"/>
      <c r="E51" s="25"/>
    </row>
    <row r="52" spans="1:5" ht="14.25" x14ac:dyDescent="0.15">
      <c r="A52" s="25"/>
      <c r="B52" s="25"/>
      <c r="D52" s="25"/>
      <c r="E52" s="25"/>
    </row>
    <row r="53" spans="1:5" ht="14.25" x14ac:dyDescent="0.15">
      <c r="A53" s="25"/>
      <c r="B53" s="25"/>
      <c r="D53" s="25"/>
      <c r="E53" s="25"/>
    </row>
    <row r="54" spans="1:5" ht="14.25" x14ac:dyDescent="0.15">
      <c r="A54" s="25"/>
      <c r="B54" s="25"/>
      <c r="D54" s="25"/>
      <c r="E54" s="25"/>
    </row>
    <row r="55" spans="1:5" ht="14.25" x14ac:dyDescent="0.15">
      <c r="A55" s="25"/>
      <c r="B55" s="25"/>
      <c r="D55" s="25"/>
      <c r="E55" s="25"/>
    </row>
    <row r="56" spans="1:5" ht="14.25" x14ac:dyDescent="0.15">
      <c r="A56" s="25"/>
      <c r="B56" s="25"/>
      <c r="D56" s="25"/>
      <c r="E56" s="25"/>
    </row>
    <row r="57" spans="1:5" ht="14.25" x14ac:dyDescent="0.15">
      <c r="A57" s="25"/>
      <c r="B57" s="25"/>
      <c r="D57" s="25"/>
      <c r="E57" s="25"/>
    </row>
    <row r="58" spans="1:5" ht="14.25" x14ac:dyDescent="0.15">
      <c r="A58" s="25"/>
      <c r="B58" s="25"/>
      <c r="D58" s="25"/>
      <c r="E58" s="25"/>
    </row>
    <row r="59" spans="1:5" ht="14.25" x14ac:dyDescent="0.15">
      <c r="A59" s="25"/>
      <c r="B59" s="25"/>
      <c r="D59" s="25"/>
      <c r="E59" s="25"/>
    </row>
    <row r="60" spans="1:5" ht="14.25" x14ac:dyDescent="0.15">
      <c r="A60" s="25"/>
      <c r="B60" s="25"/>
      <c r="D60" s="25"/>
      <c r="E60" s="25"/>
    </row>
    <row r="61" spans="1:5" ht="14.25" x14ac:dyDescent="0.15">
      <c r="A61" s="25"/>
      <c r="B61" s="25"/>
      <c r="D61" s="25"/>
      <c r="E61" s="25"/>
    </row>
    <row r="62" spans="1:5" ht="14.25" x14ac:dyDescent="0.15">
      <c r="A62" s="25"/>
      <c r="B62" s="25"/>
      <c r="D62" s="25"/>
      <c r="E62" s="25"/>
    </row>
    <row r="63" spans="1:5" ht="14.25" x14ac:dyDescent="0.15">
      <c r="A63" s="25"/>
      <c r="B63" s="25"/>
      <c r="D63" s="25"/>
      <c r="E63" s="25"/>
    </row>
    <row r="64" spans="1:5" ht="14.25" x14ac:dyDescent="0.15">
      <c r="A64" s="25"/>
      <c r="B64" s="25"/>
      <c r="D64" s="25"/>
      <c r="E64" s="25"/>
    </row>
    <row r="65" spans="1:5" ht="14.25" x14ac:dyDescent="0.15">
      <c r="A65" s="25"/>
      <c r="B65" s="25"/>
      <c r="D65" s="25"/>
      <c r="E65" s="25"/>
    </row>
    <row r="66" spans="1:5" ht="14.25" x14ac:dyDescent="0.15">
      <c r="A66" s="25"/>
      <c r="B66" s="25"/>
      <c r="D66" s="25"/>
      <c r="E66" s="25"/>
    </row>
    <row r="67" spans="1:5" ht="14.25" x14ac:dyDescent="0.15">
      <c r="A67" s="25"/>
      <c r="B67" s="25"/>
      <c r="D67" s="25"/>
      <c r="E67" s="25"/>
    </row>
    <row r="68" spans="1:5" ht="14.25" x14ac:dyDescent="0.15">
      <c r="A68" s="25"/>
      <c r="B68" s="25"/>
      <c r="D68" s="25"/>
      <c r="E68" s="25"/>
    </row>
    <row r="69" spans="1:5" ht="14.25" x14ac:dyDescent="0.15">
      <c r="A69" s="25"/>
      <c r="B69" s="25"/>
      <c r="D69" s="25"/>
      <c r="E69" s="25"/>
    </row>
    <row r="70" spans="1:5" ht="14.25" x14ac:dyDescent="0.15">
      <c r="A70" s="25"/>
      <c r="B70" s="25"/>
      <c r="D70" s="25"/>
      <c r="E70" s="25"/>
    </row>
    <row r="71" spans="1:5" ht="14.25" x14ac:dyDescent="0.15">
      <c r="A71" s="25"/>
      <c r="B71" s="25"/>
      <c r="D71" s="25"/>
      <c r="E71" s="25"/>
    </row>
    <row r="72" spans="1:5" ht="14.25" x14ac:dyDescent="0.15">
      <c r="A72" s="25"/>
      <c r="B72" s="25"/>
      <c r="D72" s="25"/>
      <c r="E72" s="25"/>
    </row>
    <row r="73" spans="1:5" ht="14.25" x14ac:dyDescent="0.15">
      <c r="A73" s="25"/>
      <c r="B73" s="25"/>
      <c r="D73" s="25"/>
      <c r="E73" s="25"/>
    </row>
    <row r="74" spans="1:5" ht="14.25" x14ac:dyDescent="0.15">
      <c r="A74" s="25"/>
      <c r="B74" s="25"/>
      <c r="D74" s="25"/>
      <c r="E74" s="25"/>
    </row>
  </sheetData>
  <phoneticPr fontId="34" type="noConversion"/>
  <conditionalFormatting sqref="B3:B18">
    <cfRule type="duplicateValues" dxfId="9" priority="7"/>
  </conditionalFormatting>
  <conditionalFormatting sqref="B19:B1048576">
    <cfRule type="duplicateValues" dxfId="8" priority="8"/>
  </conditionalFormatting>
  <conditionalFormatting sqref="D19:D1048576">
    <cfRule type="duplicateValues" dxfId="7" priority="5"/>
  </conditionalFormatting>
  <conditionalFormatting sqref="E3:E18">
    <cfRule type="duplicateValues" dxfId="6" priority="1"/>
  </conditionalFormatting>
  <conditionalFormatting sqref="E19:E1048576">
    <cfRule type="duplicateValues" dxfId="5" priority="2"/>
  </conditionalFormatting>
  <conditionalFormatting sqref="D3:D7 D9:D18">
    <cfRule type="duplicateValues" dxfId="4" priority="4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402"/>
  <sheetViews>
    <sheetView workbookViewId="0">
      <pane ySplit="8" topLeftCell="A171" activePane="bottomLeft" state="frozen"/>
      <selection pane="bottomLeft" activeCell="E10" sqref="E10"/>
    </sheetView>
  </sheetViews>
  <sheetFormatPr defaultColWidth="9" defaultRowHeight="13.5" x14ac:dyDescent="0.15"/>
  <cols>
    <col min="1" max="1" width="9" style="16" customWidth="1"/>
    <col min="2" max="2" width="10.75" style="16" customWidth="1"/>
    <col min="3" max="3" width="9.625" style="16" customWidth="1"/>
    <col min="4" max="4" width="13.75" style="16" customWidth="1"/>
    <col min="5" max="5" width="12.375" style="16" customWidth="1"/>
    <col min="6" max="7" width="9" style="16" customWidth="1"/>
    <col min="8" max="8" width="7.5" style="16" customWidth="1"/>
    <col min="9" max="9" width="8" style="16" customWidth="1"/>
    <col min="10" max="10" width="17.375" style="16" customWidth="1"/>
    <col min="11" max="12" width="9" style="16" customWidth="1"/>
    <col min="13" max="13" width="10.625" style="16" customWidth="1"/>
    <col min="14" max="14" width="10.5" style="16" customWidth="1"/>
    <col min="15" max="15" width="16.125" style="16" customWidth="1"/>
    <col min="16" max="16" width="25.125" style="16" customWidth="1"/>
    <col min="17" max="18" width="9" style="16" customWidth="1"/>
    <col min="19" max="19" width="27.75" style="16" customWidth="1"/>
    <col min="20" max="21" width="9" style="16" customWidth="1"/>
    <col min="22" max="22" width="13.75" style="16" customWidth="1"/>
    <col min="23" max="16384" width="9" style="16"/>
  </cols>
  <sheetData>
    <row r="1" spans="1:34" s="5" customFormat="1" x14ac:dyDescent="0.15">
      <c r="A1" s="26" t="s">
        <v>40</v>
      </c>
      <c r="B1" s="5" t="s">
        <v>41</v>
      </c>
      <c r="C1" s="5" t="s">
        <v>41</v>
      </c>
      <c r="E1" s="5" t="s">
        <v>41</v>
      </c>
      <c r="F1" s="5" t="s">
        <v>41</v>
      </c>
      <c r="G1" s="5" t="s">
        <v>41</v>
      </c>
      <c r="H1" s="5" t="s">
        <v>41</v>
      </c>
      <c r="I1" s="5" t="s">
        <v>41</v>
      </c>
      <c r="M1" s="5" t="s">
        <v>41</v>
      </c>
      <c r="N1" s="5" t="s">
        <v>41</v>
      </c>
      <c r="O1" s="5" t="s">
        <v>41</v>
      </c>
      <c r="P1" s="5" t="s">
        <v>41</v>
      </c>
      <c r="Q1" s="5" t="s">
        <v>41</v>
      </c>
      <c r="R1" s="5" t="s">
        <v>41</v>
      </c>
      <c r="T1" s="5" t="s">
        <v>41</v>
      </c>
      <c r="V1" s="5" t="s">
        <v>41</v>
      </c>
    </row>
    <row r="2" spans="1:34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  <c r="L2" s="5" t="s">
        <v>41</v>
      </c>
      <c r="M2" s="5" t="s">
        <v>41</v>
      </c>
      <c r="N2" s="5" t="s">
        <v>41</v>
      </c>
      <c r="O2" s="5" t="s">
        <v>41</v>
      </c>
      <c r="P2" s="5" t="s">
        <v>41</v>
      </c>
      <c r="R2" s="5" t="s">
        <v>41</v>
      </c>
      <c r="S2" s="5" t="s">
        <v>41</v>
      </c>
      <c r="T2" s="5" t="s">
        <v>41</v>
      </c>
      <c r="U2" s="5" t="s">
        <v>41</v>
      </c>
    </row>
    <row r="3" spans="1:34" s="19" customFormat="1" ht="14.25" x14ac:dyDescent="0.15">
      <c r="A3" s="6" t="s">
        <v>41</v>
      </c>
      <c r="B3" s="6" t="s">
        <v>43</v>
      </c>
      <c r="C3" s="6" t="s">
        <v>43</v>
      </c>
      <c r="D3" s="6" t="s">
        <v>44</v>
      </c>
      <c r="E3" s="6" t="s">
        <v>43</v>
      </c>
      <c r="F3" s="6" t="s">
        <v>43</v>
      </c>
      <c r="G3" s="6" t="s">
        <v>43</v>
      </c>
      <c r="H3" s="6" t="s">
        <v>43</v>
      </c>
      <c r="I3" s="6" t="s">
        <v>43</v>
      </c>
      <c r="J3" s="6" t="s">
        <v>44</v>
      </c>
      <c r="K3" s="19" t="s">
        <v>43</v>
      </c>
      <c r="L3" s="6" t="s">
        <v>43</v>
      </c>
      <c r="M3" s="6" t="s">
        <v>43</v>
      </c>
      <c r="N3" s="6" t="s">
        <v>43</v>
      </c>
      <c r="O3" s="6" t="s">
        <v>44</v>
      </c>
      <c r="P3" s="6" t="s">
        <v>44</v>
      </c>
      <c r="Q3" s="6" t="s">
        <v>43</v>
      </c>
      <c r="R3" s="6" t="s">
        <v>43</v>
      </c>
      <c r="S3" s="6" t="s">
        <v>44</v>
      </c>
      <c r="T3" s="6" t="s">
        <v>43</v>
      </c>
      <c r="U3" s="6" t="s">
        <v>44</v>
      </c>
      <c r="V3" s="6" t="s">
        <v>43</v>
      </c>
    </row>
    <row r="4" spans="1:34" s="19" customFormat="1" ht="14.25" x14ac:dyDescent="0.15">
      <c r="A4" s="6"/>
      <c r="B4" s="6" t="s">
        <v>45</v>
      </c>
      <c r="C4" s="6" t="s">
        <v>328</v>
      </c>
      <c r="D4" s="6" t="s">
        <v>50</v>
      </c>
      <c r="E4" s="19" t="s">
        <v>329</v>
      </c>
      <c r="F4" s="19" t="s">
        <v>330</v>
      </c>
      <c r="G4" s="6" t="s">
        <v>331</v>
      </c>
      <c r="H4" s="6" t="s">
        <v>181</v>
      </c>
      <c r="I4" s="6" t="s">
        <v>332</v>
      </c>
      <c r="J4" s="19" t="s">
        <v>333</v>
      </c>
      <c r="K4" s="19" t="s">
        <v>334</v>
      </c>
      <c r="L4" s="19" t="s">
        <v>335</v>
      </c>
      <c r="M4" s="6" t="s">
        <v>336</v>
      </c>
      <c r="N4" s="6" t="s">
        <v>337</v>
      </c>
      <c r="O4" s="6" t="s">
        <v>302</v>
      </c>
      <c r="P4" s="6" t="s">
        <v>338</v>
      </c>
      <c r="Q4" s="6" t="s">
        <v>339</v>
      </c>
      <c r="R4" s="19" t="s">
        <v>303</v>
      </c>
      <c r="S4" s="6" t="s">
        <v>340</v>
      </c>
      <c r="T4" s="19" t="s">
        <v>341</v>
      </c>
      <c r="U4" s="19" t="s">
        <v>342</v>
      </c>
      <c r="V4" s="19" t="s">
        <v>343</v>
      </c>
    </row>
    <row r="5" spans="1:34" s="19" customFormat="1" ht="14.25" x14ac:dyDescent="0.15">
      <c r="A5" s="6"/>
      <c r="B5" s="6" t="str">
        <f>IF(B3="","",IF(B3="INT","i",IF(B3="FLOAT","f",IF(B3="STRING","s"))))</f>
        <v>i</v>
      </c>
      <c r="C5" s="6" t="str">
        <f>IF(C3="","",IF(C3="INT","i",IF(C3="FLOAT","f",IF(C3="STRING","s"))))</f>
        <v>i</v>
      </c>
      <c r="D5" s="6" t="str">
        <f t="shared" ref="D5" si="0">IF(D3="","",IF(D3="INT","i",IF(D3="FLOAT","f",IF(D3="STRING","s"))))</f>
        <v>s</v>
      </c>
      <c r="E5" s="6" t="str">
        <f t="shared" ref="E5:J5" si="1">IF(E3="","",IF(E3="INT","i",IF(E3="FLOAT","f",IF(E3="STRING","s"))))</f>
        <v>i</v>
      </c>
      <c r="F5" s="6" t="str">
        <f t="shared" si="1"/>
        <v>i</v>
      </c>
      <c r="G5" s="6" t="str">
        <f t="shared" si="1"/>
        <v>i</v>
      </c>
      <c r="H5" s="6" t="str">
        <f t="shared" si="1"/>
        <v>i</v>
      </c>
      <c r="I5" s="6" t="str">
        <f t="shared" ref="I5" si="2">IF(I3="","",IF(I3="INT","i",IF(I3="FLOAT","f",IF(I3="STRING","s"))))</f>
        <v>i</v>
      </c>
      <c r="J5" s="6" t="str">
        <f t="shared" si="1"/>
        <v>s</v>
      </c>
      <c r="K5" s="19" t="s">
        <v>307</v>
      </c>
      <c r="L5" s="6" t="str">
        <f t="shared" ref="L5:S5" si="3">IF(L3="","",IF(L3="INT","i",IF(L3="FLOAT","f",IF(L3="STRING","s"))))</f>
        <v>i</v>
      </c>
      <c r="M5" s="6" t="str">
        <f t="shared" si="3"/>
        <v>i</v>
      </c>
      <c r="N5" s="6" t="str">
        <f t="shared" si="3"/>
        <v>i</v>
      </c>
      <c r="O5" s="6" t="str">
        <f t="shared" si="3"/>
        <v>s</v>
      </c>
      <c r="P5" s="6" t="str">
        <f t="shared" si="3"/>
        <v>s</v>
      </c>
      <c r="Q5" s="6" t="str">
        <f t="shared" si="3"/>
        <v>i</v>
      </c>
      <c r="R5" s="6" t="str">
        <f t="shared" si="3"/>
        <v>i</v>
      </c>
      <c r="S5" s="6" t="str">
        <f t="shared" si="3"/>
        <v>s</v>
      </c>
      <c r="T5" s="6" t="str">
        <f t="shared" ref="T5:V5" si="4">IF(T3="","",IF(T3="INT","i",IF(T3="FLOAT","f",IF(T3="STRING","s"))))</f>
        <v>i</v>
      </c>
      <c r="U5" s="6" t="str">
        <f t="shared" si="4"/>
        <v>s</v>
      </c>
      <c r="V5" s="6" t="str">
        <f t="shared" si="4"/>
        <v>i</v>
      </c>
    </row>
    <row r="6" spans="1:34" s="19" customFormat="1" ht="14.25" x14ac:dyDescent="0.15">
      <c r="A6" s="6" t="s">
        <v>41</v>
      </c>
      <c r="B6" s="6" t="str">
        <f>B5&amp;B4</f>
        <v>iID</v>
      </c>
      <c r="C6" s="6" t="str">
        <f>C5&amp;C4</f>
        <v>iFromulationID</v>
      </c>
      <c r="D6" s="6" t="str">
        <f t="shared" ref="D6" si="5">D5&amp;D4</f>
        <v>sName</v>
      </c>
      <c r="E6" s="6" t="str">
        <f t="shared" ref="E6:J6" si="6">E5&amp;E4</f>
        <v>iMakeTime</v>
      </c>
      <c r="F6" s="6" t="str">
        <f t="shared" si="6"/>
        <v>iFormType</v>
      </c>
      <c r="G6" s="6" t="str">
        <f t="shared" si="6"/>
        <v>iExp</v>
      </c>
      <c r="H6" s="6" t="str">
        <f t="shared" si="6"/>
        <v>iLvl</v>
      </c>
      <c r="I6" s="6" t="str">
        <f t="shared" ref="I6" si="7">I5&amp;I4</f>
        <v>iProduct</v>
      </c>
      <c r="J6" s="6" t="str">
        <f t="shared" si="6"/>
        <v>sEffectStr</v>
      </c>
      <c r="K6" s="19" t="s">
        <v>344</v>
      </c>
      <c r="L6" s="6" t="str">
        <f t="shared" ref="L6:T6" si="8">L5&amp;L4</f>
        <v>iweight</v>
      </c>
      <c r="M6" s="6" t="str">
        <f t="shared" si="8"/>
        <v>iLow</v>
      </c>
      <c r="N6" s="6" t="str">
        <f t="shared" si="8"/>
        <v>iUp</v>
      </c>
      <c r="O6" s="6" t="str">
        <f t="shared" si="8"/>
        <v>sEffect</v>
      </c>
      <c r="P6" s="6" t="str">
        <f t="shared" si="8"/>
        <v>sCostItemInfo</v>
      </c>
      <c r="Q6" s="6" t="str">
        <f t="shared" si="8"/>
        <v>iRequire</v>
      </c>
      <c r="R6" s="6" t="str">
        <f t="shared" si="8"/>
        <v>iSubType</v>
      </c>
      <c r="S6" s="6" t="str">
        <f t="shared" si="8"/>
        <v>sIcon</v>
      </c>
      <c r="T6" s="6" t="str">
        <f t="shared" si="8"/>
        <v>iNeedPropNum</v>
      </c>
      <c r="U6" s="6" t="str">
        <f t="shared" ref="U6:V6" si="9">U5&amp;U4</f>
        <v>sItemQuality</v>
      </c>
      <c r="V6" s="6" t="str">
        <f t="shared" si="9"/>
        <v>iOderParamS</v>
      </c>
    </row>
    <row r="7" spans="1:34" s="10" customFormat="1" ht="43.15" customHeight="1" x14ac:dyDescent="0.15">
      <c r="A7" s="6"/>
      <c r="B7" s="6" t="s">
        <v>345</v>
      </c>
      <c r="C7" s="6" t="s">
        <v>346</v>
      </c>
      <c r="D7" s="6" t="s">
        <v>347</v>
      </c>
      <c r="E7" s="10" t="s">
        <v>348</v>
      </c>
      <c r="F7" s="10" t="s">
        <v>349</v>
      </c>
      <c r="G7" s="6" t="s">
        <v>350</v>
      </c>
      <c r="H7" s="6" t="s">
        <v>351</v>
      </c>
      <c r="I7" s="6" t="s">
        <v>352</v>
      </c>
      <c r="J7" s="6" t="s">
        <v>353</v>
      </c>
      <c r="K7" s="10" t="s">
        <v>354</v>
      </c>
      <c r="L7" s="10" t="s">
        <v>355</v>
      </c>
      <c r="M7" s="6" t="s">
        <v>356</v>
      </c>
      <c r="N7" s="6" t="s">
        <v>357</v>
      </c>
      <c r="O7" s="6" t="s">
        <v>358</v>
      </c>
      <c r="P7" s="6" t="s">
        <v>359</v>
      </c>
      <c r="Q7" s="6" t="s">
        <v>360</v>
      </c>
      <c r="R7" s="10" t="s">
        <v>361</v>
      </c>
      <c r="S7" s="6" t="s">
        <v>362</v>
      </c>
      <c r="T7" s="10" t="s">
        <v>363</v>
      </c>
      <c r="U7" s="6" t="s">
        <v>364</v>
      </c>
      <c r="V7" s="10" t="s">
        <v>365</v>
      </c>
    </row>
    <row r="8" spans="1:34" s="10" customFormat="1" ht="14.25" x14ac:dyDescent="0.15">
      <c r="A8" s="6" t="s">
        <v>59</v>
      </c>
      <c r="B8" s="6" t="e">
        <f>MODE(B10:B1093)</f>
        <v>#N/A</v>
      </c>
      <c r="C8" s="6">
        <v>0</v>
      </c>
      <c r="D8" s="6"/>
      <c r="E8" s="6">
        <v>1</v>
      </c>
      <c r="F8" s="6">
        <v>1</v>
      </c>
      <c r="G8" s="6">
        <v>0</v>
      </c>
      <c r="H8" s="6">
        <v>1</v>
      </c>
      <c r="I8" s="6"/>
      <c r="J8" s="6"/>
      <c r="K8" s="10">
        <v>0</v>
      </c>
      <c r="L8" s="6">
        <v>1</v>
      </c>
      <c r="M8" s="6">
        <v>0</v>
      </c>
      <c r="N8" s="6">
        <v>0</v>
      </c>
      <c r="O8" s="6"/>
      <c r="P8" s="6"/>
      <c r="Q8" s="6">
        <v>0</v>
      </c>
      <c r="R8" s="6">
        <v>0</v>
      </c>
      <c r="S8" s="6"/>
      <c r="T8" s="6">
        <v>0</v>
      </c>
      <c r="U8" s="19"/>
      <c r="V8" s="6">
        <v>100</v>
      </c>
    </row>
    <row r="9" spans="1:34" s="39" customFormat="1" ht="14.25" x14ac:dyDescent="0.15">
      <c r="A9" s="12"/>
      <c r="B9" s="12"/>
      <c r="C9" s="12"/>
      <c r="D9" s="12"/>
      <c r="E9" s="12"/>
      <c r="F9" s="12"/>
      <c r="G9" s="12"/>
      <c r="H9" s="12"/>
      <c r="I9" s="12"/>
      <c r="J9" s="12"/>
      <c r="L9" s="12"/>
      <c r="M9" s="12"/>
      <c r="N9" s="12"/>
      <c r="O9" s="12"/>
      <c r="P9" s="12"/>
      <c r="Q9" s="12"/>
      <c r="R9" s="12"/>
      <c r="T9" s="12"/>
      <c r="V9" s="12"/>
    </row>
    <row r="10" spans="1:34" ht="14.25" x14ac:dyDescent="0.15">
      <c r="A10" s="25" t="s">
        <v>41</v>
      </c>
      <c r="B10" s="16">
        <v>1</v>
      </c>
      <c r="C10" s="16">
        <v>91011</v>
      </c>
      <c r="D10" s="23" t="s">
        <v>366</v>
      </c>
      <c r="F10" s="16">
        <v>1</v>
      </c>
      <c r="G10" s="16">
        <v>10</v>
      </c>
      <c r="H10" s="16">
        <v>1</v>
      </c>
      <c r="I10" s="16">
        <v>31011</v>
      </c>
      <c r="J10" s="16" t="s">
        <v>746</v>
      </c>
      <c r="O10" s="40"/>
      <c r="P10" s="23" t="s">
        <v>255</v>
      </c>
      <c r="Q10" s="16">
        <v>50</v>
      </c>
      <c r="R10" s="16">
        <v>1</v>
      </c>
      <c r="S10" s="16" t="s">
        <v>367</v>
      </c>
      <c r="T10" s="16">
        <v>1</v>
      </c>
      <c r="U10" s="16" t="s">
        <v>368</v>
      </c>
      <c r="V10" s="16">
        <v>15</v>
      </c>
    </row>
    <row r="11" spans="1:34" ht="14.25" x14ac:dyDescent="0.15">
      <c r="A11" s="25" t="s">
        <v>41</v>
      </c>
      <c r="B11" s="16">
        <v>2</v>
      </c>
      <c r="C11" s="16">
        <v>91012</v>
      </c>
      <c r="D11" s="23" t="s">
        <v>369</v>
      </c>
      <c r="F11" s="16">
        <v>1</v>
      </c>
      <c r="G11" s="16">
        <v>10</v>
      </c>
      <c r="H11" s="16">
        <v>1</v>
      </c>
      <c r="I11" s="16">
        <v>31012</v>
      </c>
      <c r="J11" s="16" t="s">
        <v>747</v>
      </c>
      <c r="O11" s="40"/>
      <c r="P11" s="23" t="s">
        <v>920</v>
      </c>
      <c r="Q11" s="16">
        <v>120</v>
      </c>
      <c r="R11" s="16">
        <v>1</v>
      </c>
      <c r="S11" s="16" t="s">
        <v>367</v>
      </c>
      <c r="T11" s="16">
        <v>1</v>
      </c>
      <c r="U11" s="16" t="s">
        <v>370</v>
      </c>
      <c r="V11" s="16">
        <v>45</v>
      </c>
    </row>
    <row r="12" spans="1:34" ht="14.25" x14ac:dyDescent="0.15">
      <c r="A12" s="25" t="s">
        <v>41</v>
      </c>
      <c r="B12" s="16">
        <v>3</v>
      </c>
      <c r="C12" s="16">
        <v>91013</v>
      </c>
      <c r="D12" s="23" t="s">
        <v>371</v>
      </c>
      <c r="F12" s="16">
        <v>1</v>
      </c>
      <c r="G12" s="16">
        <v>10</v>
      </c>
      <c r="H12" s="16">
        <v>1</v>
      </c>
      <c r="I12" s="16">
        <v>31013</v>
      </c>
      <c r="J12" s="16" t="s">
        <v>748</v>
      </c>
      <c r="O12" s="40"/>
      <c r="P12" s="23" t="s">
        <v>921</v>
      </c>
      <c r="Q12" s="16">
        <v>130</v>
      </c>
      <c r="R12" s="16">
        <v>1</v>
      </c>
      <c r="S12" s="16" t="s">
        <v>367</v>
      </c>
      <c r="T12" s="16">
        <v>1</v>
      </c>
      <c r="U12" s="16" t="s">
        <v>372</v>
      </c>
      <c r="V12" s="16">
        <v>135</v>
      </c>
    </row>
    <row r="13" spans="1:34" s="38" customFormat="1" ht="14.25" x14ac:dyDescent="0.15">
      <c r="A13" s="25" t="s">
        <v>41</v>
      </c>
      <c r="B13" s="16">
        <v>4</v>
      </c>
      <c r="C13" s="16">
        <v>91021</v>
      </c>
      <c r="D13" s="22" t="s">
        <v>373</v>
      </c>
      <c r="E13" s="16"/>
      <c r="F13" s="38">
        <v>1</v>
      </c>
      <c r="G13" s="16">
        <v>10</v>
      </c>
      <c r="H13" s="16">
        <v>1</v>
      </c>
      <c r="I13" s="16">
        <v>31021</v>
      </c>
      <c r="J13" s="16" t="s">
        <v>749</v>
      </c>
      <c r="K13" s="16">
        <v>91011</v>
      </c>
      <c r="O13" s="41"/>
      <c r="P13" s="23" t="s">
        <v>258</v>
      </c>
      <c r="Q13" s="38">
        <v>100</v>
      </c>
      <c r="R13" s="16">
        <v>1</v>
      </c>
      <c r="S13" s="38" t="s">
        <v>374</v>
      </c>
      <c r="T13" s="16">
        <v>1</v>
      </c>
      <c r="U13" s="16" t="s">
        <v>368</v>
      </c>
      <c r="V13" s="16">
        <v>30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</row>
    <row r="14" spans="1:34" s="38" customFormat="1" ht="14.25" x14ac:dyDescent="0.15">
      <c r="A14" s="25" t="s">
        <v>41</v>
      </c>
      <c r="B14" s="16">
        <v>5</v>
      </c>
      <c r="C14" s="16">
        <v>91022</v>
      </c>
      <c r="D14" s="22" t="s">
        <v>375</v>
      </c>
      <c r="E14" s="16"/>
      <c r="F14" s="38">
        <v>1</v>
      </c>
      <c r="G14" s="16">
        <v>10</v>
      </c>
      <c r="H14" s="16">
        <v>1</v>
      </c>
      <c r="I14" s="16">
        <v>31022</v>
      </c>
      <c r="J14" s="16" t="s">
        <v>750</v>
      </c>
      <c r="K14" s="16" t="s">
        <v>919</v>
      </c>
      <c r="O14" s="41"/>
      <c r="P14" s="23" t="s">
        <v>922</v>
      </c>
      <c r="Q14" s="38">
        <v>140</v>
      </c>
      <c r="R14" s="16">
        <v>1</v>
      </c>
      <c r="S14" s="38" t="s">
        <v>374</v>
      </c>
      <c r="T14" s="16">
        <v>1</v>
      </c>
      <c r="U14" s="16" t="s">
        <v>370</v>
      </c>
      <c r="V14" s="16">
        <v>90</v>
      </c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</row>
    <row r="15" spans="1:34" s="38" customFormat="1" ht="14.25" x14ac:dyDescent="0.15">
      <c r="A15" s="25" t="s">
        <v>41</v>
      </c>
      <c r="B15" s="16">
        <v>6</v>
      </c>
      <c r="C15" s="16">
        <v>91023</v>
      </c>
      <c r="D15" s="22" t="s">
        <v>376</v>
      </c>
      <c r="E15" s="16"/>
      <c r="F15" s="38">
        <v>1</v>
      </c>
      <c r="G15" s="16">
        <v>10</v>
      </c>
      <c r="H15" s="16">
        <v>1</v>
      </c>
      <c r="I15" s="16">
        <v>31023</v>
      </c>
      <c r="J15" s="16" t="s">
        <v>751</v>
      </c>
      <c r="K15" s="16" t="s">
        <v>919</v>
      </c>
      <c r="O15" s="41"/>
      <c r="P15" s="23" t="s">
        <v>923</v>
      </c>
      <c r="Q15" s="38">
        <v>150</v>
      </c>
      <c r="R15" s="16">
        <v>1</v>
      </c>
      <c r="S15" s="38" t="s">
        <v>374</v>
      </c>
      <c r="T15" s="16">
        <v>1</v>
      </c>
      <c r="U15" s="16" t="s">
        <v>372</v>
      </c>
      <c r="V15" s="16">
        <v>270</v>
      </c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</row>
    <row r="16" spans="1:34" ht="14.25" x14ac:dyDescent="0.15">
      <c r="A16" s="25" t="s">
        <v>41</v>
      </c>
      <c r="B16" s="16">
        <v>7</v>
      </c>
      <c r="C16" s="16">
        <v>91031</v>
      </c>
      <c r="D16" s="23" t="s">
        <v>377</v>
      </c>
      <c r="F16" s="16">
        <v>1</v>
      </c>
      <c r="G16" s="16">
        <v>10</v>
      </c>
      <c r="H16" s="16">
        <v>1</v>
      </c>
      <c r="I16" s="16">
        <v>31031</v>
      </c>
      <c r="J16" s="16" t="s">
        <v>752</v>
      </c>
      <c r="K16" s="16">
        <v>91021</v>
      </c>
      <c r="L16" s="38"/>
      <c r="M16" s="38"/>
      <c r="N16" s="38"/>
      <c r="O16" s="40"/>
      <c r="P16" s="23" t="s">
        <v>378</v>
      </c>
      <c r="Q16" s="16">
        <v>160</v>
      </c>
      <c r="R16" s="16">
        <v>1</v>
      </c>
      <c r="S16" s="16" t="s">
        <v>379</v>
      </c>
      <c r="T16" s="16">
        <v>1</v>
      </c>
      <c r="U16" s="16" t="s">
        <v>368</v>
      </c>
      <c r="V16" s="16">
        <v>30</v>
      </c>
    </row>
    <row r="17" spans="1:34" ht="14.25" x14ac:dyDescent="0.15">
      <c r="A17" s="25" t="s">
        <v>41</v>
      </c>
      <c r="B17" s="16">
        <v>8</v>
      </c>
      <c r="C17" s="16">
        <v>91032</v>
      </c>
      <c r="D17" s="23" t="s">
        <v>380</v>
      </c>
      <c r="F17" s="16">
        <v>1</v>
      </c>
      <c r="G17" s="16">
        <v>10</v>
      </c>
      <c r="H17" s="16">
        <v>1</v>
      </c>
      <c r="I17" s="16">
        <v>31032</v>
      </c>
      <c r="J17" s="16" t="s">
        <v>753</v>
      </c>
      <c r="K17" s="16" t="s">
        <v>919</v>
      </c>
      <c r="L17" s="38"/>
      <c r="M17" s="38"/>
      <c r="N17" s="38"/>
      <c r="O17" s="40"/>
      <c r="P17" s="23" t="s">
        <v>924</v>
      </c>
      <c r="Q17" s="16">
        <v>170</v>
      </c>
      <c r="R17" s="16">
        <v>1</v>
      </c>
      <c r="S17" s="16" t="s">
        <v>379</v>
      </c>
      <c r="T17" s="16">
        <v>1</v>
      </c>
      <c r="U17" s="16" t="s">
        <v>370</v>
      </c>
      <c r="V17" s="16">
        <v>90</v>
      </c>
    </row>
    <row r="18" spans="1:34" ht="14.25" x14ac:dyDescent="0.15">
      <c r="A18" s="25" t="s">
        <v>41</v>
      </c>
      <c r="B18" s="16">
        <v>9</v>
      </c>
      <c r="C18" s="16">
        <v>91033</v>
      </c>
      <c r="D18" s="23" t="s">
        <v>381</v>
      </c>
      <c r="F18" s="16">
        <v>1</v>
      </c>
      <c r="G18" s="16">
        <v>10</v>
      </c>
      <c r="H18" s="16">
        <v>1</v>
      </c>
      <c r="I18" s="16">
        <v>31033</v>
      </c>
      <c r="J18" s="16" t="s">
        <v>754</v>
      </c>
      <c r="K18" s="16" t="s">
        <v>919</v>
      </c>
      <c r="L18" s="38"/>
      <c r="M18" s="38"/>
      <c r="N18" s="38"/>
      <c r="O18" s="40"/>
      <c r="P18" s="23" t="s">
        <v>925</v>
      </c>
      <c r="Q18" s="16">
        <v>180</v>
      </c>
      <c r="R18" s="16">
        <v>1</v>
      </c>
      <c r="S18" s="16" t="s">
        <v>379</v>
      </c>
      <c r="T18" s="16">
        <v>1</v>
      </c>
      <c r="U18" s="16" t="s">
        <v>372</v>
      </c>
      <c r="V18" s="16">
        <v>270</v>
      </c>
    </row>
    <row r="19" spans="1:34" ht="14.25" x14ac:dyDescent="0.15">
      <c r="A19" s="25" t="s">
        <v>41</v>
      </c>
      <c r="B19" s="16">
        <v>10</v>
      </c>
      <c r="C19" s="16">
        <v>91041</v>
      </c>
      <c r="D19" s="23" t="s">
        <v>382</v>
      </c>
      <c r="F19" s="16">
        <v>1</v>
      </c>
      <c r="G19" s="16">
        <v>10</v>
      </c>
      <c r="H19" s="16">
        <v>1</v>
      </c>
      <c r="I19" s="16">
        <v>31041</v>
      </c>
      <c r="J19" s="16" t="s">
        <v>755</v>
      </c>
      <c r="K19" s="16">
        <v>91031</v>
      </c>
      <c r="O19" s="41"/>
      <c r="P19" s="23" t="s">
        <v>926</v>
      </c>
      <c r="Q19" s="16">
        <v>200</v>
      </c>
      <c r="R19" s="16">
        <v>1</v>
      </c>
      <c r="S19" s="16" t="s">
        <v>383</v>
      </c>
      <c r="T19" s="16">
        <v>1</v>
      </c>
      <c r="U19" s="16" t="s">
        <v>368</v>
      </c>
      <c r="V19" s="16">
        <v>45</v>
      </c>
    </row>
    <row r="20" spans="1:34" ht="14.25" x14ac:dyDescent="0.15">
      <c r="A20" s="25" t="s">
        <v>41</v>
      </c>
      <c r="B20" s="16">
        <v>11</v>
      </c>
      <c r="C20" s="16">
        <v>91042</v>
      </c>
      <c r="D20" s="23" t="s">
        <v>384</v>
      </c>
      <c r="F20" s="16">
        <v>1</v>
      </c>
      <c r="G20" s="16">
        <v>10</v>
      </c>
      <c r="H20" s="16">
        <v>1</v>
      </c>
      <c r="I20" s="16">
        <v>31042</v>
      </c>
      <c r="J20" s="16" t="s">
        <v>756</v>
      </c>
      <c r="K20" s="16" t="s">
        <v>919</v>
      </c>
      <c r="O20" s="41"/>
      <c r="P20" s="23" t="s">
        <v>927</v>
      </c>
      <c r="Q20" s="16">
        <v>200</v>
      </c>
      <c r="R20" s="16">
        <v>1</v>
      </c>
      <c r="S20" s="16" t="s">
        <v>383</v>
      </c>
      <c r="T20" s="16">
        <v>1</v>
      </c>
      <c r="U20" s="16" t="s">
        <v>370</v>
      </c>
      <c r="V20" s="16">
        <v>135</v>
      </c>
    </row>
    <row r="21" spans="1:34" ht="14.25" x14ac:dyDescent="0.15">
      <c r="A21" s="25" t="s">
        <v>41</v>
      </c>
      <c r="B21" s="16">
        <v>12</v>
      </c>
      <c r="C21" s="16">
        <v>91043</v>
      </c>
      <c r="D21" s="23" t="s">
        <v>385</v>
      </c>
      <c r="F21" s="16">
        <v>1</v>
      </c>
      <c r="G21" s="16">
        <v>10</v>
      </c>
      <c r="H21" s="16">
        <v>1</v>
      </c>
      <c r="I21" s="16">
        <v>31043</v>
      </c>
      <c r="J21" s="16" t="s">
        <v>757</v>
      </c>
      <c r="K21" s="16" t="s">
        <v>919</v>
      </c>
      <c r="O21" s="41"/>
      <c r="P21" s="23" t="s">
        <v>928</v>
      </c>
      <c r="Q21" s="16">
        <v>210</v>
      </c>
      <c r="R21" s="16">
        <v>1</v>
      </c>
      <c r="S21" s="16" t="s">
        <v>383</v>
      </c>
      <c r="T21" s="16">
        <v>1</v>
      </c>
      <c r="U21" s="16" t="s">
        <v>372</v>
      </c>
      <c r="V21" s="16">
        <v>405</v>
      </c>
    </row>
    <row r="22" spans="1:34" s="38" customFormat="1" ht="14.25" x14ac:dyDescent="0.15">
      <c r="A22" s="25" t="s">
        <v>41</v>
      </c>
      <c r="B22" s="16">
        <v>13</v>
      </c>
      <c r="C22" s="16">
        <v>91051</v>
      </c>
      <c r="D22" s="22" t="s">
        <v>386</v>
      </c>
      <c r="E22" s="16"/>
      <c r="F22" s="38">
        <v>1</v>
      </c>
      <c r="G22" s="16">
        <v>10</v>
      </c>
      <c r="H22" s="16">
        <v>1</v>
      </c>
      <c r="I22" s="16">
        <v>31051</v>
      </c>
      <c r="J22" s="16" t="s">
        <v>758</v>
      </c>
      <c r="K22" s="16">
        <v>91041</v>
      </c>
      <c r="P22" s="23" t="s">
        <v>929</v>
      </c>
      <c r="Q22" s="38">
        <v>220</v>
      </c>
      <c r="R22" s="16">
        <v>1</v>
      </c>
      <c r="S22" s="38" t="s">
        <v>387</v>
      </c>
      <c r="T22" s="16">
        <v>1</v>
      </c>
      <c r="U22" s="16" t="s">
        <v>368</v>
      </c>
      <c r="V22" s="16">
        <v>45</v>
      </c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</row>
    <row r="23" spans="1:34" s="38" customFormat="1" ht="14.25" x14ac:dyDescent="0.15">
      <c r="A23" s="25" t="s">
        <v>41</v>
      </c>
      <c r="B23" s="16">
        <v>14</v>
      </c>
      <c r="C23" s="16">
        <v>91052</v>
      </c>
      <c r="D23" s="22" t="s">
        <v>388</v>
      </c>
      <c r="E23" s="16"/>
      <c r="F23" s="38">
        <v>1</v>
      </c>
      <c r="G23" s="16">
        <v>10</v>
      </c>
      <c r="H23" s="16">
        <v>1</v>
      </c>
      <c r="I23" s="16">
        <v>31052</v>
      </c>
      <c r="J23" s="16" t="s">
        <v>759</v>
      </c>
      <c r="K23" s="16" t="s">
        <v>919</v>
      </c>
      <c r="P23" s="23" t="s">
        <v>930</v>
      </c>
      <c r="Q23" s="38">
        <v>230</v>
      </c>
      <c r="R23" s="16">
        <v>1</v>
      </c>
      <c r="S23" s="38" t="s">
        <v>387</v>
      </c>
      <c r="T23" s="16">
        <v>1</v>
      </c>
      <c r="U23" s="16" t="s">
        <v>370</v>
      </c>
      <c r="V23" s="16">
        <v>135</v>
      </c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</row>
    <row r="24" spans="1:34" s="38" customFormat="1" ht="14.25" x14ac:dyDescent="0.15">
      <c r="A24" s="25" t="s">
        <v>41</v>
      </c>
      <c r="B24" s="16">
        <v>15</v>
      </c>
      <c r="C24" s="16">
        <v>91053</v>
      </c>
      <c r="D24" s="22" t="s">
        <v>389</v>
      </c>
      <c r="E24" s="16"/>
      <c r="F24" s="38">
        <v>1</v>
      </c>
      <c r="G24" s="16">
        <v>10</v>
      </c>
      <c r="H24" s="16">
        <v>1</v>
      </c>
      <c r="I24" s="16">
        <v>31053</v>
      </c>
      <c r="J24" s="16" t="s">
        <v>760</v>
      </c>
      <c r="K24" s="16" t="s">
        <v>919</v>
      </c>
      <c r="P24" s="23" t="s">
        <v>931</v>
      </c>
      <c r="Q24" s="38">
        <v>230</v>
      </c>
      <c r="R24" s="16">
        <v>1</v>
      </c>
      <c r="S24" s="38" t="s">
        <v>387</v>
      </c>
      <c r="T24" s="16">
        <v>1</v>
      </c>
      <c r="U24" s="16" t="s">
        <v>372</v>
      </c>
      <c r="V24" s="16">
        <v>405</v>
      </c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</row>
    <row r="25" spans="1:34" ht="14.25" x14ac:dyDescent="0.15">
      <c r="A25" s="25" t="s">
        <v>41</v>
      </c>
      <c r="B25" s="16">
        <v>16</v>
      </c>
      <c r="C25" s="16">
        <v>91061</v>
      </c>
      <c r="D25" s="23" t="s">
        <v>390</v>
      </c>
      <c r="F25" s="16">
        <v>1</v>
      </c>
      <c r="G25" s="16">
        <v>10</v>
      </c>
      <c r="H25" s="16">
        <v>1</v>
      </c>
      <c r="I25" s="16">
        <v>31061</v>
      </c>
      <c r="J25" s="16" t="s">
        <v>761</v>
      </c>
      <c r="K25" s="16">
        <v>91051</v>
      </c>
      <c r="O25" s="40"/>
      <c r="P25" s="23" t="s">
        <v>932</v>
      </c>
      <c r="Q25" s="16">
        <v>240</v>
      </c>
      <c r="R25" s="16">
        <v>1</v>
      </c>
      <c r="S25" s="16" t="s">
        <v>391</v>
      </c>
      <c r="T25" s="16">
        <v>1</v>
      </c>
      <c r="U25" s="16" t="s">
        <v>368</v>
      </c>
      <c r="V25" s="16">
        <v>90</v>
      </c>
    </row>
    <row r="26" spans="1:34" ht="14.25" x14ac:dyDescent="0.15">
      <c r="A26" s="25" t="s">
        <v>41</v>
      </c>
      <c r="B26" s="16">
        <v>17</v>
      </c>
      <c r="C26" s="16">
        <v>91062</v>
      </c>
      <c r="D26" s="23" t="s">
        <v>392</v>
      </c>
      <c r="F26" s="16">
        <v>1</v>
      </c>
      <c r="G26" s="16">
        <v>10</v>
      </c>
      <c r="H26" s="16">
        <v>1</v>
      </c>
      <c r="I26" s="16">
        <v>31062</v>
      </c>
      <c r="J26" s="16" t="s">
        <v>762</v>
      </c>
      <c r="K26" s="16" t="s">
        <v>919</v>
      </c>
      <c r="O26" s="40"/>
      <c r="P26" s="23" t="s">
        <v>933</v>
      </c>
      <c r="Q26" s="16">
        <v>250</v>
      </c>
      <c r="R26" s="16">
        <v>1</v>
      </c>
      <c r="S26" s="16" t="s">
        <v>391</v>
      </c>
      <c r="T26" s="16">
        <v>1</v>
      </c>
      <c r="U26" s="16" t="s">
        <v>370</v>
      </c>
      <c r="V26" s="16">
        <v>270</v>
      </c>
    </row>
    <row r="27" spans="1:34" ht="14.25" x14ac:dyDescent="0.15">
      <c r="A27" s="25" t="s">
        <v>41</v>
      </c>
      <c r="B27" s="16">
        <v>18</v>
      </c>
      <c r="C27" s="16">
        <v>91063</v>
      </c>
      <c r="D27" s="23" t="s">
        <v>393</v>
      </c>
      <c r="F27" s="16">
        <v>1</v>
      </c>
      <c r="G27" s="16">
        <v>10</v>
      </c>
      <c r="H27" s="16">
        <v>1</v>
      </c>
      <c r="I27" s="16">
        <v>31063</v>
      </c>
      <c r="J27" s="16" t="s">
        <v>763</v>
      </c>
      <c r="K27" s="16" t="s">
        <v>919</v>
      </c>
      <c r="O27" s="40"/>
      <c r="P27" s="23" t="s">
        <v>934</v>
      </c>
      <c r="Q27" s="16">
        <v>260</v>
      </c>
      <c r="R27" s="16">
        <v>1</v>
      </c>
      <c r="S27" s="16" t="s">
        <v>391</v>
      </c>
      <c r="T27" s="16">
        <v>1</v>
      </c>
      <c r="U27" s="16" t="s">
        <v>372</v>
      </c>
      <c r="V27" s="16">
        <v>810</v>
      </c>
    </row>
    <row r="28" spans="1:34" s="38" customFormat="1" ht="14.25" x14ac:dyDescent="0.15">
      <c r="A28" s="25" t="s">
        <v>41</v>
      </c>
      <c r="B28" s="16">
        <v>19</v>
      </c>
      <c r="C28" s="16">
        <v>92011</v>
      </c>
      <c r="D28" s="22" t="s">
        <v>394</v>
      </c>
      <c r="E28" s="16"/>
      <c r="F28" s="38">
        <v>1</v>
      </c>
      <c r="G28" s="16">
        <v>10</v>
      </c>
      <c r="H28" s="16">
        <v>1</v>
      </c>
      <c r="I28" s="16">
        <v>32011</v>
      </c>
      <c r="J28" s="16" t="s">
        <v>764</v>
      </c>
      <c r="K28" s="16">
        <v>94011</v>
      </c>
      <c r="O28" s="41"/>
      <c r="P28" s="23" t="s">
        <v>395</v>
      </c>
      <c r="Q28" s="38">
        <v>350</v>
      </c>
      <c r="R28" s="16">
        <v>2</v>
      </c>
      <c r="S28" s="38" t="s">
        <v>396</v>
      </c>
      <c r="T28" s="16">
        <v>1</v>
      </c>
      <c r="U28" s="16" t="s">
        <v>368</v>
      </c>
      <c r="V28" s="16">
        <v>90</v>
      </c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</row>
    <row r="29" spans="1:34" s="38" customFormat="1" ht="14.25" x14ac:dyDescent="0.15">
      <c r="A29" s="25" t="s">
        <v>41</v>
      </c>
      <c r="B29" s="16">
        <v>20</v>
      </c>
      <c r="C29" s="16">
        <v>92012</v>
      </c>
      <c r="D29" s="22" t="s">
        <v>397</v>
      </c>
      <c r="E29" s="16"/>
      <c r="F29" s="38">
        <v>1</v>
      </c>
      <c r="G29" s="16">
        <v>10</v>
      </c>
      <c r="H29" s="16">
        <v>1</v>
      </c>
      <c r="I29" s="16">
        <v>32012</v>
      </c>
      <c r="J29" s="16" t="s">
        <v>765</v>
      </c>
      <c r="K29" s="16" t="s">
        <v>919</v>
      </c>
      <c r="O29" s="41"/>
      <c r="P29" s="23" t="s">
        <v>398</v>
      </c>
      <c r="Q29" s="38">
        <v>410</v>
      </c>
      <c r="R29" s="16">
        <v>2</v>
      </c>
      <c r="S29" s="38" t="s">
        <v>396</v>
      </c>
      <c r="T29" s="16">
        <v>1</v>
      </c>
      <c r="U29" s="16" t="s">
        <v>370</v>
      </c>
      <c r="V29" s="16">
        <v>270</v>
      </c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</row>
    <row r="30" spans="1:34" s="38" customFormat="1" ht="14.25" x14ac:dyDescent="0.15">
      <c r="A30" s="25" t="s">
        <v>41</v>
      </c>
      <c r="B30" s="16">
        <v>21</v>
      </c>
      <c r="C30" s="16">
        <v>92013</v>
      </c>
      <c r="D30" s="22" t="s">
        <v>399</v>
      </c>
      <c r="E30" s="16"/>
      <c r="F30" s="38">
        <v>1</v>
      </c>
      <c r="G30" s="16">
        <v>10</v>
      </c>
      <c r="H30" s="16">
        <v>1</v>
      </c>
      <c r="I30" s="16">
        <v>32013</v>
      </c>
      <c r="J30" s="16" t="s">
        <v>766</v>
      </c>
      <c r="K30" s="16" t="s">
        <v>919</v>
      </c>
      <c r="O30" s="41"/>
      <c r="P30" s="23" t="s">
        <v>400</v>
      </c>
      <c r="Q30" s="38">
        <v>460</v>
      </c>
      <c r="R30" s="16">
        <v>2</v>
      </c>
      <c r="S30" s="38" t="s">
        <v>396</v>
      </c>
      <c r="T30" s="16">
        <v>1</v>
      </c>
      <c r="U30" s="16" t="s">
        <v>372</v>
      </c>
      <c r="V30" s="16">
        <v>810</v>
      </c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</row>
    <row r="31" spans="1:34" ht="14.25" x14ac:dyDescent="0.15">
      <c r="A31" s="25" t="s">
        <v>41</v>
      </c>
      <c r="B31" s="16">
        <v>22</v>
      </c>
      <c r="C31" s="16">
        <v>92021</v>
      </c>
      <c r="D31" s="23" t="s">
        <v>401</v>
      </c>
      <c r="F31" s="16">
        <v>1</v>
      </c>
      <c r="G31" s="16">
        <v>10</v>
      </c>
      <c r="H31" s="16">
        <v>1</v>
      </c>
      <c r="I31" s="16">
        <v>32021</v>
      </c>
      <c r="J31" s="16" t="s">
        <v>767</v>
      </c>
      <c r="K31" s="16">
        <v>92091</v>
      </c>
      <c r="O31" s="40"/>
      <c r="P31" s="23" t="s">
        <v>935</v>
      </c>
      <c r="Q31" s="16">
        <v>637</v>
      </c>
      <c r="R31" s="16">
        <v>2</v>
      </c>
      <c r="S31" s="16" t="s">
        <v>402</v>
      </c>
      <c r="T31" s="16">
        <v>1</v>
      </c>
      <c r="U31" s="16" t="s">
        <v>368</v>
      </c>
      <c r="V31" s="16">
        <v>180</v>
      </c>
    </row>
    <row r="32" spans="1:34" ht="14.25" x14ac:dyDescent="0.15">
      <c r="A32" s="25" t="s">
        <v>41</v>
      </c>
      <c r="B32" s="16">
        <v>23</v>
      </c>
      <c r="C32" s="16">
        <v>92022</v>
      </c>
      <c r="D32" s="23" t="s">
        <v>403</v>
      </c>
      <c r="F32" s="16">
        <v>1</v>
      </c>
      <c r="G32" s="16">
        <v>10</v>
      </c>
      <c r="H32" s="16">
        <v>1</v>
      </c>
      <c r="I32" s="16">
        <v>32022</v>
      </c>
      <c r="J32" s="16" t="s">
        <v>768</v>
      </c>
      <c r="K32" s="16" t="s">
        <v>919</v>
      </c>
      <c r="O32" s="40"/>
      <c r="P32" s="23" t="s">
        <v>936</v>
      </c>
      <c r="Q32" s="16">
        <v>700</v>
      </c>
      <c r="R32" s="16">
        <v>2</v>
      </c>
      <c r="S32" s="16" t="s">
        <v>402</v>
      </c>
      <c r="T32" s="16">
        <v>1</v>
      </c>
      <c r="U32" s="16" t="s">
        <v>370</v>
      </c>
      <c r="V32" s="16">
        <v>540</v>
      </c>
    </row>
    <row r="33" spans="1:34" ht="14.25" x14ac:dyDescent="0.15">
      <c r="A33" s="25" t="s">
        <v>41</v>
      </c>
      <c r="B33" s="16">
        <v>24</v>
      </c>
      <c r="C33" s="16">
        <v>92023</v>
      </c>
      <c r="D33" s="23" t="s">
        <v>404</v>
      </c>
      <c r="F33" s="16">
        <v>1</v>
      </c>
      <c r="G33" s="16">
        <v>10</v>
      </c>
      <c r="H33" s="16">
        <v>1</v>
      </c>
      <c r="I33" s="16">
        <v>32023</v>
      </c>
      <c r="J33" s="16" t="s">
        <v>769</v>
      </c>
      <c r="K33" s="16" t="s">
        <v>919</v>
      </c>
      <c r="O33" s="40"/>
      <c r="P33" s="23" t="s">
        <v>937</v>
      </c>
      <c r="Q33" s="16">
        <v>800</v>
      </c>
      <c r="R33" s="16">
        <v>2</v>
      </c>
      <c r="S33" s="16" t="s">
        <v>402</v>
      </c>
      <c r="T33" s="16">
        <v>1</v>
      </c>
      <c r="U33" s="16" t="s">
        <v>372</v>
      </c>
      <c r="V33" s="16">
        <v>1620</v>
      </c>
    </row>
    <row r="34" spans="1:34" s="38" customFormat="1" ht="14.25" x14ac:dyDescent="0.15">
      <c r="A34" s="25" t="s">
        <v>41</v>
      </c>
      <c r="B34" s="16">
        <v>25</v>
      </c>
      <c r="C34" s="16">
        <v>92031</v>
      </c>
      <c r="D34" s="22" t="s">
        <v>405</v>
      </c>
      <c r="E34" s="16"/>
      <c r="F34" s="38">
        <v>1</v>
      </c>
      <c r="G34" s="16">
        <v>10</v>
      </c>
      <c r="H34" s="16">
        <v>1</v>
      </c>
      <c r="I34" s="16">
        <v>32031</v>
      </c>
      <c r="J34" s="16" t="s">
        <v>770</v>
      </c>
      <c r="K34" s="16">
        <v>92011</v>
      </c>
      <c r="O34" s="41"/>
      <c r="P34" s="23" t="s">
        <v>938</v>
      </c>
      <c r="Q34" s="38">
        <v>870</v>
      </c>
      <c r="R34" s="16">
        <v>2</v>
      </c>
      <c r="S34" s="38" t="s">
        <v>406</v>
      </c>
      <c r="T34" s="16">
        <v>1</v>
      </c>
      <c r="U34" s="16" t="s">
        <v>368</v>
      </c>
      <c r="V34" s="16">
        <v>120</v>
      </c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</row>
    <row r="35" spans="1:34" s="38" customFormat="1" ht="14.25" x14ac:dyDescent="0.15">
      <c r="A35" s="25" t="s">
        <v>41</v>
      </c>
      <c r="B35" s="16">
        <v>26</v>
      </c>
      <c r="C35" s="16">
        <v>92032</v>
      </c>
      <c r="D35" s="22" t="s">
        <v>407</v>
      </c>
      <c r="E35" s="16"/>
      <c r="F35" s="38">
        <v>1</v>
      </c>
      <c r="G35" s="16">
        <v>10</v>
      </c>
      <c r="H35" s="16">
        <v>1</v>
      </c>
      <c r="I35" s="16">
        <v>32032</v>
      </c>
      <c r="J35" s="16" t="s">
        <v>771</v>
      </c>
      <c r="K35" s="16" t="s">
        <v>919</v>
      </c>
      <c r="O35" s="41"/>
      <c r="P35" s="23" t="s">
        <v>939</v>
      </c>
      <c r="Q35" s="38">
        <v>880</v>
      </c>
      <c r="R35" s="16">
        <v>2</v>
      </c>
      <c r="S35" s="38" t="s">
        <v>406</v>
      </c>
      <c r="T35" s="16">
        <v>1</v>
      </c>
      <c r="U35" s="16" t="s">
        <v>370</v>
      </c>
      <c r="V35" s="16">
        <v>360</v>
      </c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</row>
    <row r="36" spans="1:34" s="38" customFormat="1" ht="14.25" x14ac:dyDescent="0.15">
      <c r="A36" s="25" t="s">
        <v>41</v>
      </c>
      <c r="B36" s="16">
        <v>27</v>
      </c>
      <c r="C36" s="16">
        <v>92033</v>
      </c>
      <c r="D36" s="22" t="s">
        <v>408</v>
      </c>
      <c r="E36" s="16"/>
      <c r="F36" s="38">
        <v>1</v>
      </c>
      <c r="G36" s="16">
        <v>10</v>
      </c>
      <c r="H36" s="16">
        <v>1</v>
      </c>
      <c r="I36" s="16">
        <v>32033</v>
      </c>
      <c r="J36" s="16" t="s">
        <v>772</v>
      </c>
      <c r="K36" s="16" t="s">
        <v>919</v>
      </c>
      <c r="O36" s="41"/>
      <c r="P36" s="23" t="s">
        <v>940</v>
      </c>
      <c r="Q36" s="38">
        <v>890</v>
      </c>
      <c r="R36" s="16">
        <v>2</v>
      </c>
      <c r="S36" s="38" t="s">
        <v>406</v>
      </c>
      <c r="T36" s="16">
        <v>1</v>
      </c>
      <c r="U36" s="16" t="s">
        <v>372</v>
      </c>
      <c r="V36" s="16">
        <v>1080</v>
      </c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</row>
    <row r="37" spans="1:34" ht="14.25" x14ac:dyDescent="0.15">
      <c r="A37" s="25" t="s">
        <v>41</v>
      </c>
      <c r="B37" s="16">
        <v>28</v>
      </c>
      <c r="C37" s="16">
        <v>92041</v>
      </c>
      <c r="D37" s="23" t="s">
        <v>409</v>
      </c>
      <c r="F37" s="16">
        <v>1</v>
      </c>
      <c r="G37" s="16">
        <v>10</v>
      </c>
      <c r="H37" s="16">
        <v>1</v>
      </c>
      <c r="I37" s="16">
        <v>32041</v>
      </c>
      <c r="J37" s="16" t="s">
        <v>773</v>
      </c>
      <c r="K37" s="16">
        <v>95071</v>
      </c>
      <c r="O37" s="40"/>
      <c r="P37" s="23" t="s">
        <v>941</v>
      </c>
      <c r="Q37" s="16">
        <v>1000</v>
      </c>
      <c r="R37" s="16">
        <v>2</v>
      </c>
      <c r="S37" s="16" t="s">
        <v>410</v>
      </c>
      <c r="T37" s="16">
        <v>1</v>
      </c>
      <c r="U37" s="16" t="s">
        <v>368</v>
      </c>
      <c r="V37" s="16">
        <v>180</v>
      </c>
    </row>
    <row r="38" spans="1:34" ht="14.25" x14ac:dyDescent="0.15">
      <c r="A38" s="25" t="s">
        <v>41</v>
      </c>
      <c r="B38" s="16">
        <v>29</v>
      </c>
      <c r="C38" s="16">
        <v>92042</v>
      </c>
      <c r="D38" s="23" t="s">
        <v>411</v>
      </c>
      <c r="F38" s="16">
        <v>1</v>
      </c>
      <c r="G38" s="16">
        <v>10</v>
      </c>
      <c r="H38" s="16">
        <v>1</v>
      </c>
      <c r="I38" s="16">
        <v>32042</v>
      </c>
      <c r="J38" s="16" t="s">
        <v>774</v>
      </c>
      <c r="K38" s="16" t="s">
        <v>919</v>
      </c>
      <c r="O38" s="40"/>
      <c r="P38" s="23" t="s">
        <v>942</v>
      </c>
      <c r="Q38" s="16">
        <v>1090</v>
      </c>
      <c r="R38" s="16">
        <v>2</v>
      </c>
      <c r="S38" s="16" t="s">
        <v>410</v>
      </c>
      <c r="T38" s="16">
        <v>1</v>
      </c>
      <c r="U38" s="16" t="s">
        <v>370</v>
      </c>
      <c r="V38" s="16">
        <v>540</v>
      </c>
    </row>
    <row r="39" spans="1:34" ht="14.25" x14ac:dyDescent="0.15">
      <c r="A39" s="25" t="s">
        <v>41</v>
      </c>
      <c r="B39" s="16">
        <v>30</v>
      </c>
      <c r="C39" s="16">
        <v>92043</v>
      </c>
      <c r="D39" s="23" t="s">
        <v>412</v>
      </c>
      <c r="F39" s="16">
        <v>1</v>
      </c>
      <c r="G39" s="16">
        <v>10</v>
      </c>
      <c r="H39" s="16">
        <v>1</v>
      </c>
      <c r="I39" s="16">
        <v>32043</v>
      </c>
      <c r="J39" s="16" t="s">
        <v>775</v>
      </c>
      <c r="K39" s="16" t="s">
        <v>919</v>
      </c>
      <c r="O39" s="40"/>
      <c r="P39" s="23" t="s">
        <v>943</v>
      </c>
      <c r="Q39" s="16">
        <v>1150</v>
      </c>
      <c r="R39" s="16">
        <v>2</v>
      </c>
      <c r="S39" s="16" t="s">
        <v>410</v>
      </c>
      <c r="T39" s="16">
        <v>1</v>
      </c>
      <c r="U39" s="16" t="s">
        <v>372</v>
      </c>
      <c r="V39" s="16">
        <v>1620</v>
      </c>
    </row>
    <row r="40" spans="1:34" s="38" customFormat="1" ht="14.25" x14ac:dyDescent="0.15">
      <c r="A40" s="25" t="s">
        <v>41</v>
      </c>
      <c r="B40" s="16">
        <v>31</v>
      </c>
      <c r="C40" s="16">
        <v>92051</v>
      </c>
      <c r="D40" s="22" t="s">
        <v>413</v>
      </c>
      <c r="E40" s="16"/>
      <c r="F40" s="38">
        <v>1</v>
      </c>
      <c r="G40" s="16">
        <v>10</v>
      </c>
      <c r="H40" s="16">
        <v>1</v>
      </c>
      <c r="I40" s="16">
        <v>32051</v>
      </c>
      <c r="J40" s="16" t="s">
        <v>776</v>
      </c>
      <c r="K40" s="16">
        <v>97031</v>
      </c>
      <c r="O40" s="41"/>
      <c r="P40" s="23" t="s">
        <v>944</v>
      </c>
      <c r="Q40" s="38">
        <v>1460</v>
      </c>
      <c r="R40" s="16">
        <v>2</v>
      </c>
      <c r="S40" s="38" t="s">
        <v>414</v>
      </c>
      <c r="T40" s="16">
        <v>1</v>
      </c>
      <c r="U40" s="16" t="s">
        <v>368</v>
      </c>
      <c r="V40" s="16">
        <v>150</v>
      </c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</row>
    <row r="41" spans="1:34" s="38" customFormat="1" ht="14.25" x14ac:dyDescent="0.15">
      <c r="A41" s="25" t="s">
        <v>41</v>
      </c>
      <c r="B41" s="16">
        <v>32</v>
      </c>
      <c r="C41" s="16">
        <v>92052</v>
      </c>
      <c r="D41" s="22" t="s">
        <v>415</v>
      </c>
      <c r="E41" s="16"/>
      <c r="F41" s="38">
        <v>1</v>
      </c>
      <c r="G41" s="16">
        <v>10</v>
      </c>
      <c r="H41" s="16">
        <v>1</v>
      </c>
      <c r="I41" s="16">
        <v>32052</v>
      </c>
      <c r="J41" s="16" t="s">
        <v>777</v>
      </c>
      <c r="K41" s="16" t="s">
        <v>919</v>
      </c>
      <c r="O41" s="41"/>
      <c r="P41" s="23" t="s">
        <v>945</v>
      </c>
      <c r="Q41" s="38">
        <v>1480</v>
      </c>
      <c r="R41" s="16">
        <v>2</v>
      </c>
      <c r="S41" s="38" t="s">
        <v>414</v>
      </c>
      <c r="T41" s="16">
        <v>1</v>
      </c>
      <c r="U41" s="16" t="s">
        <v>370</v>
      </c>
      <c r="V41" s="16">
        <v>450</v>
      </c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</row>
    <row r="42" spans="1:34" s="38" customFormat="1" ht="14.25" x14ac:dyDescent="0.15">
      <c r="A42" s="25" t="s">
        <v>41</v>
      </c>
      <c r="B42" s="16">
        <v>33</v>
      </c>
      <c r="C42" s="16">
        <v>92053</v>
      </c>
      <c r="D42" s="22" t="s">
        <v>416</v>
      </c>
      <c r="E42" s="16"/>
      <c r="F42" s="38">
        <v>1</v>
      </c>
      <c r="G42" s="16">
        <v>10</v>
      </c>
      <c r="H42" s="16">
        <v>1</v>
      </c>
      <c r="I42" s="16">
        <v>32053</v>
      </c>
      <c r="J42" s="16" t="s">
        <v>778</v>
      </c>
      <c r="K42" s="16" t="s">
        <v>919</v>
      </c>
      <c r="O42" s="41"/>
      <c r="P42" s="23" t="s">
        <v>946</v>
      </c>
      <c r="Q42" s="38">
        <v>1520</v>
      </c>
      <c r="R42" s="16">
        <v>2</v>
      </c>
      <c r="S42" s="38" t="s">
        <v>414</v>
      </c>
      <c r="T42" s="16">
        <v>1</v>
      </c>
      <c r="U42" s="16" t="s">
        <v>372</v>
      </c>
      <c r="V42" s="16">
        <v>1080</v>
      </c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</row>
    <row r="43" spans="1:34" ht="14.25" x14ac:dyDescent="0.15">
      <c r="A43" s="25" t="s">
        <v>41</v>
      </c>
      <c r="B43" s="16">
        <v>34</v>
      </c>
      <c r="C43" s="16">
        <v>92061</v>
      </c>
      <c r="D43" s="23" t="s">
        <v>417</v>
      </c>
      <c r="F43" s="16">
        <v>1</v>
      </c>
      <c r="G43" s="16">
        <v>10</v>
      </c>
      <c r="H43" s="16">
        <v>1</v>
      </c>
      <c r="I43" s="16">
        <v>32061</v>
      </c>
      <c r="J43" s="16" t="s">
        <v>779</v>
      </c>
      <c r="K43" s="16">
        <v>96011</v>
      </c>
      <c r="O43" s="40"/>
      <c r="P43" s="23" t="s">
        <v>947</v>
      </c>
      <c r="Q43" s="16">
        <v>1300</v>
      </c>
      <c r="R43" s="16">
        <v>2</v>
      </c>
      <c r="S43" s="16" t="s">
        <v>418</v>
      </c>
      <c r="T43" s="16">
        <v>1</v>
      </c>
      <c r="U43" s="16" t="s">
        <v>368</v>
      </c>
      <c r="V43" s="16">
        <v>360</v>
      </c>
    </row>
    <row r="44" spans="1:34" ht="14.25" x14ac:dyDescent="0.15">
      <c r="A44" s="25" t="s">
        <v>41</v>
      </c>
      <c r="B44" s="16">
        <v>35</v>
      </c>
      <c r="C44" s="16">
        <v>92062</v>
      </c>
      <c r="D44" s="23" t="s">
        <v>419</v>
      </c>
      <c r="F44" s="16">
        <v>1</v>
      </c>
      <c r="G44" s="16">
        <v>10</v>
      </c>
      <c r="H44" s="16">
        <v>1</v>
      </c>
      <c r="I44" s="16">
        <v>32062</v>
      </c>
      <c r="J44" s="16" t="s">
        <v>780</v>
      </c>
      <c r="K44" s="16" t="s">
        <v>919</v>
      </c>
      <c r="O44" s="40"/>
      <c r="P44" s="23" t="s">
        <v>948</v>
      </c>
      <c r="Q44" s="16">
        <v>1370</v>
      </c>
      <c r="R44" s="16">
        <v>2</v>
      </c>
      <c r="S44" s="16" t="s">
        <v>418</v>
      </c>
      <c r="T44" s="16">
        <v>1</v>
      </c>
      <c r="U44" s="16" t="s">
        <v>370</v>
      </c>
      <c r="V44" s="16">
        <v>1080</v>
      </c>
    </row>
    <row r="45" spans="1:34" ht="14.25" x14ac:dyDescent="0.15">
      <c r="A45" s="25" t="s">
        <v>41</v>
      </c>
      <c r="B45" s="16">
        <v>36</v>
      </c>
      <c r="C45" s="16">
        <v>92063</v>
      </c>
      <c r="D45" s="23" t="s">
        <v>420</v>
      </c>
      <c r="F45" s="16">
        <v>1</v>
      </c>
      <c r="G45" s="16">
        <v>10</v>
      </c>
      <c r="H45" s="16">
        <v>1</v>
      </c>
      <c r="I45" s="16">
        <v>32063</v>
      </c>
      <c r="J45" s="16" t="s">
        <v>781</v>
      </c>
      <c r="K45" s="16" t="s">
        <v>919</v>
      </c>
      <c r="O45" s="40"/>
      <c r="P45" s="23" t="s">
        <v>949</v>
      </c>
      <c r="Q45" s="16">
        <v>1420</v>
      </c>
      <c r="R45" s="16">
        <v>2</v>
      </c>
      <c r="S45" s="16" t="s">
        <v>418</v>
      </c>
      <c r="T45" s="16">
        <v>1</v>
      </c>
      <c r="U45" s="16" t="s">
        <v>372</v>
      </c>
      <c r="V45" s="16">
        <v>3240</v>
      </c>
    </row>
    <row r="46" spans="1:34" ht="14.25" x14ac:dyDescent="0.15">
      <c r="A46" s="25" t="s">
        <v>41</v>
      </c>
      <c r="B46" s="16">
        <v>37</v>
      </c>
      <c r="C46" s="16">
        <v>92071</v>
      </c>
      <c r="D46" s="22" t="s">
        <v>421</v>
      </c>
      <c r="F46" s="16">
        <v>1</v>
      </c>
      <c r="G46" s="16">
        <v>10</v>
      </c>
      <c r="H46" s="16">
        <v>1</v>
      </c>
      <c r="I46" s="16">
        <v>32071</v>
      </c>
      <c r="J46" s="16" t="s">
        <v>782</v>
      </c>
      <c r="K46" s="16">
        <v>92051</v>
      </c>
      <c r="O46" s="40"/>
      <c r="P46" s="23" t="s">
        <v>950</v>
      </c>
      <c r="R46" s="16">
        <v>2</v>
      </c>
      <c r="S46" s="16" t="s">
        <v>422</v>
      </c>
      <c r="T46" s="16">
        <v>1</v>
      </c>
      <c r="U46" s="16" t="s">
        <v>368</v>
      </c>
      <c r="V46" s="16">
        <v>360</v>
      </c>
    </row>
    <row r="47" spans="1:34" ht="14.25" x14ac:dyDescent="0.15">
      <c r="A47" s="25" t="s">
        <v>41</v>
      </c>
      <c r="B47" s="16">
        <v>38</v>
      </c>
      <c r="C47" s="16">
        <v>92072</v>
      </c>
      <c r="D47" s="22" t="s">
        <v>423</v>
      </c>
      <c r="F47" s="16">
        <v>1</v>
      </c>
      <c r="G47" s="16">
        <v>10</v>
      </c>
      <c r="H47" s="16">
        <v>1</v>
      </c>
      <c r="I47" s="16">
        <v>32072</v>
      </c>
      <c r="J47" s="16" t="s">
        <v>783</v>
      </c>
      <c r="K47" s="16" t="s">
        <v>919</v>
      </c>
      <c r="O47" s="40"/>
      <c r="P47" s="23" t="s">
        <v>951</v>
      </c>
      <c r="R47" s="16">
        <v>2</v>
      </c>
      <c r="S47" s="16" t="s">
        <v>422</v>
      </c>
      <c r="T47" s="16">
        <v>1</v>
      </c>
      <c r="U47" s="16" t="s">
        <v>370</v>
      </c>
      <c r="V47" s="16">
        <v>1080</v>
      </c>
    </row>
    <row r="48" spans="1:34" ht="14.25" x14ac:dyDescent="0.15">
      <c r="A48" s="25" t="s">
        <v>41</v>
      </c>
      <c r="B48" s="16">
        <v>39</v>
      </c>
      <c r="C48" s="16">
        <v>92073</v>
      </c>
      <c r="D48" s="22" t="s">
        <v>424</v>
      </c>
      <c r="F48" s="16">
        <v>1</v>
      </c>
      <c r="G48" s="16">
        <v>10</v>
      </c>
      <c r="H48" s="16">
        <v>1</v>
      </c>
      <c r="I48" s="16">
        <v>32073</v>
      </c>
      <c r="J48" s="16" t="s">
        <v>784</v>
      </c>
      <c r="K48" s="16" t="s">
        <v>919</v>
      </c>
      <c r="O48" s="40"/>
      <c r="P48" s="23" t="s">
        <v>952</v>
      </c>
      <c r="R48" s="16">
        <v>2</v>
      </c>
      <c r="S48" s="16" t="s">
        <v>422</v>
      </c>
      <c r="T48" s="16">
        <v>1</v>
      </c>
      <c r="U48" s="16" t="s">
        <v>372</v>
      </c>
      <c r="V48" s="16">
        <v>3240</v>
      </c>
    </row>
    <row r="49" spans="1:34" ht="14.25" x14ac:dyDescent="0.15">
      <c r="A49" s="25" t="s">
        <v>41</v>
      </c>
      <c r="B49" s="16">
        <v>40</v>
      </c>
      <c r="C49" s="16">
        <v>92081</v>
      </c>
      <c r="D49" s="23" t="s">
        <v>425</v>
      </c>
      <c r="F49" s="16">
        <v>1</v>
      </c>
      <c r="G49" s="16">
        <v>10</v>
      </c>
      <c r="H49" s="16">
        <v>1</v>
      </c>
      <c r="I49" s="16">
        <v>32081</v>
      </c>
      <c r="J49" s="16" t="s">
        <v>785</v>
      </c>
      <c r="K49" s="16">
        <v>96031</v>
      </c>
      <c r="O49" s="40"/>
      <c r="P49" s="23" t="s">
        <v>953</v>
      </c>
      <c r="R49" s="16">
        <v>2</v>
      </c>
      <c r="S49" s="16" t="s">
        <v>426</v>
      </c>
      <c r="T49" s="16">
        <v>1</v>
      </c>
      <c r="U49" s="16" t="s">
        <v>368</v>
      </c>
      <c r="V49" s="16">
        <v>360</v>
      </c>
    </row>
    <row r="50" spans="1:34" ht="14.25" x14ac:dyDescent="0.15">
      <c r="A50" s="25" t="s">
        <v>41</v>
      </c>
      <c r="B50" s="16">
        <v>41</v>
      </c>
      <c r="C50" s="16">
        <v>92082</v>
      </c>
      <c r="D50" s="23" t="s">
        <v>427</v>
      </c>
      <c r="F50" s="16">
        <v>1</v>
      </c>
      <c r="G50" s="16">
        <v>10</v>
      </c>
      <c r="H50" s="16">
        <v>1</v>
      </c>
      <c r="I50" s="16">
        <v>32082</v>
      </c>
      <c r="J50" s="16" t="s">
        <v>786</v>
      </c>
      <c r="K50" s="16" t="s">
        <v>919</v>
      </c>
      <c r="O50" s="40"/>
      <c r="P50" s="23" t="s">
        <v>954</v>
      </c>
      <c r="R50" s="16">
        <v>2</v>
      </c>
      <c r="S50" s="16" t="s">
        <v>426</v>
      </c>
      <c r="T50" s="16">
        <v>1</v>
      </c>
      <c r="U50" s="16" t="s">
        <v>370</v>
      </c>
      <c r="V50" s="16">
        <v>1080</v>
      </c>
    </row>
    <row r="51" spans="1:34" ht="14.25" x14ac:dyDescent="0.15">
      <c r="A51" s="25" t="s">
        <v>41</v>
      </c>
      <c r="B51" s="16">
        <v>42</v>
      </c>
      <c r="C51" s="16">
        <v>92083</v>
      </c>
      <c r="D51" s="23" t="s">
        <v>428</v>
      </c>
      <c r="F51" s="16">
        <v>1</v>
      </c>
      <c r="G51" s="16">
        <v>10</v>
      </c>
      <c r="H51" s="16">
        <v>1</v>
      </c>
      <c r="I51" s="16">
        <v>32083</v>
      </c>
      <c r="J51" s="16" t="s">
        <v>787</v>
      </c>
      <c r="K51" s="16" t="s">
        <v>919</v>
      </c>
      <c r="O51" s="40"/>
      <c r="P51" s="23" t="s">
        <v>955</v>
      </c>
      <c r="R51" s="16">
        <v>2</v>
      </c>
      <c r="S51" s="16" t="s">
        <v>426</v>
      </c>
      <c r="T51" s="16">
        <v>1</v>
      </c>
      <c r="U51" s="16" t="s">
        <v>372</v>
      </c>
      <c r="V51" s="16">
        <v>3240</v>
      </c>
    </row>
    <row r="52" spans="1:34" ht="14.25" x14ac:dyDescent="0.15">
      <c r="A52" s="25" t="s">
        <v>41</v>
      </c>
      <c r="B52" s="16">
        <v>43</v>
      </c>
      <c r="C52" s="16">
        <v>92091</v>
      </c>
      <c r="D52" s="22" t="s">
        <v>429</v>
      </c>
      <c r="F52" s="16">
        <v>1</v>
      </c>
      <c r="G52" s="16">
        <v>10</v>
      </c>
      <c r="H52" s="16">
        <v>1</v>
      </c>
      <c r="I52" s="16">
        <v>32091</v>
      </c>
      <c r="J52" s="16" t="s">
        <v>788</v>
      </c>
      <c r="K52" s="16">
        <v>92031</v>
      </c>
      <c r="O52" s="40"/>
      <c r="P52" s="23" t="s">
        <v>956</v>
      </c>
      <c r="R52" s="16">
        <v>2</v>
      </c>
      <c r="S52" s="16" t="s">
        <v>430</v>
      </c>
      <c r="T52" s="16">
        <v>1</v>
      </c>
      <c r="U52" s="16" t="s">
        <v>368</v>
      </c>
      <c r="V52" s="16">
        <v>120</v>
      </c>
    </row>
    <row r="53" spans="1:34" ht="14.25" x14ac:dyDescent="0.15">
      <c r="A53" s="25" t="s">
        <v>41</v>
      </c>
      <c r="B53" s="16">
        <v>44</v>
      </c>
      <c r="C53" s="16">
        <v>92092</v>
      </c>
      <c r="D53" s="22" t="s">
        <v>431</v>
      </c>
      <c r="F53" s="16">
        <v>1</v>
      </c>
      <c r="G53" s="16">
        <v>10</v>
      </c>
      <c r="H53" s="16">
        <v>1</v>
      </c>
      <c r="I53" s="16">
        <v>32092</v>
      </c>
      <c r="J53" s="16" t="s">
        <v>789</v>
      </c>
      <c r="K53" s="16" t="s">
        <v>919</v>
      </c>
      <c r="O53" s="40"/>
      <c r="P53" s="23" t="s">
        <v>957</v>
      </c>
      <c r="R53" s="16">
        <v>2</v>
      </c>
      <c r="S53" s="16" t="s">
        <v>430</v>
      </c>
      <c r="T53" s="16">
        <v>1</v>
      </c>
      <c r="U53" s="16" t="s">
        <v>370</v>
      </c>
      <c r="V53" s="16">
        <v>360</v>
      </c>
    </row>
    <row r="54" spans="1:34" ht="14.25" x14ac:dyDescent="0.15">
      <c r="A54" s="25" t="s">
        <v>41</v>
      </c>
      <c r="B54" s="16">
        <v>45</v>
      </c>
      <c r="C54" s="16">
        <v>92093</v>
      </c>
      <c r="D54" s="22" t="s">
        <v>432</v>
      </c>
      <c r="F54" s="16">
        <v>1</v>
      </c>
      <c r="G54" s="16">
        <v>10</v>
      </c>
      <c r="H54" s="16">
        <v>1</v>
      </c>
      <c r="I54" s="16">
        <v>32093</v>
      </c>
      <c r="J54" s="16" t="s">
        <v>790</v>
      </c>
      <c r="K54" s="16" t="s">
        <v>919</v>
      </c>
      <c r="O54" s="40"/>
      <c r="P54" s="23" t="s">
        <v>958</v>
      </c>
      <c r="R54" s="16">
        <v>2</v>
      </c>
      <c r="S54" s="16" t="s">
        <v>430</v>
      </c>
      <c r="T54" s="16">
        <v>1</v>
      </c>
      <c r="U54" s="16" t="s">
        <v>372</v>
      </c>
      <c r="V54" s="16">
        <v>540</v>
      </c>
    </row>
    <row r="55" spans="1:34" ht="14.25" x14ac:dyDescent="0.15">
      <c r="A55" s="25" t="s">
        <v>41</v>
      </c>
      <c r="B55" s="16">
        <v>46</v>
      </c>
      <c r="C55" s="16">
        <v>92101</v>
      </c>
      <c r="D55" s="23" t="s">
        <v>433</v>
      </c>
      <c r="F55" s="16">
        <v>1</v>
      </c>
      <c r="G55" s="16">
        <v>10</v>
      </c>
      <c r="H55" s="16">
        <v>1</v>
      </c>
      <c r="I55" s="16">
        <v>32101</v>
      </c>
      <c r="J55" s="16" t="s">
        <v>791</v>
      </c>
      <c r="K55" s="16">
        <v>97061</v>
      </c>
      <c r="O55" s="40"/>
      <c r="P55" s="23" t="s">
        <v>959</v>
      </c>
      <c r="R55" s="16">
        <v>2</v>
      </c>
      <c r="S55" s="16" t="s">
        <v>434</v>
      </c>
      <c r="T55" s="16">
        <v>1</v>
      </c>
      <c r="U55" s="16" t="s">
        <v>368</v>
      </c>
      <c r="V55" s="16">
        <v>360</v>
      </c>
    </row>
    <row r="56" spans="1:34" ht="14.25" x14ac:dyDescent="0.15">
      <c r="A56" s="25" t="s">
        <v>41</v>
      </c>
      <c r="B56" s="16">
        <v>47</v>
      </c>
      <c r="C56" s="16">
        <v>92102</v>
      </c>
      <c r="D56" s="23" t="s">
        <v>435</v>
      </c>
      <c r="F56" s="16">
        <v>1</v>
      </c>
      <c r="G56" s="16">
        <v>10</v>
      </c>
      <c r="H56" s="16">
        <v>1</v>
      </c>
      <c r="I56" s="16">
        <v>32102</v>
      </c>
      <c r="J56" s="16" t="s">
        <v>792</v>
      </c>
      <c r="K56" s="16" t="s">
        <v>919</v>
      </c>
      <c r="O56" s="40"/>
      <c r="P56" s="23" t="s">
        <v>960</v>
      </c>
      <c r="R56" s="16">
        <v>2</v>
      </c>
      <c r="S56" s="16" t="s">
        <v>434</v>
      </c>
      <c r="T56" s="16">
        <v>1</v>
      </c>
      <c r="U56" s="16" t="s">
        <v>370</v>
      </c>
      <c r="V56" s="16">
        <v>1080</v>
      </c>
    </row>
    <row r="57" spans="1:34" ht="14.25" x14ac:dyDescent="0.15">
      <c r="A57" s="25" t="s">
        <v>41</v>
      </c>
      <c r="B57" s="16">
        <v>48</v>
      </c>
      <c r="C57" s="16">
        <v>92103</v>
      </c>
      <c r="D57" s="23" t="s">
        <v>436</v>
      </c>
      <c r="F57" s="16">
        <v>1</v>
      </c>
      <c r="G57" s="16">
        <v>10</v>
      </c>
      <c r="H57" s="16">
        <v>1</v>
      </c>
      <c r="I57" s="16">
        <v>32103</v>
      </c>
      <c r="J57" s="16" t="s">
        <v>793</v>
      </c>
      <c r="K57" s="16" t="s">
        <v>919</v>
      </c>
      <c r="O57" s="40"/>
      <c r="P57" s="23" t="s">
        <v>961</v>
      </c>
      <c r="R57" s="16">
        <v>2</v>
      </c>
      <c r="S57" s="16" t="s">
        <v>434</v>
      </c>
      <c r="T57" s="16">
        <v>1</v>
      </c>
      <c r="U57" s="16" t="s">
        <v>372</v>
      </c>
      <c r="V57" s="16">
        <v>3240</v>
      </c>
    </row>
    <row r="58" spans="1:34" ht="14.25" x14ac:dyDescent="0.15">
      <c r="A58" s="25" t="s">
        <v>41</v>
      </c>
      <c r="B58" s="16">
        <v>49</v>
      </c>
      <c r="C58" s="16">
        <v>92111</v>
      </c>
      <c r="D58" s="22" t="s">
        <v>437</v>
      </c>
      <c r="F58" s="16">
        <v>1</v>
      </c>
      <c r="G58" s="16">
        <v>10</v>
      </c>
      <c r="H58" s="16">
        <v>1</v>
      </c>
      <c r="I58" s="16">
        <v>32111</v>
      </c>
      <c r="J58" s="16" t="s">
        <v>794</v>
      </c>
      <c r="K58" s="16">
        <v>95031</v>
      </c>
      <c r="O58" s="40"/>
      <c r="P58" s="23" t="s">
        <v>962</v>
      </c>
      <c r="R58" s="16">
        <v>2</v>
      </c>
      <c r="S58" s="16" t="s">
        <v>438</v>
      </c>
      <c r="T58" s="16">
        <v>1</v>
      </c>
      <c r="U58" s="16" t="s">
        <v>368</v>
      </c>
      <c r="V58" s="16">
        <v>360</v>
      </c>
    </row>
    <row r="59" spans="1:34" ht="14.25" x14ac:dyDescent="0.15">
      <c r="A59" s="25" t="s">
        <v>41</v>
      </c>
      <c r="B59" s="16">
        <v>50</v>
      </c>
      <c r="C59" s="16">
        <v>92112</v>
      </c>
      <c r="D59" s="22" t="s">
        <v>439</v>
      </c>
      <c r="F59" s="16">
        <v>1</v>
      </c>
      <c r="G59" s="16">
        <v>10</v>
      </c>
      <c r="H59" s="16">
        <v>1</v>
      </c>
      <c r="I59" s="16">
        <v>32112</v>
      </c>
      <c r="J59" s="16" t="s">
        <v>795</v>
      </c>
      <c r="K59" s="16" t="s">
        <v>919</v>
      </c>
      <c r="O59" s="40"/>
      <c r="P59" s="23" t="s">
        <v>963</v>
      </c>
      <c r="R59" s="16">
        <v>2</v>
      </c>
      <c r="S59" s="16" t="s">
        <v>438</v>
      </c>
      <c r="T59" s="16">
        <v>1</v>
      </c>
      <c r="U59" s="16" t="s">
        <v>370</v>
      </c>
      <c r="V59" s="16">
        <v>1080</v>
      </c>
    </row>
    <row r="60" spans="1:34" ht="14.25" x14ac:dyDescent="0.15">
      <c r="A60" s="25" t="s">
        <v>41</v>
      </c>
      <c r="B60" s="16">
        <v>51</v>
      </c>
      <c r="C60" s="16">
        <v>92113</v>
      </c>
      <c r="D60" s="22" t="s">
        <v>440</v>
      </c>
      <c r="F60" s="16">
        <v>1</v>
      </c>
      <c r="G60" s="16">
        <v>10</v>
      </c>
      <c r="H60" s="16">
        <v>1</v>
      </c>
      <c r="I60" s="16">
        <v>32113</v>
      </c>
      <c r="J60" s="16" t="s">
        <v>796</v>
      </c>
      <c r="K60" s="16" t="s">
        <v>919</v>
      </c>
      <c r="O60" s="40"/>
      <c r="P60" s="23" t="s">
        <v>964</v>
      </c>
      <c r="R60" s="16">
        <v>2</v>
      </c>
      <c r="S60" s="16" t="s">
        <v>438</v>
      </c>
      <c r="T60" s="16">
        <v>1</v>
      </c>
      <c r="U60" s="16" t="s">
        <v>372</v>
      </c>
      <c r="V60" s="16">
        <v>3240</v>
      </c>
    </row>
    <row r="61" spans="1:34" ht="14.25" x14ac:dyDescent="0.15">
      <c r="A61" s="25" t="s">
        <v>41</v>
      </c>
      <c r="B61" s="16">
        <v>52</v>
      </c>
      <c r="C61" s="16">
        <v>92121</v>
      </c>
      <c r="D61" s="23" t="s">
        <v>441</v>
      </c>
      <c r="F61" s="16">
        <v>1</v>
      </c>
      <c r="G61" s="16">
        <v>10</v>
      </c>
      <c r="H61" s="16">
        <v>1</v>
      </c>
      <c r="I61" s="16">
        <v>32121</v>
      </c>
      <c r="J61" s="16" t="s">
        <v>797</v>
      </c>
      <c r="K61" s="16">
        <v>96071</v>
      </c>
      <c r="O61" s="40"/>
      <c r="P61" s="23" t="s">
        <v>965</v>
      </c>
      <c r="R61" s="16">
        <v>2</v>
      </c>
      <c r="S61" s="16" t="s">
        <v>442</v>
      </c>
      <c r="T61" s="16">
        <v>1</v>
      </c>
      <c r="U61" s="16" t="s">
        <v>368</v>
      </c>
      <c r="V61" s="16">
        <v>270</v>
      </c>
    </row>
    <row r="62" spans="1:34" ht="14.25" x14ac:dyDescent="0.15">
      <c r="A62" s="25" t="s">
        <v>41</v>
      </c>
      <c r="B62" s="16">
        <v>53</v>
      </c>
      <c r="C62" s="16">
        <v>92122</v>
      </c>
      <c r="D62" s="23" t="s">
        <v>443</v>
      </c>
      <c r="F62" s="16">
        <v>1</v>
      </c>
      <c r="G62" s="16">
        <v>10</v>
      </c>
      <c r="H62" s="16">
        <v>1</v>
      </c>
      <c r="I62" s="16">
        <v>32122</v>
      </c>
      <c r="J62" s="16" t="s">
        <v>798</v>
      </c>
      <c r="K62" s="16" t="s">
        <v>919</v>
      </c>
      <c r="O62" s="40"/>
      <c r="P62" s="23" t="s">
        <v>966</v>
      </c>
      <c r="R62" s="16">
        <v>2</v>
      </c>
      <c r="S62" s="16" t="s">
        <v>442</v>
      </c>
      <c r="T62" s="16">
        <v>1</v>
      </c>
      <c r="U62" s="16" t="s">
        <v>370</v>
      </c>
      <c r="V62" s="16">
        <v>810</v>
      </c>
    </row>
    <row r="63" spans="1:34" ht="14.25" x14ac:dyDescent="0.15">
      <c r="A63" s="25" t="s">
        <v>41</v>
      </c>
      <c r="B63" s="16">
        <v>54</v>
      </c>
      <c r="C63" s="16">
        <v>92123</v>
      </c>
      <c r="D63" s="23" t="s">
        <v>444</v>
      </c>
      <c r="F63" s="16">
        <v>1</v>
      </c>
      <c r="G63" s="16">
        <v>10</v>
      </c>
      <c r="H63" s="16">
        <v>1</v>
      </c>
      <c r="I63" s="16">
        <v>32123</v>
      </c>
      <c r="J63" s="16" t="s">
        <v>799</v>
      </c>
      <c r="K63" s="16" t="s">
        <v>919</v>
      </c>
      <c r="O63" s="40"/>
      <c r="P63" s="23" t="s">
        <v>967</v>
      </c>
      <c r="R63" s="16">
        <v>2</v>
      </c>
      <c r="S63" s="16" t="s">
        <v>442</v>
      </c>
      <c r="T63" s="16">
        <v>1</v>
      </c>
      <c r="U63" s="16" t="s">
        <v>372</v>
      </c>
      <c r="V63" s="16">
        <v>1620</v>
      </c>
    </row>
    <row r="64" spans="1:34" s="38" customFormat="1" ht="14.25" x14ac:dyDescent="0.15">
      <c r="A64" s="25" t="s">
        <v>41</v>
      </c>
      <c r="B64" s="16">
        <v>55</v>
      </c>
      <c r="C64" s="16">
        <v>93011</v>
      </c>
      <c r="D64" s="22" t="s">
        <v>445</v>
      </c>
      <c r="E64" s="16"/>
      <c r="F64" s="38">
        <v>1</v>
      </c>
      <c r="G64" s="16">
        <v>10</v>
      </c>
      <c r="H64" s="16">
        <v>1</v>
      </c>
      <c r="I64" s="16">
        <v>33011</v>
      </c>
      <c r="J64" s="16" t="s">
        <v>800</v>
      </c>
      <c r="K64" s="16">
        <v>96051</v>
      </c>
      <c r="O64" s="41"/>
      <c r="P64" s="23" t="s">
        <v>968</v>
      </c>
      <c r="Q64" s="38">
        <v>1530</v>
      </c>
      <c r="R64" s="16">
        <v>3</v>
      </c>
      <c r="S64" s="38" t="s">
        <v>446</v>
      </c>
      <c r="T64" s="16">
        <v>1</v>
      </c>
      <c r="U64" s="16" t="s">
        <v>368</v>
      </c>
      <c r="V64" s="16">
        <v>225</v>
      </c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</row>
    <row r="65" spans="1:34" s="38" customFormat="1" ht="14.25" x14ac:dyDescent="0.15">
      <c r="A65" s="25" t="s">
        <v>41</v>
      </c>
      <c r="B65" s="16">
        <v>56</v>
      </c>
      <c r="C65" s="16">
        <v>93012</v>
      </c>
      <c r="D65" s="22" t="s">
        <v>447</v>
      </c>
      <c r="E65" s="16"/>
      <c r="F65" s="38">
        <v>1</v>
      </c>
      <c r="G65" s="16">
        <v>10</v>
      </c>
      <c r="H65" s="16">
        <v>1</v>
      </c>
      <c r="I65" s="16">
        <v>33012</v>
      </c>
      <c r="J65" s="16" t="s">
        <v>801</v>
      </c>
      <c r="K65" s="16" t="s">
        <v>919</v>
      </c>
      <c r="O65" s="41"/>
      <c r="P65" s="23" t="s">
        <v>969</v>
      </c>
      <c r="Q65" s="38">
        <v>1540</v>
      </c>
      <c r="R65" s="16">
        <v>3</v>
      </c>
      <c r="S65" s="38" t="s">
        <v>446</v>
      </c>
      <c r="T65" s="16">
        <v>1</v>
      </c>
      <c r="U65" s="16" t="s">
        <v>370</v>
      </c>
      <c r="V65" s="16">
        <v>675</v>
      </c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</row>
    <row r="66" spans="1:34" s="38" customFormat="1" ht="14.25" x14ac:dyDescent="0.15">
      <c r="A66" s="25" t="s">
        <v>41</v>
      </c>
      <c r="B66" s="16">
        <v>57</v>
      </c>
      <c r="C66" s="16">
        <v>93013</v>
      </c>
      <c r="D66" s="22" t="s">
        <v>448</v>
      </c>
      <c r="E66" s="16"/>
      <c r="F66" s="38">
        <v>1</v>
      </c>
      <c r="G66" s="16">
        <v>10</v>
      </c>
      <c r="H66" s="16">
        <v>1</v>
      </c>
      <c r="I66" s="16">
        <v>33013</v>
      </c>
      <c r="J66" s="16" t="s">
        <v>802</v>
      </c>
      <c r="K66" s="16" t="s">
        <v>919</v>
      </c>
      <c r="O66" s="41"/>
      <c r="P66" s="23" t="s">
        <v>970</v>
      </c>
      <c r="Q66" s="38">
        <v>1550</v>
      </c>
      <c r="R66" s="16">
        <v>3</v>
      </c>
      <c r="S66" s="38" t="s">
        <v>446</v>
      </c>
      <c r="T66" s="16">
        <v>1</v>
      </c>
      <c r="U66" s="16" t="s">
        <v>372</v>
      </c>
      <c r="V66" s="16">
        <v>1620</v>
      </c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</row>
    <row r="67" spans="1:34" ht="14.25" x14ac:dyDescent="0.15">
      <c r="A67" s="25" t="s">
        <v>41</v>
      </c>
      <c r="B67" s="16">
        <v>58</v>
      </c>
      <c r="C67" s="16">
        <v>93021</v>
      </c>
      <c r="D67" s="23" t="s">
        <v>449</v>
      </c>
      <c r="F67" s="16">
        <v>1</v>
      </c>
      <c r="G67" s="16">
        <v>10</v>
      </c>
      <c r="H67" s="16">
        <v>1</v>
      </c>
      <c r="I67" s="16">
        <v>33021</v>
      </c>
      <c r="J67" s="16" t="s">
        <v>803</v>
      </c>
      <c r="K67" s="16">
        <v>95081</v>
      </c>
      <c r="O67" s="40"/>
      <c r="P67" s="23" t="s">
        <v>971</v>
      </c>
      <c r="Q67" s="16">
        <v>1650</v>
      </c>
      <c r="R67" s="16">
        <v>3</v>
      </c>
      <c r="S67" s="16" t="s">
        <v>450</v>
      </c>
      <c r="T67" s="16">
        <v>1</v>
      </c>
      <c r="U67" s="16" t="s">
        <v>368</v>
      </c>
      <c r="V67" s="16">
        <v>240</v>
      </c>
    </row>
    <row r="68" spans="1:34" ht="14.25" x14ac:dyDescent="0.15">
      <c r="A68" s="25" t="s">
        <v>41</v>
      </c>
      <c r="B68" s="16">
        <v>59</v>
      </c>
      <c r="C68" s="16">
        <v>93022</v>
      </c>
      <c r="D68" s="23" t="s">
        <v>451</v>
      </c>
      <c r="F68" s="16">
        <v>1</v>
      </c>
      <c r="G68" s="16">
        <v>10</v>
      </c>
      <c r="H68" s="16">
        <v>1</v>
      </c>
      <c r="I68" s="16">
        <v>33022</v>
      </c>
      <c r="J68" s="16" t="s">
        <v>804</v>
      </c>
      <c r="K68" s="16" t="s">
        <v>919</v>
      </c>
      <c r="O68" s="40"/>
      <c r="P68" s="23" t="s">
        <v>972</v>
      </c>
      <c r="Q68" s="16">
        <v>1660</v>
      </c>
      <c r="R68" s="16">
        <v>3</v>
      </c>
      <c r="S68" s="16" t="s">
        <v>450</v>
      </c>
      <c r="T68" s="16">
        <v>1</v>
      </c>
      <c r="U68" s="16" t="s">
        <v>370</v>
      </c>
      <c r="V68" s="16">
        <v>720</v>
      </c>
    </row>
    <row r="69" spans="1:34" ht="14.25" x14ac:dyDescent="0.15">
      <c r="A69" s="25" t="s">
        <v>41</v>
      </c>
      <c r="B69" s="16">
        <v>60</v>
      </c>
      <c r="C69" s="16">
        <v>93023</v>
      </c>
      <c r="D69" s="23" t="s">
        <v>452</v>
      </c>
      <c r="F69" s="16">
        <v>1</v>
      </c>
      <c r="G69" s="16">
        <v>10</v>
      </c>
      <c r="H69" s="16">
        <v>1</v>
      </c>
      <c r="I69" s="16">
        <v>33023</v>
      </c>
      <c r="J69" s="16" t="s">
        <v>805</v>
      </c>
      <c r="K69" s="16" t="s">
        <v>919</v>
      </c>
      <c r="O69" s="40"/>
      <c r="P69" s="23" t="s">
        <v>973</v>
      </c>
      <c r="Q69" s="16">
        <v>1670</v>
      </c>
      <c r="R69" s="16">
        <v>3</v>
      </c>
      <c r="S69" s="16" t="s">
        <v>450</v>
      </c>
      <c r="T69" s="16">
        <v>1</v>
      </c>
      <c r="U69" s="16" t="s">
        <v>372</v>
      </c>
      <c r="V69" s="16">
        <v>2160</v>
      </c>
    </row>
    <row r="70" spans="1:34" s="38" customFormat="1" ht="14.25" x14ac:dyDescent="0.15">
      <c r="A70" s="25" t="s">
        <v>41</v>
      </c>
      <c r="B70" s="16">
        <v>61</v>
      </c>
      <c r="C70" s="16">
        <v>93031</v>
      </c>
      <c r="D70" s="22" t="s">
        <v>453</v>
      </c>
      <c r="E70" s="16"/>
      <c r="F70" s="38">
        <v>1</v>
      </c>
      <c r="G70" s="16">
        <v>10</v>
      </c>
      <c r="H70" s="16">
        <v>1</v>
      </c>
      <c r="I70" s="16">
        <v>33031</v>
      </c>
      <c r="J70" s="16" t="s">
        <v>806</v>
      </c>
      <c r="K70" s="16">
        <v>95051</v>
      </c>
      <c r="O70" s="41"/>
      <c r="P70" s="23" t="s">
        <v>974</v>
      </c>
      <c r="Q70" s="38">
        <v>1740</v>
      </c>
      <c r="R70" s="16">
        <v>3</v>
      </c>
      <c r="S70" s="38" t="s">
        <v>454</v>
      </c>
      <c r="T70" s="16">
        <v>1</v>
      </c>
      <c r="U70" s="16" t="s">
        <v>368</v>
      </c>
      <c r="V70" s="16">
        <v>360</v>
      </c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</row>
    <row r="71" spans="1:34" s="38" customFormat="1" ht="14.25" x14ac:dyDescent="0.15">
      <c r="A71" s="25" t="s">
        <v>41</v>
      </c>
      <c r="B71" s="16">
        <v>62</v>
      </c>
      <c r="C71" s="16">
        <v>93032</v>
      </c>
      <c r="D71" s="22" t="s">
        <v>455</v>
      </c>
      <c r="E71" s="16"/>
      <c r="F71" s="38">
        <v>1</v>
      </c>
      <c r="G71" s="16">
        <v>10</v>
      </c>
      <c r="H71" s="16">
        <v>1</v>
      </c>
      <c r="I71" s="16">
        <v>33032</v>
      </c>
      <c r="J71" s="16" t="s">
        <v>807</v>
      </c>
      <c r="K71" s="16" t="s">
        <v>919</v>
      </c>
      <c r="O71" s="41"/>
      <c r="P71" s="23" t="s">
        <v>975</v>
      </c>
      <c r="Q71" s="38">
        <v>1780</v>
      </c>
      <c r="R71" s="16">
        <v>3</v>
      </c>
      <c r="S71" s="38" t="s">
        <v>454</v>
      </c>
      <c r="T71" s="16">
        <v>1</v>
      </c>
      <c r="U71" s="16" t="s">
        <v>370</v>
      </c>
      <c r="V71" s="16">
        <v>1080</v>
      </c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</row>
    <row r="72" spans="1:34" s="38" customFormat="1" ht="14.25" x14ac:dyDescent="0.15">
      <c r="A72" s="25" t="s">
        <v>41</v>
      </c>
      <c r="B72" s="16">
        <v>63</v>
      </c>
      <c r="C72" s="16">
        <v>93033</v>
      </c>
      <c r="D72" s="22" t="s">
        <v>456</v>
      </c>
      <c r="E72" s="16"/>
      <c r="F72" s="38">
        <v>1</v>
      </c>
      <c r="G72" s="16">
        <v>10</v>
      </c>
      <c r="H72" s="16">
        <v>1</v>
      </c>
      <c r="I72" s="16">
        <v>33033</v>
      </c>
      <c r="J72" s="16" t="s">
        <v>808</v>
      </c>
      <c r="K72" s="16" t="s">
        <v>919</v>
      </c>
      <c r="O72" s="41"/>
      <c r="P72" s="23" t="s">
        <v>976</v>
      </c>
      <c r="Q72" s="38">
        <v>1780</v>
      </c>
      <c r="R72" s="16">
        <v>3</v>
      </c>
      <c r="S72" s="38" t="s">
        <v>454</v>
      </c>
      <c r="T72" s="16">
        <v>1</v>
      </c>
      <c r="U72" s="16" t="s">
        <v>372</v>
      </c>
      <c r="V72" s="16">
        <v>540</v>
      </c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</row>
    <row r="73" spans="1:34" ht="14.25" x14ac:dyDescent="0.15">
      <c r="A73" s="25" t="s">
        <v>41</v>
      </c>
      <c r="B73" s="16">
        <v>64</v>
      </c>
      <c r="C73" s="16">
        <v>93041</v>
      </c>
      <c r="D73" s="23" t="s">
        <v>457</v>
      </c>
      <c r="F73" s="16">
        <v>1</v>
      </c>
      <c r="G73" s="16">
        <v>10</v>
      </c>
      <c r="H73" s="16">
        <v>1</v>
      </c>
      <c r="I73" s="16">
        <v>33041</v>
      </c>
      <c r="J73" s="16" t="s">
        <v>809</v>
      </c>
      <c r="K73" s="16">
        <v>95021</v>
      </c>
      <c r="O73" s="40"/>
      <c r="P73" s="23" t="s">
        <v>977</v>
      </c>
      <c r="Q73" s="16">
        <v>1840</v>
      </c>
      <c r="R73" s="16">
        <v>3</v>
      </c>
      <c r="S73" s="16" t="s">
        <v>458</v>
      </c>
      <c r="T73" s="16">
        <v>1</v>
      </c>
      <c r="U73" s="16" t="s">
        <v>368</v>
      </c>
      <c r="V73" s="16">
        <v>540</v>
      </c>
    </row>
    <row r="74" spans="1:34" ht="14.25" x14ac:dyDescent="0.15">
      <c r="A74" s="25" t="s">
        <v>41</v>
      </c>
      <c r="B74" s="16">
        <v>65</v>
      </c>
      <c r="C74" s="16">
        <v>93042</v>
      </c>
      <c r="D74" s="23" t="s">
        <v>459</v>
      </c>
      <c r="F74" s="16">
        <v>1</v>
      </c>
      <c r="G74" s="16">
        <v>10</v>
      </c>
      <c r="H74" s="16">
        <v>1</v>
      </c>
      <c r="I74" s="16">
        <v>33042</v>
      </c>
      <c r="J74" s="16" t="s">
        <v>810</v>
      </c>
      <c r="K74" s="16" t="s">
        <v>919</v>
      </c>
      <c r="O74" s="40"/>
      <c r="P74" s="23" t="s">
        <v>978</v>
      </c>
      <c r="Q74" s="16">
        <v>1850</v>
      </c>
      <c r="R74" s="16">
        <v>3</v>
      </c>
      <c r="S74" s="16" t="s">
        <v>458</v>
      </c>
      <c r="T74" s="16">
        <v>1</v>
      </c>
      <c r="U74" s="16" t="s">
        <v>370</v>
      </c>
      <c r="V74" s="16">
        <v>1620</v>
      </c>
    </row>
    <row r="75" spans="1:34" ht="14.25" x14ac:dyDescent="0.15">
      <c r="A75" s="25" t="s">
        <v>41</v>
      </c>
      <c r="B75" s="16">
        <v>66</v>
      </c>
      <c r="C75" s="16">
        <v>93043</v>
      </c>
      <c r="D75" s="23" t="s">
        <v>460</v>
      </c>
      <c r="F75" s="16">
        <v>1</v>
      </c>
      <c r="G75" s="16">
        <v>10</v>
      </c>
      <c r="H75" s="16">
        <v>1</v>
      </c>
      <c r="I75" s="16">
        <v>33043</v>
      </c>
      <c r="J75" s="16" t="s">
        <v>811</v>
      </c>
      <c r="K75" s="16" t="s">
        <v>919</v>
      </c>
      <c r="O75" s="40"/>
      <c r="P75" s="23" t="s">
        <v>979</v>
      </c>
      <c r="Q75" s="16">
        <v>1890</v>
      </c>
      <c r="R75" s="16">
        <v>3</v>
      </c>
      <c r="S75" s="16" t="s">
        <v>458</v>
      </c>
      <c r="T75" s="16">
        <v>1</v>
      </c>
      <c r="U75" s="16" t="s">
        <v>372</v>
      </c>
      <c r="V75" s="16">
        <v>4860</v>
      </c>
    </row>
    <row r="76" spans="1:34" s="38" customFormat="1" ht="14.25" x14ac:dyDescent="0.15">
      <c r="A76" s="25" t="s">
        <v>41</v>
      </c>
      <c r="B76" s="16">
        <v>67</v>
      </c>
      <c r="C76" s="16">
        <v>93051</v>
      </c>
      <c r="D76" s="22" t="s">
        <v>461</v>
      </c>
      <c r="E76" s="16"/>
      <c r="F76" s="38">
        <v>1</v>
      </c>
      <c r="G76" s="16">
        <v>10</v>
      </c>
      <c r="H76" s="16">
        <v>1</v>
      </c>
      <c r="I76" s="16">
        <v>33051</v>
      </c>
      <c r="J76" s="16" t="s">
        <v>812</v>
      </c>
      <c r="K76" s="16">
        <v>97051</v>
      </c>
      <c r="O76" s="41"/>
      <c r="P76" s="23" t="s">
        <v>980</v>
      </c>
      <c r="Q76" s="38">
        <v>1940</v>
      </c>
      <c r="R76" s="16">
        <v>3</v>
      </c>
      <c r="S76" s="38" t="s">
        <v>462</v>
      </c>
      <c r="T76" s="16">
        <v>1</v>
      </c>
      <c r="U76" s="16" t="s">
        <v>368</v>
      </c>
      <c r="V76" s="16">
        <v>540</v>
      </c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</row>
    <row r="77" spans="1:34" s="38" customFormat="1" ht="14.25" x14ac:dyDescent="0.15">
      <c r="A77" s="25" t="s">
        <v>41</v>
      </c>
      <c r="B77" s="16">
        <v>68</v>
      </c>
      <c r="C77" s="16">
        <v>93052</v>
      </c>
      <c r="D77" s="22" t="s">
        <v>463</v>
      </c>
      <c r="E77" s="16"/>
      <c r="F77" s="38">
        <v>1</v>
      </c>
      <c r="G77" s="16">
        <v>10</v>
      </c>
      <c r="H77" s="16">
        <v>1</v>
      </c>
      <c r="I77" s="16">
        <v>33052</v>
      </c>
      <c r="J77" s="16" t="s">
        <v>813</v>
      </c>
      <c r="K77" s="16" t="s">
        <v>919</v>
      </c>
      <c r="O77" s="41"/>
      <c r="P77" s="23" t="s">
        <v>981</v>
      </c>
      <c r="Q77" s="38">
        <v>1950</v>
      </c>
      <c r="R77" s="16">
        <v>3</v>
      </c>
      <c r="S77" s="38" t="s">
        <v>462</v>
      </c>
      <c r="T77" s="16">
        <v>1</v>
      </c>
      <c r="U77" s="16" t="s">
        <v>370</v>
      </c>
      <c r="V77" s="16">
        <v>1620</v>
      </c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</row>
    <row r="78" spans="1:34" s="38" customFormat="1" ht="14.25" x14ac:dyDescent="0.15">
      <c r="A78" s="25" t="s">
        <v>41</v>
      </c>
      <c r="B78" s="16">
        <v>69</v>
      </c>
      <c r="C78" s="16">
        <v>93053</v>
      </c>
      <c r="D78" s="22" t="s">
        <v>464</v>
      </c>
      <c r="E78" s="16"/>
      <c r="F78" s="38">
        <v>1</v>
      </c>
      <c r="G78" s="16">
        <v>10</v>
      </c>
      <c r="H78" s="16">
        <v>1</v>
      </c>
      <c r="I78" s="16">
        <v>33053</v>
      </c>
      <c r="J78" s="16" t="s">
        <v>814</v>
      </c>
      <c r="K78" s="16" t="s">
        <v>919</v>
      </c>
      <c r="O78" s="41"/>
      <c r="P78" s="23" t="s">
        <v>982</v>
      </c>
      <c r="Q78" s="38">
        <v>1960</v>
      </c>
      <c r="R78" s="16">
        <v>3</v>
      </c>
      <c r="S78" s="38" t="s">
        <v>462</v>
      </c>
      <c r="T78" s="16">
        <v>1</v>
      </c>
      <c r="U78" s="16" t="s">
        <v>372</v>
      </c>
      <c r="V78" s="16">
        <v>4860</v>
      </c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</row>
    <row r="79" spans="1:34" ht="14.25" x14ac:dyDescent="0.15">
      <c r="A79" s="25" t="s">
        <v>41</v>
      </c>
      <c r="B79" s="16">
        <v>70</v>
      </c>
      <c r="C79" s="16">
        <v>93061</v>
      </c>
      <c r="D79" s="23" t="s">
        <v>465</v>
      </c>
      <c r="F79" s="16">
        <v>1</v>
      </c>
      <c r="G79" s="16">
        <v>10</v>
      </c>
      <c r="H79" s="16">
        <v>1</v>
      </c>
      <c r="I79" s="16">
        <v>33061</v>
      </c>
      <c r="J79" s="16" t="s">
        <v>815</v>
      </c>
      <c r="K79" s="16">
        <v>96041</v>
      </c>
      <c r="O79" s="40"/>
      <c r="P79" s="23" t="s">
        <v>983</v>
      </c>
      <c r="Q79" s="16">
        <v>2040</v>
      </c>
      <c r="R79" s="16">
        <v>3</v>
      </c>
      <c r="S79" s="16" t="s">
        <v>466</v>
      </c>
      <c r="T79" s="16">
        <v>1</v>
      </c>
      <c r="U79" s="16" t="s">
        <v>368</v>
      </c>
      <c r="V79" s="16">
        <v>360</v>
      </c>
    </row>
    <row r="80" spans="1:34" ht="14.25" x14ac:dyDescent="0.15">
      <c r="A80" s="25" t="s">
        <v>41</v>
      </c>
      <c r="B80" s="16">
        <v>71</v>
      </c>
      <c r="C80" s="16">
        <v>93062</v>
      </c>
      <c r="D80" s="23" t="s">
        <v>467</v>
      </c>
      <c r="F80" s="16">
        <v>1</v>
      </c>
      <c r="G80" s="16">
        <v>10</v>
      </c>
      <c r="H80" s="16">
        <v>1</v>
      </c>
      <c r="I80" s="16">
        <v>33062</v>
      </c>
      <c r="J80" s="16" t="s">
        <v>816</v>
      </c>
      <c r="K80" s="16" t="s">
        <v>919</v>
      </c>
      <c r="O80" s="40"/>
      <c r="P80" s="23" t="s">
        <v>984</v>
      </c>
      <c r="Q80" s="16">
        <v>2040</v>
      </c>
      <c r="R80" s="16">
        <v>3</v>
      </c>
      <c r="S80" s="16" t="s">
        <v>466</v>
      </c>
      <c r="T80" s="16">
        <v>1</v>
      </c>
      <c r="U80" s="16" t="s">
        <v>370</v>
      </c>
      <c r="V80" s="16">
        <v>1080</v>
      </c>
    </row>
    <row r="81" spans="1:34" ht="14.25" x14ac:dyDescent="0.15">
      <c r="A81" s="25" t="s">
        <v>41</v>
      </c>
      <c r="B81" s="16">
        <v>72</v>
      </c>
      <c r="C81" s="16">
        <v>93063</v>
      </c>
      <c r="D81" s="23" t="s">
        <v>468</v>
      </c>
      <c r="F81" s="16">
        <v>1</v>
      </c>
      <c r="G81" s="16">
        <v>10</v>
      </c>
      <c r="H81" s="16">
        <v>1</v>
      </c>
      <c r="I81" s="16">
        <v>33063</v>
      </c>
      <c r="J81" s="16" t="s">
        <v>817</v>
      </c>
      <c r="K81" s="16" t="s">
        <v>919</v>
      </c>
      <c r="O81" s="40"/>
      <c r="P81" s="23" t="s">
        <v>985</v>
      </c>
      <c r="Q81" s="16">
        <v>2050</v>
      </c>
      <c r="R81" s="16">
        <v>3</v>
      </c>
      <c r="S81" s="16" t="s">
        <v>466</v>
      </c>
      <c r="T81" s="16">
        <v>1</v>
      </c>
      <c r="U81" s="16" t="s">
        <v>372</v>
      </c>
      <c r="V81" s="16">
        <v>1080</v>
      </c>
    </row>
    <row r="82" spans="1:34" s="38" customFormat="1" ht="14.25" x14ac:dyDescent="0.15">
      <c r="A82" s="25" t="s">
        <v>41</v>
      </c>
      <c r="B82" s="16">
        <v>73</v>
      </c>
      <c r="C82" s="16">
        <v>93071</v>
      </c>
      <c r="D82" s="22" t="s">
        <v>469</v>
      </c>
      <c r="E82" s="16"/>
      <c r="F82" s="38">
        <v>1</v>
      </c>
      <c r="G82" s="16">
        <v>10</v>
      </c>
      <c r="H82" s="16">
        <v>1</v>
      </c>
      <c r="I82" s="16">
        <v>33071</v>
      </c>
      <c r="J82" s="16" t="s">
        <v>818</v>
      </c>
      <c r="K82" s="16">
        <v>95041</v>
      </c>
      <c r="O82" s="41"/>
      <c r="P82" s="23" t="s">
        <v>986</v>
      </c>
      <c r="Q82" s="38">
        <v>2120</v>
      </c>
      <c r="R82" s="16">
        <v>3</v>
      </c>
      <c r="S82" s="38" t="s">
        <v>470</v>
      </c>
      <c r="T82" s="16">
        <v>1</v>
      </c>
      <c r="U82" s="16" t="s">
        <v>368</v>
      </c>
      <c r="V82" s="16">
        <v>450</v>
      </c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</row>
    <row r="83" spans="1:34" s="38" customFormat="1" ht="14.25" x14ac:dyDescent="0.15">
      <c r="A83" s="25" t="s">
        <v>41</v>
      </c>
      <c r="B83" s="16">
        <v>74</v>
      </c>
      <c r="C83" s="16">
        <v>93072</v>
      </c>
      <c r="D83" s="22" t="s">
        <v>471</v>
      </c>
      <c r="E83" s="16"/>
      <c r="F83" s="38">
        <v>1</v>
      </c>
      <c r="G83" s="16">
        <v>10</v>
      </c>
      <c r="H83" s="16">
        <v>1</v>
      </c>
      <c r="I83" s="16">
        <v>33072</v>
      </c>
      <c r="J83" s="16" t="s">
        <v>819</v>
      </c>
      <c r="K83" s="16" t="s">
        <v>919</v>
      </c>
      <c r="O83" s="41"/>
      <c r="P83" s="23" t="s">
        <v>987</v>
      </c>
      <c r="Q83" s="38">
        <v>2130</v>
      </c>
      <c r="R83" s="16">
        <v>3</v>
      </c>
      <c r="S83" s="38" t="s">
        <v>470</v>
      </c>
      <c r="T83" s="16">
        <v>1</v>
      </c>
      <c r="U83" s="16" t="s">
        <v>370</v>
      </c>
      <c r="V83" s="16">
        <v>1350</v>
      </c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</row>
    <row r="84" spans="1:34" s="38" customFormat="1" ht="14.25" x14ac:dyDescent="0.15">
      <c r="A84" s="25" t="s">
        <v>41</v>
      </c>
      <c r="B84" s="16">
        <v>75</v>
      </c>
      <c r="C84" s="16">
        <v>93073</v>
      </c>
      <c r="D84" s="22" t="s">
        <v>472</v>
      </c>
      <c r="E84" s="16"/>
      <c r="F84" s="38">
        <v>1</v>
      </c>
      <c r="G84" s="16">
        <v>10</v>
      </c>
      <c r="H84" s="16">
        <v>1</v>
      </c>
      <c r="I84" s="16">
        <v>33073</v>
      </c>
      <c r="J84" s="16" t="s">
        <v>820</v>
      </c>
      <c r="K84" s="16" t="s">
        <v>919</v>
      </c>
      <c r="O84" s="41"/>
      <c r="P84" s="23" t="s">
        <v>988</v>
      </c>
      <c r="Q84" s="38">
        <v>2140</v>
      </c>
      <c r="R84" s="16">
        <v>3</v>
      </c>
      <c r="S84" s="38" t="s">
        <v>470</v>
      </c>
      <c r="T84" s="16">
        <v>1</v>
      </c>
      <c r="U84" s="16" t="s">
        <v>372</v>
      </c>
      <c r="V84" s="16">
        <v>4050</v>
      </c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</row>
    <row r="85" spans="1:34" ht="14.25" x14ac:dyDescent="0.15">
      <c r="A85" s="25" t="s">
        <v>41</v>
      </c>
      <c r="B85" s="16">
        <v>76</v>
      </c>
      <c r="C85" s="16">
        <v>94011</v>
      </c>
      <c r="D85" s="23" t="s">
        <v>473</v>
      </c>
      <c r="F85" s="16">
        <v>2</v>
      </c>
      <c r="G85" s="16">
        <v>10</v>
      </c>
      <c r="H85" s="16">
        <v>1</v>
      </c>
      <c r="I85" s="16">
        <v>34011</v>
      </c>
      <c r="J85" s="16" t="s">
        <v>821</v>
      </c>
      <c r="K85" s="16">
        <v>91061</v>
      </c>
      <c r="O85" s="40"/>
      <c r="P85" s="23" t="s">
        <v>989</v>
      </c>
      <c r="Q85" s="16">
        <v>90</v>
      </c>
      <c r="R85" s="16">
        <v>1</v>
      </c>
      <c r="S85" s="16" t="s">
        <v>474</v>
      </c>
      <c r="T85" s="16">
        <v>2</v>
      </c>
      <c r="U85" s="16" t="s">
        <v>368</v>
      </c>
      <c r="V85" s="16">
        <v>120</v>
      </c>
    </row>
    <row r="86" spans="1:34" ht="14.25" x14ac:dyDescent="0.15">
      <c r="A86" s="25" t="s">
        <v>41</v>
      </c>
      <c r="B86" s="16">
        <v>77</v>
      </c>
      <c r="C86" s="16">
        <v>94012</v>
      </c>
      <c r="D86" s="23" t="s">
        <v>475</v>
      </c>
      <c r="F86" s="16">
        <v>2</v>
      </c>
      <c r="G86" s="16">
        <v>10</v>
      </c>
      <c r="H86" s="16">
        <v>1</v>
      </c>
      <c r="I86" s="16">
        <v>34012</v>
      </c>
      <c r="J86" s="16" t="s">
        <v>822</v>
      </c>
      <c r="K86" s="16" t="s">
        <v>919</v>
      </c>
      <c r="O86" s="40"/>
      <c r="P86" s="23" t="s">
        <v>990</v>
      </c>
      <c r="Q86" s="16">
        <v>100</v>
      </c>
      <c r="R86" s="16">
        <v>1</v>
      </c>
      <c r="S86" s="16" t="s">
        <v>474</v>
      </c>
      <c r="T86" s="16">
        <v>2</v>
      </c>
      <c r="U86" s="16" t="s">
        <v>370</v>
      </c>
      <c r="V86" s="16">
        <v>360</v>
      </c>
    </row>
    <row r="87" spans="1:34" ht="14.25" x14ac:dyDescent="0.15">
      <c r="A87" s="25" t="s">
        <v>41</v>
      </c>
      <c r="B87" s="16">
        <v>78</v>
      </c>
      <c r="C87" s="16">
        <v>94013</v>
      </c>
      <c r="D87" s="23" t="s">
        <v>476</v>
      </c>
      <c r="F87" s="16">
        <v>2</v>
      </c>
      <c r="G87" s="16">
        <v>10</v>
      </c>
      <c r="H87" s="16">
        <v>1</v>
      </c>
      <c r="I87" s="16">
        <v>34013</v>
      </c>
      <c r="J87" s="16" t="s">
        <v>823</v>
      </c>
      <c r="K87" s="16" t="s">
        <v>919</v>
      </c>
      <c r="O87" s="40"/>
      <c r="P87" s="23" t="s">
        <v>991</v>
      </c>
      <c r="Q87" s="16">
        <v>130</v>
      </c>
      <c r="R87" s="16">
        <v>1</v>
      </c>
      <c r="S87" s="16" t="s">
        <v>474</v>
      </c>
      <c r="T87" s="16">
        <v>2</v>
      </c>
      <c r="U87" s="16" t="s">
        <v>372</v>
      </c>
      <c r="V87" s="16">
        <v>1080</v>
      </c>
    </row>
    <row r="88" spans="1:34" s="38" customFormat="1" ht="14.25" x14ac:dyDescent="0.15">
      <c r="A88" s="25" t="s">
        <v>41</v>
      </c>
      <c r="B88" s="16">
        <v>79</v>
      </c>
      <c r="C88" s="16">
        <v>94021</v>
      </c>
      <c r="D88" s="22" t="s">
        <v>477</v>
      </c>
      <c r="E88" s="16"/>
      <c r="F88" s="38">
        <v>2</v>
      </c>
      <c r="G88" s="16">
        <v>10</v>
      </c>
      <c r="H88" s="16">
        <v>1</v>
      </c>
      <c r="I88" s="16">
        <v>34021</v>
      </c>
      <c r="J88" s="16" t="s">
        <v>824</v>
      </c>
      <c r="K88" s="16">
        <v>97021</v>
      </c>
      <c r="O88" s="41"/>
      <c r="P88" s="23" t="s">
        <v>992</v>
      </c>
      <c r="Q88" s="38">
        <v>140</v>
      </c>
      <c r="R88" s="16">
        <v>1</v>
      </c>
      <c r="S88" s="38" t="s">
        <v>478</v>
      </c>
      <c r="T88" s="16">
        <v>2</v>
      </c>
      <c r="U88" s="16" t="s">
        <v>368</v>
      </c>
      <c r="V88" s="16">
        <v>240</v>
      </c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</row>
    <row r="89" spans="1:34" s="38" customFormat="1" ht="14.25" x14ac:dyDescent="0.15">
      <c r="A89" s="25" t="s">
        <v>41</v>
      </c>
      <c r="B89" s="16">
        <v>80</v>
      </c>
      <c r="C89" s="16">
        <v>94022</v>
      </c>
      <c r="D89" s="22" t="s">
        <v>479</v>
      </c>
      <c r="E89" s="16"/>
      <c r="F89" s="38">
        <v>2</v>
      </c>
      <c r="G89" s="16">
        <v>10</v>
      </c>
      <c r="H89" s="16">
        <v>1</v>
      </c>
      <c r="I89" s="16">
        <v>34022</v>
      </c>
      <c r="J89" s="16" t="s">
        <v>825</v>
      </c>
      <c r="K89" s="16" t="s">
        <v>919</v>
      </c>
      <c r="O89" s="41"/>
      <c r="P89" s="23" t="s">
        <v>993</v>
      </c>
      <c r="Q89" s="38">
        <v>140</v>
      </c>
      <c r="R89" s="16">
        <v>1</v>
      </c>
      <c r="S89" s="38" t="s">
        <v>478</v>
      </c>
      <c r="T89" s="16">
        <v>2</v>
      </c>
      <c r="U89" s="16" t="s">
        <v>370</v>
      </c>
      <c r="V89" s="16">
        <v>720</v>
      </c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</row>
    <row r="90" spans="1:34" s="38" customFormat="1" ht="14.25" x14ac:dyDescent="0.15">
      <c r="A90" s="25" t="s">
        <v>41</v>
      </c>
      <c r="B90" s="16">
        <v>81</v>
      </c>
      <c r="C90" s="16">
        <v>94023</v>
      </c>
      <c r="D90" s="22" t="s">
        <v>480</v>
      </c>
      <c r="E90" s="16"/>
      <c r="F90" s="38">
        <v>2</v>
      </c>
      <c r="G90" s="16">
        <v>10</v>
      </c>
      <c r="H90" s="16">
        <v>1</v>
      </c>
      <c r="I90" s="16">
        <v>34023</v>
      </c>
      <c r="J90" s="16" t="s">
        <v>826</v>
      </c>
      <c r="K90" s="16" t="s">
        <v>919</v>
      </c>
      <c r="O90" s="41"/>
      <c r="P90" s="23" t="s">
        <v>994</v>
      </c>
      <c r="Q90" s="38">
        <v>150</v>
      </c>
      <c r="R90" s="16">
        <v>1</v>
      </c>
      <c r="S90" s="38" t="s">
        <v>478</v>
      </c>
      <c r="T90" s="16">
        <v>2</v>
      </c>
      <c r="U90" s="16" t="s">
        <v>372</v>
      </c>
      <c r="V90" s="16">
        <v>2160</v>
      </c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</row>
    <row r="91" spans="1:34" ht="14.25" x14ac:dyDescent="0.15">
      <c r="A91" s="25" t="s">
        <v>41</v>
      </c>
      <c r="B91" s="16">
        <v>82</v>
      </c>
      <c r="C91" s="16">
        <v>94031</v>
      </c>
      <c r="D91" s="23" t="s">
        <v>481</v>
      </c>
      <c r="F91" s="16">
        <v>2</v>
      </c>
      <c r="G91" s="16">
        <v>10</v>
      </c>
      <c r="H91" s="16">
        <v>1</v>
      </c>
      <c r="I91" s="16">
        <v>34031</v>
      </c>
      <c r="J91" s="16" t="s">
        <v>827</v>
      </c>
      <c r="K91" s="16">
        <v>97011</v>
      </c>
      <c r="O91" s="40"/>
      <c r="P91" s="23" t="s">
        <v>482</v>
      </c>
      <c r="Q91" s="16">
        <v>280</v>
      </c>
      <c r="R91" s="16">
        <v>1</v>
      </c>
      <c r="S91" s="16" t="s">
        <v>483</v>
      </c>
      <c r="T91" s="16">
        <v>2</v>
      </c>
      <c r="U91" s="16" t="s">
        <v>368</v>
      </c>
      <c r="V91" s="16">
        <v>120</v>
      </c>
    </row>
    <row r="92" spans="1:34" ht="14.25" x14ac:dyDescent="0.15">
      <c r="A92" s="25" t="s">
        <v>41</v>
      </c>
      <c r="B92" s="16">
        <v>83</v>
      </c>
      <c r="C92" s="16">
        <v>94032</v>
      </c>
      <c r="D92" s="23" t="s">
        <v>484</v>
      </c>
      <c r="F92" s="16">
        <v>2</v>
      </c>
      <c r="G92" s="16">
        <v>10</v>
      </c>
      <c r="H92" s="16">
        <v>1</v>
      </c>
      <c r="I92" s="16">
        <v>34032</v>
      </c>
      <c r="J92" s="16" t="s">
        <v>828</v>
      </c>
      <c r="K92" s="16" t="s">
        <v>919</v>
      </c>
      <c r="O92" s="40"/>
      <c r="P92" s="23" t="s">
        <v>485</v>
      </c>
      <c r="Q92" s="16">
        <v>330</v>
      </c>
      <c r="R92" s="16">
        <v>1</v>
      </c>
      <c r="S92" s="16" t="s">
        <v>483</v>
      </c>
      <c r="T92" s="16">
        <v>2</v>
      </c>
      <c r="U92" s="16" t="s">
        <v>370</v>
      </c>
      <c r="V92" s="16">
        <v>360</v>
      </c>
    </row>
    <row r="93" spans="1:34" ht="14.25" x14ac:dyDescent="0.15">
      <c r="A93" s="25" t="s">
        <v>41</v>
      </c>
      <c r="B93" s="16">
        <v>84</v>
      </c>
      <c r="C93" s="16">
        <v>94033</v>
      </c>
      <c r="D93" s="23" t="s">
        <v>486</v>
      </c>
      <c r="F93" s="16">
        <v>2</v>
      </c>
      <c r="G93" s="16">
        <v>10</v>
      </c>
      <c r="H93" s="16">
        <v>1</v>
      </c>
      <c r="I93" s="16">
        <v>34033</v>
      </c>
      <c r="J93" s="16" t="s">
        <v>829</v>
      </c>
      <c r="K93" s="16" t="s">
        <v>919</v>
      </c>
      <c r="O93" s="40"/>
      <c r="P93" s="23" t="s">
        <v>487</v>
      </c>
      <c r="Q93" s="16">
        <v>370</v>
      </c>
      <c r="R93" s="16">
        <v>1</v>
      </c>
      <c r="S93" s="16" t="s">
        <v>483</v>
      </c>
      <c r="T93" s="16">
        <v>2</v>
      </c>
      <c r="U93" s="16" t="s">
        <v>372</v>
      </c>
      <c r="V93" s="16">
        <v>1080</v>
      </c>
    </row>
    <row r="94" spans="1:34" s="38" customFormat="1" ht="14.25" x14ac:dyDescent="0.15">
      <c r="A94" s="25" t="s">
        <v>41</v>
      </c>
      <c r="B94" s="16">
        <v>85</v>
      </c>
      <c r="C94" s="16">
        <v>94041</v>
      </c>
      <c r="D94" s="22" t="s">
        <v>488</v>
      </c>
      <c r="E94" s="16"/>
      <c r="F94" s="38">
        <v>2</v>
      </c>
      <c r="G94" s="16">
        <v>10</v>
      </c>
      <c r="H94" s="16">
        <v>1</v>
      </c>
      <c r="I94" s="16">
        <v>34041</v>
      </c>
      <c r="J94" s="16" t="s">
        <v>830</v>
      </c>
      <c r="K94" s="16">
        <v>95011</v>
      </c>
      <c r="O94" s="41"/>
      <c r="P94" s="23" t="s">
        <v>489</v>
      </c>
      <c r="Q94" s="38">
        <v>390</v>
      </c>
      <c r="R94" s="16">
        <v>1</v>
      </c>
      <c r="S94" s="38" t="s">
        <v>490</v>
      </c>
      <c r="T94" s="16">
        <v>2</v>
      </c>
      <c r="U94" s="16" t="s">
        <v>368</v>
      </c>
      <c r="V94" s="16">
        <v>240</v>
      </c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</row>
    <row r="95" spans="1:34" s="38" customFormat="1" ht="14.25" x14ac:dyDescent="0.15">
      <c r="A95" s="25" t="s">
        <v>41</v>
      </c>
      <c r="B95" s="16">
        <v>86</v>
      </c>
      <c r="C95" s="16">
        <v>94042</v>
      </c>
      <c r="D95" s="22" t="s">
        <v>491</v>
      </c>
      <c r="E95" s="16"/>
      <c r="F95" s="38">
        <v>2</v>
      </c>
      <c r="G95" s="16">
        <v>10</v>
      </c>
      <c r="H95" s="16">
        <v>1</v>
      </c>
      <c r="I95" s="16">
        <v>34042</v>
      </c>
      <c r="J95" s="16" t="s">
        <v>831</v>
      </c>
      <c r="K95" s="16" t="s">
        <v>919</v>
      </c>
      <c r="O95" s="41"/>
      <c r="P95" s="23" t="s">
        <v>492</v>
      </c>
      <c r="Q95" s="38">
        <v>400</v>
      </c>
      <c r="R95" s="16">
        <v>1</v>
      </c>
      <c r="S95" s="38" t="s">
        <v>490</v>
      </c>
      <c r="T95" s="16">
        <v>2</v>
      </c>
      <c r="U95" s="16" t="s">
        <v>370</v>
      </c>
      <c r="V95" s="16">
        <v>720</v>
      </c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</row>
    <row r="96" spans="1:34" s="38" customFormat="1" ht="14.25" x14ac:dyDescent="0.15">
      <c r="A96" s="25" t="s">
        <v>41</v>
      </c>
      <c r="B96" s="16">
        <v>87</v>
      </c>
      <c r="C96" s="16">
        <v>94043</v>
      </c>
      <c r="D96" s="22" t="s">
        <v>493</v>
      </c>
      <c r="E96" s="16"/>
      <c r="F96" s="38">
        <v>2</v>
      </c>
      <c r="G96" s="16">
        <v>10</v>
      </c>
      <c r="H96" s="16">
        <v>1</v>
      </c>
      <c r="I96" s="16">
        <v>34043</v>
      </c>
      <c r="J96" s="16" t="s">
        <v>832</v>
      </c>
      <c r="K96" s="16" t="s">
        <v>919</v>
      </c>
      <c r="O96" s="41"/>
      <c r="P96" s="23" t="s">
        <v>494</v>
      </c>
      <c r="Q96" s="38">
        <v>410</v>
      </c>
      <c r="R96" s="16">
        <v>1</v>
      </c>
      <c r="S96" s="38" t="s">
        <v>490</v>
      </c>
      <c r="T96" s="16">
        <v>2</v>
      </c>
      <c r="U96" s="16" t="s">
        <v>372</v>
      </c>
      <c r="V96" s="16">
        <v>2160</v>
      </c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</row>
    <row r="97" spans="1:34" ht="14.25" x14ac:dyDescent="0.15">
      <c r="A97" s="25" t="s">
        <v>41</v>
      </c>
      <c r="B97" s="16">
        <v>88</v>
      </c>
      <c r="C97" s="16">
        <v>94051</v>
      </c>
      <c r="D97" s="23" t="s">
        <v>495</v>
      </c>
      <c r="F97" s="16">
        <v>2</v>
      </c>
      <c r="G97" s="16">
        <v>10</v>
      </c>
      <c r="H97" s="16">
        <v>1</v>
      </c>
      <c r="I97" s="16">
        <v>34051</v>
      </c>
      <c r="J97" s="16" t="s">
        <v>833</v>
      </c>
      <c r="K97" s="16">
        <v>94061</v>
      </c>
      <c r="O97" s="40"/>
      <c r="P97" s="23" t="s">
        <v>995</v>
      </c>
      <c r="Q97" s="16">
        <v>490</v>
      </c>
      <c r="R97" s="16">
        <v>1</v>
      </c>
      <c r="S97" s="16" t="s">
        <v>496</v>
      </c>
      <c r="T97" s="16">
        <v>2</v>
      </c>
      <c r="U97" s="16" t="s">
        <v>368</v>
      </c>
      <c r="V97" s="16">
        <v>120</v>
      </c>
    </row>
    <row r="98" spans="1:34" ht="14.25" x14ac:dyDescent="0.15">
      <c r="A98" s="25" t="s">
        <v>41</v>
      </c>
      <c r="B98" s="16">
        <v>89</v>
      </c>
      <c r="C98" s="16">
        <v>94052</v>
      </c>
      <c r="D98" s="23" t="s">
        <v>497</v>
      </c>
      <c r="F98" s="16">
        <v>2</v>
      </c>
      <c r="G98" s="16">
        <v>10</v>
      </c>
      <c r="H98" s="16">
        <v>1</v>
      </c>
      <c r="I98" s="16">
        <v>34052</v>
      </c>
      <c r="J98" s="16" t="s">
        <v>834</v>
      </c>
      <c r="K98" s="16" t="s">
        <v>919</v>
      </c>
      <c r="O98" s="40"/>
      <c r="P98" s="23" t="s">
        <v>996</v>
      </c>
      <c r="Q98" s="16">
        <v>500</v>
      </c>
      <c r="R98" s="16">
        <v>1</v>
      </c>
      <c r="S98" s="16" t="s">
        <v>496</v>
      </c>
      <c r="T98" s="16">
        <v>2</v>
      </c>
      <c r="U98" s="16" t="s">
        <v>370</v>
      </c>
      <c r="V98" s="16">
        <v>360</v>
      </c>
    </row>
    <row r="99" spans="1:34" ht="14.25" x14ac:dyDescent="0.15">
      <c r="A99" s="25" t="s">
        <v>41</v>
      </c>
      <c r="B99" s="16">
        <v>90</v>
      </c>
      <c r="C99" s="16">
        <v>94053</v>
      </c>
      <c r="D99" s="23" t="s">
        <v>498</v>
      </c>
      <c r="F99" s="16">
        <v>2</v>
      </c>
      <c r="G99" s="16">
        <v>10</v>
      </c>
      <c r="H99" s="16">
        <v>1</v>
      </c>
      <c r="I99" s="16">
        <v>34053</v>
      </c>
      <c r="J99" s="16" t="s">
        <v>835</v>
      </c>
      <c r="K99" s="16" t="s">
        <v>919</v>
      </c>
      <c r="O99" s="40"/>
      <c r="P99" s="23" t="s">
        <v>997</v>
      </c>
      <c r="Q99" s="16">
        <v>510</v>
      </c>
      <c r="R99" s="16">
        <v>1</v>
      </c>
      <c r="S99" s="16" t="s">
        <v>496</v>
      </c>
      <c r="T99" s="16">
        <v>2</v>
      </c>
      <c r="U99" s="16" t="s">
        <v>372</v>
      </c>
      <c r="V99" s="16">
        <v>1080</v>
      </c>
    </row>
    <row r="100" spans="1:34" s="38" customFormat="1" ht="14.25" x14ac:dyDescent="0.15">
      <c r="A100" s="25" t="s">
        <v>41</v>
      </c>
      <c r="B100" s="16">
        <v>91</v>
      </c>
      <c r="C100" s="16">
        <v>94061</v>
      </c>
      <c r="D100" s="22" t="s">
        <v>499</v>
      </c>
      <c r="E100" s="16"/>
      <c r="F100" s="38">
        <v>2</v>
      </c>
      <c r="G100" s="16">
        <v>10</v>
      </c>
      <c r="H100" s="16">
        <v>1</v>
      </c>
      <c r="I100" s="16">
        <v>34061</v>
      </c>
      <c r="J100" s="16" t="s">
        <v>836</v>
      </c>
      <c r="K100" s="16">
        <v>94021</v>
      </c>
      <c r="O100" s="41"/>
      <c r="P100" s="23" t="s">
        <v>998</v>
      </c>
      <c r="Q100" s="38">
        <v>860</v>
      </c>
      <c r="R100" s="16">
        <v>1</v>
      </c>
      <c r="S100" s="38" t="s">
        <v>500</v>
      </c>
      <c r="T100" s="16">
        <v>2</v>
      </c>
      <c r="U100" s="16" t="s">
        <v>368</v>
      </c>
      <c r="V100" s="16">
        <v>120</v>
      </c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</row>
    <row r="101" spans="1:34" s="38" customFormat="1" ht="14.25" x14ac:dyDescent="0.15">
      <c r="A101" s="25" t="s">
        <v>41</v>
      </c>
      <c r="B101" s="16">
        <v>92</v>
      </c>
      <c r="C101" s="16">
        <v>94062</v>
      </c>
      <c r="D101" s="22" t="s">
        <v>501</v>
      </c>
      <c r="E101" s="16"/>
      <c r="F101" s="38">
        <v>2</v>
      </c>
      <c r="G101" s="16">
        <v>10</v>
      </c>
      <c r="H101" s="16">
        <v>1</v>
      </c>
      <c r="I101" s="16">
        <v>34062</v>
      </c>
      <c r="J101" s="16" t="s">
        <v>837</v>
      </c>
      <c r="K101" s="16" t="s">
        <v>919</v>
      </c>
      <c r="O101" s="41"/>
      <c r="P101" s="23" t="s">
        <v>999</v>
      </c>
      <c r="Q101" s="38">
        <v>870</v>
      </c>
      <c r="R101" s="16">
        <v>1</v>
      </c>
      <c r="S101" s="38" t="s">
        <v>500</v>
      </c>
      <c r="T101" s="16">
        <v>2</v>
      </c>
      <c r="U101" s="16" t="s">
        <v>370</v>
      </c>
      <c r="V101" s="16">
        <v>360</v>
      </c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</row>
    <row r="102" spans="1:34" s="38" customFormat="1" ht="14.25" x14ac:dyDescent="0.15">
      <c r="A102" s="25" t="s">
        <v>41</v>
      </c>
      <c r="B102" s="16">
        <v>93</v>
      </c>
      <c r="C102" s="16">
        <v>94063</v>
      </c>
      <c r="D102" s="22" t="s">
        <v>502</v>
      </c>
      <c r="E102" s="16"/>
      <c r="F102" s="38">
        <v>2</v>
      </c>
      <c r="G102" s="16">
        <v>10</v>
      </c>
      <c r="H102" s="16">
        <v>1</v>
      </c>
      <c r="I102" s="16">
        <v>34063</v>
      </c>
      <c r="J102" s="16" t="s">
        <v>838</v>
      </c>
      <c r="K102" s="16" t="s">
        <v>919</v>
      </c>
      <c r="O102" s="41"/>
      <c r="P102" s="23" t="s">
        <v>1000</v>
      </c>
      <c r="Q102" s="38">
        <v>880</v>
      </c>
      <c r="R102" s="16">
        <v>1</v>
      </c>
      <c r="S102" s="38" t="s">
        <v>500</v>
      </c>
      <c r="T102" s="16">
        <v>2</v>
      </c>
      <c r="U102" s="16" t="s">
        <v>372</v>
      </c>
      <c r="V102" s="16">
        <v>1080</v>
      </c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</row>
    <row r="103" spans="1:34" ht="14.25" x14ac:dyDescent="0.15">
      <c r="A103" s="25" t="s">
        <v>41</v>
      </c>
      <c r="B103" s="16">
        <v>94</v>
      </c>
      <c r="C103" s="16">
        <v>95011</v>
      </c>
      <c r="D103" s="23" t="s">
        <v>503</v>
      </c>
      <c r="F103" s="16">
        <v>2</v>
      </c>
      <c r="G103" s="16">
        <v>10</v>
      </c>
      <c r="H103" s="16">
        <v>1</v>
      </c>
      <c r="I103" s="16">
        <v>35011</v>
      </c>
      <c r="J103" s="16" t="s">
        <v>839</v>
      </c>
      <c r="K103" s="16">
        <v>94051</v>
      </c>
      <c r="O103" s="40"/>
      <c r="P103" s="23" t="s">
        <v>1001</v>
      </c>
      <c r="Q103" s="16">
        <v>1200</v>
      </c>
      <c r="R103" s="16">
        <v>2</v>
      </c>
      <c r="S103" s="16" t="s">
        <v>504</v>
      </c>
      <c r="T103" s="16">
        <v>2</v>
      </c>
      <c r="U103" s="16" t="s">
        <v>368</v>
      </c>
      <c r="V103" s="16">
        <v>120</v>
      </c>
    </row>
    <row r="104" spans="1:34" ht="14.25" x14ac:dyDescent="0.15">
      <c r="A104" s="25" t="s">
        <v>41</v>
      </c>
      <c r="B104" s="16">
        <v>95</v>
      </c>
      <c r="C104" s="16">
        <v>95012</v>
      </c>
      <c r="D104" s="23" t="s">
        <v>505</v>
      </c>
      <c r="F104" s="16">
        <v>2</v>
      </c>
      <c r="G104" s="16">
        <v>10</v>
      </c>
      <c r="H104" s="16">
        <v>1</v>
      </c>
      <c r="I104" s="16">
        <v>35012</v>
      </c>
      <c r="J104" s="16" t="s">
        <v>840</v>
      </c>
      <c r="K104" s="16" t="s">
        <v>919</v>
      </c>
      <c r="O104" s="40"/>
      <c r="P104" s="23" t="s">
        <v>1002</v>
      </c>
      <c r="Q104" s="16">
        <v>1300</v>
      </c>
      <c r="R104" s="16">
        <v>2</v>
      </c>
      <c r="S104" s="16" t="s">
        <v>504</v>
      </c>
      <c r="T104" s="16">
        <v>2</v>
      </c>
      <c r="U104" s="16" t="s">
        <v>370</v>
      </c>
      <c r="V104" s="16">
        <v>360</v>
      </c>
    </row>
    <row r="105" spans="1:34" ht="14.25" x14ac:dyDescent="0.15">
      <c r="A105" s="25" t="s">
        <v>41</v>
      </c>
      <c r="B105" s="16">
        <v>96</v>
      </c>
      <c r="C105" s="16">
        <v>95013</v>
      </c>
      <c r="D105" s="23" t="s">
        <v>506</v>
      </c>
      <c r="F105" s="16">
        <v>2</v>
      </c>
      <c r="G105" s="16">
        <v>10</v>
      </c>
      <c r="H105" s="16">
        <v>1</v>
      </c>
      <c r="I105" s="16">
        <v>35013</v>
      </c>
      <c r="J105" s="16" t="s">
        <v>841</v>
      </c>
      <c r="K105" s="16" t="s">
        <v>919</v>
      </c>
      <c r="O105" s="40"/>
      <c r="P105" s="23" t="s">
        <v>1003</v>
      </c>
      <c r="Q105" s="16">
        <v>1450</v>
      </c>
      <c r="R105" s="16">
        <v>2</v>
      </c>
      <c r="S105" s="16" t="s">
        <v>504</v>
      </c>
      <c r="T105" s="16">
        <v>2</v>
      </c>
      <c r="U105" s="16" t="s">
        <v>372</v>
      </c>
      <c r="V105" s="16">
        <v>1080</v>
      </c>
    </row>
    <row r="106" spans="1:34" s="38" customFormat="1" ht="14.25" x14ac:dyDescent="0.15">
      <c r="A106" s="25" t="s">
        <v>41</v>
      </c>
      <c r="B106" s="16">
        <v>97</v>
      </c>
      <c r="C106" s="16">
        <v>95021</v>
      </c>
      <c r="D106" s="22" t="s">
        <v>507</v>
      </c>
      <c r="E106" s="16"/>
      <c r="F106" s="38">
        <v>2</v>
      </c>
      <c r="G106" s="16">
        <v>10</v>
      </c>
      <c r="H106" s="16">
        <v>1</v>
      </c>
      <c r="I106" s="16">
        <v>35021</v>
      </c>
      <c r="J106" s="16" t="s">
        <v>842</v>
      </c>
      <c r="K106" s="16">
        <v>99021</v>
      </c>
      <c r="O106" s="41"/>
      <c r="P106" s="23" t="s">
        <v>1004</v>
      </c>
      <c r="Q106" s="38">
        <v>1560</v>
      </c>
      <c r="R106" s="16">
        <v>2</v>
      </c>
      <c r="S106" s="38" t="s">
        <v>508</v>
      </c>
      <c r="T106" s="16">
        <v>2</v>
      </c>
      <c r="U106" s="16" t="s">
        <v>368</v>
      </c>
      <c r="V106" s="16">
        <v>480</v>
      </c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</row>
    <row r="107" spans="1:34" s="38" customFormat="1" ht="14.25" x14ac:dyDescent="0.15">
      <c r="A107" s="25" t="s">
        <v>41</v>
      </c>
      <c r="B107" s="16">
        <v>98</v>
      </c>
      <c r="C107" s="16">
        <v>95022</v>
      </c>
      <c r="D107" s="22" t="s">
        <v>509</v>
      </c>
      <c r="E107" s="16"/>
      <c r="F107" s="38">
        <v>2</v>
      </c>
      <c r="G107" s="16">
        <v>10</v>
      </c>
      <c r="H107" s="16">
        <v>1</v>
      </c>
      <c r="I107" s="16">
        <v>35022</v>
      </c>
      <c r="J107" s="16" t="s">
        <v>843</v>
      </c>
      <c r="K107" s="16" t="s">
        <v>919</v>
      </c>
      <c r="O107" s="41"/>
      <c r="P107" s="23" t="s">
        <v>1005</v>
      </c>
      <c r="Q107" s="38">
        <v>1570</v>
      </c>
      <c r="R107" s="16">
        <v>2</v>
      </c>
      <c r="S107" s="38" t="s">
        <v>508</v>
      </c>
      <c r="T107" s="16">
        <v>2</v>
      </c>
      <c r="U107" s="16" t="s">
        <v>370</v>
      </c>
      <c r="V107" s="16">
        <v>1440</v>
      </c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</row>
    <row r="108" spans="1:34" s="38" customFormat="1" ht="14.25" x14ac:dyDescent="0.15">
      <c r="A108" s="25" t="s">
        <v>41</v>
      </c>
      <c r="B108" s="16">
        <v>99</v>
      </c>
      <c r="C108" s="16">
        <v>95023</v>
      </c>
      <c r="D108" s="22" t="s">
        <v>510</v>
      </c>
      <c r="E108" s="16"/>
      <c r="F108" s="38">
        <v>2</v>
      </c>
      <c r="G108" s="16">
        <v>10</v>
      </c>
      <c r="H108" s="16">
        <v>1</v>
      </c>
      <c r="I108" s="16">
        <v>35023</v>
      </c>
      <c r="J108" s="16" t="s">
        <v>844</v>
      </c>
      <c r="K108" s="16" t="s">
        <v>919</v>
      </c>
      <c r="O108" s="41"/>
      <c r="P108" s="23" t="s">
        <v>1006</v>
      </c>
      <c r="Q108" s="38">
        <v>1580</v>
      </c>
      <c r="R108" s="16">
        <v>2</v>
      </c>
      <c r="S108" s="38" t="s">
        <v>508</v>
      </c>
      <c r="T108" s="16">
        <v>2</v>
      </c>
      <c r="U108" s="16" t="s">
        <v>372</v>
      </c>
      <c r="V108" s="16">
        <v>2160</v>
      </c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</row>
    <row r="109" spans="1:34" ht="14.25" x14ac:dyDescent="0.15">
      <c r="A109" s="25" t="s">
        <v>41</v>
      </c>
      <c r="B109" s="16">
        <v>100</v>
      </c>
      <c r="C109" s="16">
        <v>95031</v>
      </c>
      <c r="D109" s="23" t="s">
        <v>511</v>
      </c>
      <c r="F109" s="16">
        <v>2</v>
      </c>
      <c r="G109" s="16">
        <v>10</v>
      </c>
      <c r="H109" s="16">
        <v>1</v>
      </c>
      <c r="I109" s="16">
        <v>35031</v>
      </c>
      <c r="J109" s="16" t="s">
        <v>845</v>
      </c>
      <c r="K109" s="16">
        <v>99011</v>
      </c>
      <c r="O109" s="40"/>
      <c r="P109" s="23" t="s">
        <v>512</v>
      </c>
      <c r="Q109" s="16">
        <v>1680</v>
      </c>
      <c r="R109" s="16">
        <v>2</v>
      </c>
      <c r="S109" s="16" t="s">
        <v>513</v>
      </c>
      <c r="T109" s="16">
        <v>2</v>
      </c>
      <c r="U109" s="16" t="s">
        <v>368</v>
      </c>
      <c r="V109" s="16">
        <v>240</v>
      </c>
    </row>
    <row r="110" spans="1:34" ht="14.25" x14ac:dyDescent="0.15">
      <c r="A110" s="25" t="s">
        <v>41</v>
      </c>
      <c r="B110" s="16">
        <v>101</v>
      </c>
      <c r="C110" s="16">
        <v>95032</v>
      </c>
      <c r="D110" s="23" t="s">
        <v>514</v>
      </c>
      <c r="F110" s="16">
        <v>2</v>
      </c>
      <c r="G110" s="16">
        <v>10</v>
      </c>
      <c r="H110" s="16">
        <v>1</v>
      </c>
      <c r="I110" s="16">
        <v>35032</v>
      </c>
      <c r="J110" s="16" t="s">
        <v>846</v>
      </c>
      <c r="K110" s="16" t="s">
        <v>919</v>
      </c>
      <c r="O110" s="40"/>
      <c r="P110" s="23" t="s">
        <v>1007</v>
      </c>
      <c r="Q110" s="16">
        <v>1690</v>
      </c>
      <c r="R110" s="16">
        <v>2</v>
      </c>
      <c r="S110" s="16" t="s">
        <v>513</v>
      </c>
      <c r="T110" s="16">
        <v>2</v>
      </c>
      <c r="U110" s="16" t="s">
        <v>370</v>
      </c>
      <c r="V110" s="16">
        <v>720</v>
      </c>
    </row>
    <row r="111" spans="1:34" ht="14.25" x14ac:dyDescent="0.15">
      <c r="A111" s="25" t="s">
        <v>41</v>
      </c>
      <c r="B111" s="16">
        <v>102</v>
      </c>
      <c r="C111" s="16">
        <v>95033</v>
      </c>
      <c r="D111" s="23" t="s">
        <v>515</v>
      </c>
      <c r="F111" s="16">
        <v>2</v>
      </c>
      <c r="G111" s="16">
        <v>10</v>
      </c>
      <c r="H111" s="16">
        <v>1</v>
      </c>
      <c r="I111" s="16">
        <v>35033</v>
      </c>
      <c r="J111" s="16" t="s">
        <v>847</v>
      </c>
      <c r="K111" s="16" t="s">
        <v>919</v>
      </c>
      <c r="O111" s="40"/>
      <c r="P111" s="23" t="s">
        <v>1008</v>
      </c>
      <c r="Q111" s="16">
        <v>1700</v>
      </c>
      <c r="R111" s="16">
        <v>2</v>
      </c>
      <c r="S111" s="16" t="s">
        <v>513</v>
      </c>
      <c r="T111" s="16">
        <v>2</v>
      </c>
      <c r="U111" s="16" t="s">
        <v>372</v>
      </c>
      <c r="V111" s="16">
        <v>2160</v>
      </c>
    </row>
    <row r="112" spans="1:34" s="38" customFormat="1" ht="14.25" x14ac:dyDescent="0.15">
      <c r="A112" s="25" t="s">
        <v>41</v>
      </c>
      <c r="B112" s="16">
        <v>103</v>
      </c>
      <c r="C112" s="16">
        <v>95041</v>
      </c>
      <c r="D112" s="22" t="s">
        <v>516</v>
      </c>
      <c r="E112" s="16"/>
      <c r="F112" s="38">
        <v>2</v>
      </c>
      <c r="G112" s="16">
        <v>10</v>
      </c>
      <c r="H112" s="16">
        <v>1</v>
      </c>
      <c r="I112" s="16">
        <v>35041</v>
      </c>
      <c r="J112" s="16" t="s">
        <v>848</v>
      </c>
      <c r="K112" s="16">
        <v>98011</v>
      </c>
      <c r="O112" s="41"/>
      <c r="P112" s="23" t="s">
        <v>1009</v>
      </c>
      <c r="Q112" s="38">
        <v>1860</v>
      </c>
      <c r="R112" s="16">
        <v>2</v>
      </c>
      <c r="S112" s="38" t="s">
        <v>517</v>
      </c>
      <c r="T112" s="16">
        <v>2</v>
      </c>
      <c r="U112" s="16" t="s">
        <v>368</v>
      </c>
      <c r="V112" s="16">
        <v>720</v>
      </c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</row>
    <row r="113" spans="1:34" s="38" customFormat="1" ht="14.25" x14ac:dyDescent="0.15">
      <c r="A113" s="25" t="s">
        <v>41</v>
      </c>
      <c r="B113" s="16">
        <v>104</v>
      </c>
      <c r="C113" s="16">
        <v>95042</v>
      </c>
      <c r="D113" s="22" t="s">
        <v>518</v>
      </c>
      <c r="E113" s="16"/>
      <c r="F113" s="38">
        <v>2</v>
      </c>
      <c r="G113" s="16">
        <v>10</v>
      </c>
      <c r="H113" s="16">
        <v>1</v>
      </c>
      <c r="I113" s="16">
        <v>35042</v>
      </c>
      <c r="J113" s="16" t="s">
        <v>849</v>
      </c>
      <c r="K113" s="16" t="s">
        <v>919</v>
      </c>
      <c r="O113" s="41"/>
      <c r="P113" s="23" t="s">
        <v>1010</v>
      </c>
      <c r="Q113" s="38">
        <v>2000</v>
      </c>
      <c r="R113" s="16">
        <v>2</v>
      </c>
      <c r="S113" s="38" t="s">
        <v>517</v>
      </c>
      <c r="T113" s="16">
        <v>2</v>
      </c>
      <c r="U113" s="16" t="s">
        <v>370</v>
      </c>
      <c r="V113" s="16">
        <v>2160</v>
      </c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</row>
    <row r="114" spans="1:34" s="38" customFormat="1" ht="14.25" x14ac:dyDescent="0.15">
      <c r="A114" s="25" t="s">
        <v>41</v>
      </c>
      <c r="B114" s="16">
        <v>105</v>
      </c>
      <c r="C114" s="16">
        <v>95043</v>
      </c>
      <c r="D114" s="22" t="s">
        <v>519</v>
      </c>
      <c r="E114" s="16"/>
      <c r="F114" s="38">
        <v>2</v>
      </c>
      <c r="G114" s="16">
        <v>10</v>
      </c>
      <c r="H114" s="16">
        <v>1</v>
      </c>
      <c r="I114" s="16">
        <v>35043</v>
      </c>
      <c r="J114" s="16" t="s">
        <v>850</v>
      </c>
      <c r="K114" s="16" t="s">
        <v>919</v>
      </c>
      <c r="O114" s="41"/>
      <c r="P114" s="23" t="s">
        <v>1011</v>
      </c>
      <c r="Q114" s="38">
        <v>2100</v>
      </c>
      <c r="R114" s="16">
        <v>2</v>
      </c>
      <c r="S114" s="38" t="s">
        <v>517</v>
      </c>
      <c r="T114" s="16">
        <v>2</v>
      </c>
      <c r="U114" s="16" t="s">
        <v>372</v>
      </c>
      <c r="V114" s="16">
        <v>6480</v>
      </c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</row>
    <row r="115" spans="1:34" ht="14.25" x14ac:dyDescent="0.15">
      <c r="A115" s="25" t="s">
        <v>41</v>
      </c>
      <c r="B115" s="16">
        <v>106</v>
      </c>
      <c r="C115" s="16">
        <v>95051</v>
      </c>
      <c r="D115" s="23" t="s">
        <v>520</v>
      </c>
      <c r="F115" s="16">
        <v>2</v>
      </c>
      <c r="G115" s="16">
        <v>10</v>
      </c>
      <c r="H115" s="16">
        <v>1</v>
      </c>
      <c r="I115" s="16">
        <v>35051</v>
      </c>
      <c r="J115" s="16" t="s">
        <v>851</v>
      </c>
      <c r="K115" s="16">
        <v>92101</v>
      </c>
      <c r="O115" s="40"/>
      <c r="P115" s="23" t="s">
        <v>1012</v>
      </c>
      <c r="Q115" s="16">
        <v>2200</v>
      </c>
      <c r="R115" s="16">
        <v>2</v>
      </c>
      <c r="S115" s="16" t="s">
        <v>522</v>
      </c>
      <c r="T115" s="16">
        <v>2</v>
      </c>
      <c r="U115" s="16" t="s">
        <v>368</v>
      </c>
      <c r="V115" s="16">
        <v>150</v>
      </c>
    </row>
    <row r="116" spans="1:34" ht="14.25" x14ac:dyDescent="0.15">
      <c r="A116" s="25" t="s">
        <v>41</v>
      </c>
      <c r="B116" s="16">
        <v>107</v>
      </c>
      <c r="C116" s="16">
        <v>95052</v>
      </c>
      <c r="D116" s="23" t="s">
        <v>523</v>
      </c>
      <c r="F116" s="16">
        <v>2</v>
      </c>
      <c r="G116" s="16">
        <v>10</v>
      </c>
      <c r="H116" s="16">
        <v>1</v>
      </c>
      <c r="I116" s="16">
        <v>35052</v>
      </c>
      <c r="J116" s="16" t="s">
        <v>852</v>
      </c>
      <c r="K116" s="16" t="s">
        <v>919</v>
      </c>
      <c r="O116" s="40"/>
      <c r="P116" s="23" t="s">
        <v>1013</v>
      </c>
      <c r="Q116" s="16">
        <v>2250</v>
      </c>
      <c r="R116" s="16">
        <v>2</v>
      </c>
      <c r="S116" s="16" t="s">
        <v>522</v>
      </c>
      <c r="T116" s="16">
        <v>2</v>
      </c>
      <c r="U116" s="16" t="s">
        <v>370</v>
      </c>
      <c r="V116" s="16">
        <v>450</v>
      </c>
    </row>
    <row r="117" spans="1:34" ht="14.25" x14ac:dyDescent="0.15">
      <c r="A117" s="25" t="s">
        <v>41</v>
      </c>
      <c r="B117" s="16">
        <v>108</v>
      </c>
      <c r="C117" s="16">
        <v>95053</v>
      </c>
      <c r="D117" s="23" t="s">
        <v>524</v>
      </c>
      <c r="F117" s="16">
        <v>2</v>
      </c>
      <c r="G117" s="16">
        <v>10</v>
      </c>
      <c r="H117" s="16">
        <v>1</v>
      </c>
      <c r="I117" s="16">
        <v>35053</v>
      </c>
      <c r="J117" s="16" t="s">
        <v>853</v>
      </c>
      <c r="K117" s="16" t="s">
        <v>919</v>
      </c>
      <c r="O117" s="40"/>
      <c r="P117" s="23" t="s">
        <v>1014</v>
      </c>
      <c r="Q117" s="16">
        <v>2300</v>
      </c>
      <c r="R117" s="16">
        <v>2</v>
      </c>
      <c r="S117" s="16" t="s">
        <v>522</v>
      </c>
      <c r="T117" s="16">
        <v>2</v>
      </c>
      <c r="U117" s="16" t="s">
        <v>372</v>
      </c>
      <c r="V117" s="16">
        <v>1350</v>
      </c>
    </row>
    <row r="118" spans="1:34" s="38" customFormat="1" ht="14.25" x14ac:dyDescent="0.15">
      <c r="A118" s="25" t="s">
        <v>41</v>
      </c>
      <c r="B118" s="16">
        <v>109</v>
      </c>
      <c r="C118" s="16">
        <v>95061</v>
      </c>
      <c r="D118" s="22" t="s">
        <v>525</v>
      </c>
      <c r="E118" s="16"/>
      <c r="F118" s="38">
        <v>2</v>
      </c>
      <c r="G118" s="16">
        <v>10</v>
      </c>
      <c r="H118" s="16">
        <v>1</v>
      </c>
      <c r="I118" s="16">
        <v>35061</v>
      </c>
      <c r="J118" s="16" t="s">
        <v>521</v>
      </c>
      <c r="K118" s="16">
        <v>92081</v>
      </c>
      <c r="O118" s="41"/>
      <c r="P118" s="23" t="s">
        <v>1015</v>
      </c>
      <c r="Q118" s="38">
        <v>2400</v>
      </c>
      <c r="R118" s="16">
        <v>2</v>
      </c>
      <c r="S118" s="38" t="s">
        <v>526</v>
      </c>
      <c r="T118" s="16">
        <v>2</v>
      </c>
      <c r="U118" s="16" t="s">
        <v>368</v>
      </c>
      <c r="V118" s="16">
        <v>240</v>
      </c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</row>
    <row r="119" spans="1:34" s="38" customFormat="1" ht="14.25" x14ac:dyDescent="0.15">
      <c r="A119" s="25" t="s">
        <v>41</v>
      </c>
      <c r="B119" s="16">
        <v>110</v>
      </c>
      <c r="C119" s="16">
        <v>95062</v>
      </c>
      <c r="D119" s="22" t="s">
        <v>527</v>
      </c>
      <c r="E119" s="16"/>
      <c r="F119" s="38">
        <v>2</v>
      </c>
      <c r="G119" s="16">
        <v>10</v>
      </c>
      <c r="H119" s="16">
        <v>1</v>
      </c>
      <c r="I119" s="16">
        <v>35062</v>
      </c>
      <c r="J119" s="16" t="s">
        <v>854</v>
      </c>
      <c r="K119" s="16" t="s">
        <v>919</v>
      </c>
      <c r="O119" s="41"/>
      <c r="P119" s="23" t="s">
        <v>1016</v>
      </c>
      <c r="Q119" s="38">
        <v>2410</v>
      </c>
      <c r="R119" s="16">
        <v>2</v>
      </c>
      <c r="S119" s="38" t="s">
        <v>526</v>
      </c>
      <c r="T119" s="16">
        <v>2</v>
      </c>
      <c r="U119" s="16" t="s">
        <v>370</v>
      </c>
      <c r="V119" s="16">
        <v>720</v>
      </c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</row>
    <row r="120" spans="1:34" s="38" customFormat="1" ht="14.25" x14ac:dyDescent="0.15">
      <c r="A120" s="25" t="s">
        <v>41</v>
      </c>
      <c r="B120" s="16">
        <v>111</v>
      </c>
      <c r="C120" s="16">
        <v>95063</v>
      </c>
      <c r="D120" s="22" t="s">
        <v>528</v>
      </c>
      <c r="E120" s="16"/>
      <c r="F120" s="38">
        <v>2</v>
      </c>
      <c r="G120" s="16">
        <v>10</v>
      </c>
      <c r="H120" s="16">
        <v>1</v>
      </c>
      <c r="I120" s="16">
        <v>35063</v>
      </c>
      <c r="J120" s="16" t="s">
        <v>855</v>
      </c>
      <c r="K120" s="16" t="s">
        <v>919</v>
      </c>
      <c r="O120" s="41"/>
      <c r="P120" s="23" t="s">
        <v>1017</v>
      </c>
      <c r="Q120" s="38">
        <v>2420</v>
      </c>
      <c r="R120" s="16">
        <v>2</v>
      </c>
      <c r="S120" s="38" t="s">
        <v>526</v>
      </c>
      <c r="T120" s="16">
        <v>2</v>
      </c>
      <c r="U120" s="16" t="s">
        <v>372</v>
      </c>
      <c r="V120" s="16">
        <v>2160</v>
      </c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</row>
    <row r="121" spans="1:34" s="38" customFormat="1" ht="14.25" x14ac:dyDescent="0.15">
      <c r="A121" s="25" t="s">
        <v>41</v>
      </c>
      <c r="B121" s="16">
        <v>112</v>
      </c>
      <c r="C121" s="16">
        <v>95071</v>
      </c>
      <c r="D121" s="23" t="s">
        <v>529</v>
      </c>
      <c r="E121" s="16"/>
      <c r="F121" s="38">
        <v>2</v>
      </c>
      <c r="G121" s="16">
        <v>10</v>
      </c>
      <c r="H121" s="16">
        <v>1</v>
      </c>
      <c r="I121" s="16">
        <v>35071</v>
      </c>
      <c r="J121" s="16" t="s">
        <v>856</v>
      </c>
      <c r="K121" s="16">
        <v>96021</v>
      </c>
      <c r="O121" s="41"/>
      <c r="P121" s="23" t="s">
        <v>1018</v>
      </c>
      <c r="R121" s="16">
        <v>2</v>
      </c>
      <c r="S121" s="38" t="s">
        <v>530</v>
      </c>
      <c r="T121" s="16">
        <v>2</v>
      </c>
      <c r="U121" s="16" t="s">
        <v>368</v>
      </c>
      <c r="V121" s="16">
        <v>180</v>
      </c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</row>
    <row r="122" spans="1:34" s="38" customFormat="1" ht="14.25" x14ac:dyDescent="0.15">
      <c r="A122" s="25" t="s">
        <v>41</v>
      </c>
      <c r="B122" s="16">
        <v>113</v>
      </c>
      <c r="C122" s="16">
        <v>95072</v>
      </c>
      <c r="D122" s="23" t="s">
        <v>531</v>
      </c>
      <c r="E122" s="16"/>
      <c r="F122" s="38">
        <v>2</v>
      </c>
      <c r="G122" s="16">
        <v>10</v>
      </c>
      <c r="H122" s="16">
        <v>1</v>
      </c>
      <c r="I122" s="16">
        <v>35072</v>
      </c>
      <c r="J122" s="16" t="s">
        <v>857</v>
      </c>
      <c r="K122" s="16" t="s">
        <v>919</v>
      </c>
      <c r="O122" s="41"/>
      <c r="P122" s="23" t="s">
        <v>1019</v>
      </c>
      <c r="R122" s="16">
        <v>2</v>
      </c>
      <c r="S122" s="38" t="s">
        <v>530</v>
      </c>
      <c r="T122" s="16">
        <v>2</v>
      </c>
      <c r="U122" s="16" t="s">
        <v>370</v>
      </c>
      <c r="V122" s="16">
        <v>540</v>
      </c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</row>
    <row r="123" spans="1:34" s="38" customFormat="1" ht="14.25" x14ac:dyDescent="0.15">
      <c r="A123" s="25" t="s">
        <v>41</v>
      </c>
      <c r="B123" s="16">
        <v>114</v>
      </c>
      <c r="C123" s="16">
        <v>95073</v>
      </c>
      <c r="D123" s="23" t="s">
        <v>532</v>
      </c>
      <c r="E123" s="16"/>
      <c r="F123" s="38">
        <v>2</v>
      </c>
      <c r="G123" s="16">
        <v>10</v>
      </c>
      <c r="H123" s="16">
        <v>1</v>
      </c>
      <c r="I123" s="16">
        <v>35073</v>
      </c>
      <c r="J123" s="16" t="s">
        <v>858</v>
      </c>
      <c r="K123" s="16" t="s">
        <v>919</v>
      </c>
      <c r="O123" s="41"/>
      <c r="P123" s="23" t="s">
        <v>1020</v>
      </c>
      <c r="R123" s="16">
        <v>2</v>
      </c>
      <c r="S123" s="38" t="s">
        <v>530</v>
      </c>
      <c r="T123" s="16">
        <v>2</v>
      </c>
      <c r="U123" s="16" t="s">
        <v>372</v>
      </c>
      <c r="V123" s="16">
        <v>1620</v>
      </c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</row>
    <row r="124" spans="1:34" s="38" customFormat="1" ht="14.25" x14ac:dyDescent="0.15">
      <c r="A124" s="25" t="s">
        <v>41</v>
      </c>
      <c r="B124" s="16">
        <v>115</v>
      </c>
      <c r="C124" s="16">
        <v>95081</v>
      </c>
      <c r="D124" s="22" t="s">
        <v>533</v>
      </c>
      <c r="E124" s="16"/>
      <c r="F124" s="38">
        <v>2</v>
      </c>
      <c r="G124" s="16">
        <v>10</v>
      </c>
      <c r="H124" s="16">
        <v>1</v>
      </c>
      <c r="I124" s="16">
        <v>35081</v>
      </c>
      <c r="J124" s="16" t="s">
        <v>859</v>
      </c>
      <c r="K124" s="16">
        <v>98021</v>
      </c>
      <c r="O124" s="41"/>
      <c r="P124" s="23" t="s">
        <v>1021</v>
      </c>
      <c r="R124" s="16">
        <v>2</v>
      </c>
      <c r="S124" s="38" t="s">
        <v>534</v>
      </c>
      <c r="T124" s="16">
        <v>2</v>
      </c>
      <c r="U124" s="16" t="s">
        <v>368</v>
      </c>
      <c r="V124" s="16">
        <v>240</v>
      </c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</row>
    <row r="125" spans="1:34" s="38" customFormat="1" ht="14.25" x14ac:dyDescent="0.15">
      <c r="A125" s="25" t="s">
        <v>41</v>
      </c>
      <c r="B125" s="16">
        <v>116</v>
      </c>
      <c r="C125" s="16">
        <v>95082</v>
      </c>
      <c r="D125" s="22" t="s">
        <v>535</v>
      </c>
      <c r="E125" s="16"/>
      <c r="F125" s="38">
        <v>2</v>
      </c>
      <c r="G125" s="16">
        <v>10</v>
      </c>
      <c r="H125" s="16">
        <v>1</v>
      </c>
      <c r="I125" s="16">
        <v>35082</v>
      </c>
      <c r="J125" s="16" t="s">
        <v>860</v>
      </c>
      <c r="K125" s="16" t="s">
        <v>919</v>
      </c>
      <c r="O125" s="41"/>
      <c r="P125" s="23" t="s">
        <v>1022</v>
      </c>
      <c r="R125" s="16">
        <v>2</v>
      </c>
      <c r="S125" s="38" t="s">
        <v>534</v>
      </c>
      <c r="T125" s="16">
        <v>2</v>
      </c>
      <c r="U125" s="16" t="s">
        <v>370</v>
      </c>
      <c r="V125" s="16">
        <v>720</v>
      </c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</row>
    <row r="126" spans="1:34" s="38" customFormat="1" ht="14.25" x14ac:dyDescent="0.15">
      <c r="A126" s="25" t="s">
        <v>41</v>
      </c>
      <c r="B126" s="16">
        <v>117</v>
      </c>
      <c r="C126" s="16">
        <v>95083</v>
      </c>
      <c r="D126" s="22" t="s">
        <v>536</v>
      </c>
      <c r="E126" s="16"/>
      <c r="F126" s="38">
        <v>2</v>
      </c>
      <c r="G126" s="16">
        <v>10</v>
      </c>
      <c r="H126" s="16">
        <v>1</v>
      </c>
      <c r="I126" s="16">
        <v>35083</v>
      </c>
      <c r="J126" s="16" t="s">
        <v>861</v>
      </c>
      <c r="K126" s="16" t="s">
        <v>919</v>
      </c>
      <c r="O126" s="41"/>
      <c r="P126" s="23" t="s">
        <v>1023</v>
      </c>
      <c r="R126" s="16">
        <v>2</v>
      </c>
      <c r="S126" s="38" t="s">
        <v>534</v>
      </c>
      <c r="T126" s="16">
        <v>2</v>
      </c>
      <c r="U126" s="16" t="s">
        <v>372</v>
      </c>
      <c r="V126" s="16">
        <v>1080</v>
      </c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</row>
    <row r="127" spans="1:34" ht="14.25" x14ac:dyDescent="0.15">
      <c r="A127" s="25" t="s">
        <v>41</v>
      </c>
      <c r="B127" s="16">
        <v>118</v>
      </c>
      <c r="C127" s="16">
        <v>96011</v>
      </c>
      <c r="D127" s="23" t="s">
        <v>537</v>
      </c>
      <c r="F127" s="16">
        <v>2</v>
      </c>
      <c r="G127" s="16">
        <v>10</v>
      </c>
      <c r="H127" s="16">
        <v>1</v>
      </c>
      <c r="I127" s="16">
        <v>36011</v>
      </c>
      <c r="J127" s="16" t="s">
        <v>862</v>
      </c>
      <c r="K127" s="16">
        <v>97041</v>
      </c>
      <c r="O127" s="40"/>
      <c r="P127" s="23" t="s">
        <v>1024</v>
      </c>
      <c r="Q127" s="16">
        <v>2470</v>
      </c>
      <c r="R127" s="16">
        <v>3</v>
      </c>
      <c r="S127" s="16" t="s">
        <v>538</v>
      </c>
      <c r="T127" s="16">
        <v>2</v>
      </c>
      <c r="U127" s="16" t="s">
        <v>368</v>
      </c>
      <c r="V127" s="16">
        <v>360</v>
      </c>
    </row>
    <row r="128" spans="1:34" ht="14.25" x14ac:dyDescent="0.15">
      <c r="A128" s="25" t="s">
        <v>41</v>
      </c>
      <c r="B128" s="16">
        <v>119</v>
      </c>
      <c r="C128" s="16">
        <v>96012</v>
      </c>
      <c r="D128" s="23" t="s">
        <v>539</v>
      </c>
      <c r="F128" s="16">
        <v>2</v>
      </c>
      <c r="G128" s="16">
        <v>10</v>
      </c>
      <c r="H128" s="16">
        <v>1</v>
      </c>
      <c r="I128" s="16">
        <v>36012</v>
      </c>
      <c r="J128" s="16" t="s">
        <v>863</v>
      </c>
      <c r="K128" s="16" t="s">
        <v>919</v>
      </c>
      <c r="O128" s="40"/>
      <c r="P128" s="23" t="s">
        <v>1025</v>
      </c>
      <c r="Q128" s="16">
        <v>2480</v>
      </c>
      <c r="R128" s="16">
        <v>3</v>
      </c>
      <c r="S128" s="16" t="s">
        <v>538</v>
      </c>
      <c r="T128" s="16">
        <v>2</v>
      </c>
      <c r="U128" s="16" t="s">
        <v>370</v>
      </c>
      <c r="V128" s="16">
        <v>1080</v>
      </c>
    </row>
    <row r="129" spans="1:34" ht="14.25" x14ac:dyDescent="0.15">
      <c r="A129" s="25" t="s">
        <v>41</v>
      </c>
      <c r="B129" s="16">
        <v>120</v>
      </c>
      <c r="C129" s="16">
        <v>96013</v>
      </c>
      <c r="D129" s="23" t="s">
        <v>540</v>
      </c>
      <c r="F129" s="16">
        <v>2</v>
      </c>
      <c r="G129" s="16">
        <v>10</v>
      </c>
      <c r="H129" s="16">
        <v>1</v>
      </c>
      <c r="I129" s="16">
        <v>36013</v>
      </c>
      <c r="J129" s="16" t="s">
        <v>864</v>
      </c>
      <c r="K129" s="16" t="s">
        <v>919</v>
      </c>
      <c r="O129" s="40"/>
      <c r="P129" s="23" t="s">
        <v>1026</v>
      </c>
      <c r="Q129" s="16">
        <v>2490</v>
      </c>
      <c r="R129" s="16">
        <v>3</v>
      </c>
      <c r="S129" s="16" t="s">
        <v>538</v>
      </c>
      <c r="T129" s="16">
        <v>2</v>
      </c>
      <c r="U129" s="16" t="s">
        <v>372</v>
      </c>
      <c r="V129" s="16">
        <v>3240</v>
      </c>
    </row>
    <row r="130" spans="1:34" s="38" customFormat="1" ht="14.25" x14ac:dyDescent="0.15">
      <c r="A130" s="25" t="s">
        <v>41</v>
      </c>
      <c r="B130" s="16">
        <v>121</v>
      </c>
      <c r="C130" s="16">
        <v>96021</v>
      </c>
      <c r="D130" s="22" t="s">
        <v>541</v>
      </c>
      <c r="E130" s="16"/>
      <c r="F130" s="38">
        <v>2</v>
      </c>
      <c r="G130" s="16">
        <v>10</v>
      </c>
      <c r="H130" s="16">
        <v>1</v>
      </c>
      <c r="I130" s="16">
        <v>36021</v>
      </c>
      <c r="J130" s="16" t="s">
        <v>865</v>
      </c>
      <c r="K130" s="16">
        <v>95061</v>
      </c>
      <c r="O130" s="41"/>
      <c r="P130" s="23" t="s">
        <v>1027</v>
      </c>
      <c r="Q130" s="38">
        <v>860</v>
      </c>
      <c r="R130" s="16">
        <v>3</v>
      </c>
      <c r="S130" s="38" t="s">
        <v>542</v>
      </c>
      <c r="T130" s="16">
        <v>2</v>
      </c>
      <c r="U130" s="16" t="s">
        <v>368</v>
      </c>
      <c r="V130" s="16">
        <v>240</v>
      </c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</row>
    <row r="131" spans="1:34" s="38" customFormat="1" ht="14.25" x14ac:dyDescent="0.15">
      <c r="A131" s="25" t="s">
        <v>41</v>
      </c>
      <c r="B131" s="16">
        <v>122</v>
      </c>
      <c r="C131" s="16">
        <v>96022</v>
      </c>
      <c r="D131" s="22" t="s">
        <v>543</v>
      </c>
      <c r="E131" s="16"/>
      <c r="F131" s="38">
        <v>2</v>
      </c>
      <c r="G131" s="16">
        <v>10</v>
      </c>
      <c r="H131" s="16">
        <v>1</v>
      </c>
      <c r="I131" s="16">
        <v>36022</v>
      </c>
      <c r="J131" s="16" t="s">
        <v>866</v>
      </c>
      <c r="K131" s="16" t="s">
        <v>919</v>
      </c>
      <c r="O131" s="41"/>
      <c r="P131" s="23" t="s">
        <v>1028</v>
      </c>
      <c r="Q131" s="38">
        <v>870</v>
      </c>
      <c r="R131" s="16">
        <v>3</v>
      </c>
      <c r="S131" s="38" t="s">
        <v>542</v>
      </c>
      <c r="T131" s="16">
        <v>2</v>
      </c>
      <c r="U131" s="16" t="s">
        <v>370</v>
      </c>
      <c r="V131" s="16">
        <v>720</v>
      </c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</row>
    <row r="132" spans="1:34" s="38" customFormat="1" ht="14.25" x14ac:dyDescent="0.15">
      <c r="A132" s="25" t="s">
        <v>41</v>
      </c>
      <c r="B132" s="16">
        <v>123</v>
      </c>
      <c r="C132" s="16">
        <v>96023</v>
      </c>
      <c r="D132" s="22" t="s">
        <v>544</v>
      </c>
      <c r="E132" s="16"/>
      <c r="F132" s="38">
        <v>2</v>
      </c>
      <c r="G132" s="16">
        <v>10</v>
      </c>
      <c r="H132" s="16">
        <v>1</v>
      </c>
      <c r="I132" s="16">
        <v>36023</v>
      </c>
      <c r="J132" s="16" t="s">
        <v>867</v>
      </c>
      <c r="K132" s="16" t="s">
        <v>919</v>
      </c>
      <c r="O132" s="41"/>
      <c r="P132" s="23" t="s">
        <v>1029</v>
      </c>
      <c r="Q132" s="38">
        <v>880</v>
      </c>
      <c r="R132" s="16">
        <v>3</v>
      </c>
      <c r="S132" s="38" t="s">
        <v>542</v>
      </c>
      <c r="T132" s="16">
        <v>2</v>
      </c>
      <c r="U132" s="16" t="s">
        <v>372</v>
      </c>
      <c r="V132" s="16">
        <v>2160</v>
      </c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</row>
    <row r="133" spans="1:34" ht="14.25" x14ac:dyDescent="0.15">
      <c r="A133" s="25" t="s">
        <v>41</v>
      </c>
      <c r="B133" s="16">
        <v>124</v>
      </c>
      <c r="C133" s="16">
        <v>96031</v>
      </c>
      <c r="D133" s="23" t="s">
        <v>545</v>
      </c>
      <c r="F133" s="16">
        <v>2</v>
      </c>
      <c r="G133" s="16">
        <v>10</v>
      </c>
      <c r="H133" s="16">
        <v>1</v>
      </c>
      <c r="I133" s="16">
        <v>36031</v>
      </c>
      <c r="J133" s="16" t="s">
        <v>868</v>
      </c>
      <c r="K133" s="16">
        <v>92071</v>
      </c>
      <c r="O133" s="40"/>
      <c r="P133" s="23" t="s">
        <v>1030</v>
      </c>
      <c r="Q133" s="16">
        <v>490</v>
      </c>
      <c r="R133" s="16">
        <v>3</v>
      </c>
      <c r="S133" s="16" t="s">
        <v>546</v>
      </c>
      <c r="T133" s="16">
        <v>2</v>
      </c>
      <c r="U133" s="16" t="s">
        <v>368</v>
      </c>
      <c r="V133" s="16">
        <v>180</v>
      </c>
    </row>
    <row r="134" spans="1:34" ht="14.25" x14ac:dyDescent="0.15">
      <c r="A134" s="25" t="s">
        <v>41</v>
      </c>
      <c r="B134" s="16">
        <v>125</v>
      </c>
      <c r="C134" s="16">
        <v>96032</v>
      </c>
      <c r="D134" s="23" t="s">
        <v>547</v>
      </c>
      <c r="F134" s="16">
        <v>2</v>
      </c>
      <c r="G134" s="16">
        <v>10</v>
      </c>
      <c r="H134" s="16">
        <v>1</v>
      </c>
      <c r="I134" s="16">
        <v>36032</v>
      </c>
      <c r="J134" s="16" t="s">
        <v>869</v>
      </c>
      <c r="K134" s="16" t="s">
        <v>919</v>
      </c>
      <c r="O134" s="40"/>
      <c r="P134" s="23" t="s">
        <v>1031</v>
      </c>
      <c r="Q134" s="16">
        <v>500</v>
      </c>
      <c r="R134" s="16">
        <v>3</v>
      </c>
      <c r="S134" s="16" t="s">
        <v>546</v>
      </c>
      <c r="T134" s="16">
        <v>2</v>
      </c>
      <c r="U134" s="16" t="s">
        <v>370</v>
      </c>
      <c r="V134" s="16">
        <v>540</v>
      </c>
    </row>
    <row r="135" spans="1:34" ht="14.25" x14ac:dyDescent="0.15">
      <c r="A135" s="25" t="s">
        <v>41</v>
      </c>
      <c r="B135" s="16">
        <v>126</v>
      </c>
      <c r="C135" s="16">
        <v>96033</v>
      </c>
      <c r="D135" s="23" t="s">
        <v>548</v>
      </c>
      <c r="F135" s="16">
        <v>2</v>
      </c>
      <c r="G135" s="16">
        <v>10</v>
      </c>
      <c r="H135" s="16">
        <v>1</v>
      </c>
      <c r="I135" s="16">
        <v>36033</v>
      </c>
      <c r="J135" s="16" t="s">
        <v>870</v>
      </c>
      <c r="K135" s="16" t="s">
        <v>919</v>
      </c>
      <c r="O135" s="40"/>
      <c r="P135" s="23" t="s">
        <v>1032</v>
      </c>
      <c r="Q135" s="16">
        <v>510</v>
      </c>
      <c r="R135" s="16">
        <v>3</v>
      </c>
      <c r="S135" s="16" t="s">
        <v>546</v>
      </c>
      <c r="T135" s="16">
        <v>2</v>
      </c>
      <c r="U135" s="16" t="s">
        <v>372</v>
      </c>
      <c r="V135" s="16">
        <v>1620</v>
      </c>
    </row>
    <row r="136" spans="1:34" s="38" customFormat="1" ht="14.25" x14ac:dyDescent="0.15">
      <c r="A136" s="25" t="s">
        <v>41</v>
      </c>
      <c r="B136" s="16">
        <v>127</v>
      </c>
      <c r="C136" s="16">
        <v>96041</v>
      </c>
      <c r="D136" s="22" t="s">
        <v>549</v>
      </c>
      <c r="E136" s="16"/>
      <c r="F136" s="38">
        <v>2</v>
      </c>
      <c r="G136" s="16">
        <v>10</v>
      </c>
      <c r="H136" s="16">
        <v>1</v>
      </c>
      <c r="I136" s="16">
        <v>36041</v>
      </c>
      <c r="J136" s="16" t="s">
        <v>871</v>
      </c>
      <c r="K136" s="16">
        <v>99041</v>
      </c>
      <c r="O136" s="41"/>
      <c r="P136" s="23" t="s">
        <v>1033</v>
      </c>
      <c r="Q136" s="38">
        <v>860</v>
      </c>
      <c r="R136" s="16">
        <v>3</v>
      </c>
      <c r="S136" s="38" t="s">
        <v>551</v>
      </c>
      <c r="T136" s="16">
        <v>2</v>
      </c>
      <c r="U136" s="16" t="s">
        <v>368</v>
      </c>
      <c r="V136" s="16">
        <v>480</v>
      </c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</row>
    <row r="137" spans="1:34" s="38" customFormat="1" ht="14.25" x14ac:dyDescent="0.15">
      <c r="A137" s="25" t="s">
        <v>41</v>
      </c>
      <c r="B137" s="16">
        <v>128</v>
      </c>
      <c r="C137" s="16">
        <v>96042</v>
      </c>
      <c r="D137" s="22" t="s">
        <v>552</v>
      </c>
      <c r="E137" s="16"/>
      <c r="F137" s="38">
        <v>2</v>
      </c>
      <c r="G137" s="16">
        <v>10</v>
      </c>
      <c r="H137" s="16">
        <v>1</v>
      </c>
      <c r="I137" s="16">
        <v>36042</v>
      </c>
      <c r="J137" s="16" t="s">
        <v>872</v>
      </c>
      <c r="K137" s="16" t="s">
        <v>919</v>
      </c>
      <c r="O137" s="41"/>
      <c r="P137" s="23" t="s">
        <v>1034</v>
      </c>
      <c r="Q137" s="38">
        <v>870</v>
      </c>
      <c r="R137" s="16">
        <v>3</v>
      </c>
      <c r="S137" s="38" t="s">
        <v>551</v>
      </c>
      <c r="T137" s="16">
        <v>2</v>
      </c>
      <c r="U137" s="16" t="s">
        <v>370</v>
      </c>
      <c r="V137" s="16">
        <v>1440</v>
      </c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</row>
    <row r="138" spans="1:34" s="38" customFormat="1" ht="14.25" x14ac:dyDescent="0.15">
      <c r="A138" s="25" t="s">
        <v>41</v>
      </c>
      <c r="B138" s="16">
        <v>129</v>
      </c>
      <c r="C138" s="16">
        <v>96043</v>
      </c>
      <c r="D138" s="22" t="s">
        <v>553</v>
      </c>
      <c r="E138" s="16"/>
      <c r="F138" s="38">
        <v>2</v>
      </c>
      <c r="G138" s="16">
        <v>10</v>
      </c>
      <c r="H138" s="16">
        <v>1</v>
      </c>
      <c r="I138" s="16">
        <v>36043</v>
      </c>
      <c r="J138" s="16" t="s">
        <v>873</v>
      </c>
      <c r="K138" s="16" t="s">
        <v>919</v>
      </c>
      <c r="O138" s="41"/>
      <c r="P138" s="23" t="s">
        <v>1035</v>
      </c>
      <c r="Q138" s="38">
        <v>880</v>
      </c>
      <c r="R138" s="16">
        <v>3</v>
      </c>
      <c r="S138" s="38" t="s">
        <v>551</v>
      </c>
      <c r="T138" s="16">
        <v>2</v>
      </c>
      <c r="U138" s="16" t="s">
        <v>372</v>
      </c>
      <c r="V138" s="16">
        <v>4320</v>
      </c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</row>
    <row r="139" spans="1:34" s="38" customFormat="1" ht="14.25" x14ac:dyDescent="0.15">
      <c r="A139" s="25" t="s">
        <v>41</v>
      </c>
      <c r="B139" s="16">
        <v>130</v>
      </c>
      <c r="C139" s="16">
        <v>96051</v>
      </c>
      <c r="D139" s="23" t="s">
        <v>554</v>
      </c>
      <c r="E139" s="16"/>
      <c r="F139" s="38">
        <v>2</v>
      </c>
      <c r="G139" s="16">
        <v>10</v>
      </c>
      <c r="H139" s="16">
        <v>1</v>
      </c>
      <c r="I139" s="16">
        <v>36051</v>
      </c>
      <c r="J139" s="16" t="s">
        <v>874</v>
      </c>
      <c r="K139" s="16">
        <v>99031</v>
      </c>
      <c r="O139" s="41"/>
      <c r="P139" s="23" t="s">
        <v>1036</v>
      </c>
      <c r="R139" s="16">
        <v>3</v>
      </c>
      <c r="S139" s="38" t="s">
        <v>555</v>
      </c>
      <c r="T139" s="16">
        <v>2</v>
      </c>
      <c r="U139" s="16" t="s">
        <v>368</v>
      </c>
      <c r="V139" s="16">
        <v>360</v>
      </c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</row>
    <row r="140" spans="1:34" s="38" customFormat="1" ht="14.25" x14ac:dyDescent="0.15">
      <c r="A140" s="25" t="s">
        <v>41</v>
      </c>
      <c r="B140" s="16">
        <v>131</v>
      </c>
      <c r="C140" s="16">
        <v>96052</v>
      </c>
      <c r="D140" s="23" t="s">
        <v>556</v>
      </c>
      <c r="E140" s="16"/>
      <c r="F140" s="38">
        <v>2</v>
      </c>
      <c r="G140" s="16">
        <v>10</v>
      </c>
      <c r="H140" s="16">
        <v>1</v>
      </c>
      <c r="I140" s="16">
        <v>36052</v>
      </c>
      <c r="J140" s="16" t="s">
        <v>875</v>
      </c>
      <c r="K140" s="16" t="s">
        <v>919</v>
      </c>
      <c r="O140" s="41"/>
      <c r="P140" s="23" t="s">
        <v>1037</v>
      </c>
      <c r="R140" s="16">
        <v>3</v>
      </c>
      <c r="S140" s="38" t="s">
        <v>555</v>
      </c>
      <c r="T140" s="16">
        <v>2</v>
      </c>
      <c r="U140" s="16" t="s">
        <v>370</v>
      </c>
      <c r="V140" s="16">
        <v>1080</v>
      </c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</row>
    <row r="141" spans="1:34" s="38" customFormat="1" ht="14.25" x14ac:dyDescent="0.15">
      <c r="A141" s="25" t="s">
        <v>41</v>
      </c>
      <c r="B141" s="16">
        <v>132</v>
      </c>
      <c r="C141" s="16">
        <v>96053</v>
      </c>
      <c r="D141" s="23" t="s">
        <v>557</v>
      </c>
      <c r="E141" s="16"/>
      <c r="F141" s="38">
        <v>2</v>
      </c>
      <c r="G141" s="16">
        <v>10</v>
      </c>
      <c r="H141" s="16">
        <v>1</v>
      </c>
      <c r="I141" s="16">
        <v>36053</v>
      </c>
      <c r="J141" s="16" t="s">
        <v>876</v>
      </c>
      <c r="K141" s="16" t="s">
        <v>919</v>
      </c>
      <c r="O141" s="41"/>
      <c r="P141" s="23" t="s">
        <v>1038</v>
      </c>
      <c r="R141" s="16">
        <v>3</v>
      </c>
      <c r="S141" s="38" t="s">
        <v>555</v>
      </c>
      <c r="T141" s="16">
        <v>2</v>
      </c>
      <c r="U141" s="16" t="s">
        <v>372</v>
      </c>
      <c r="V141" s="16">
        <v>3240</v>
      </c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</row>
    <row r="142" spans="1:34" s="38" customFormat="1" ht="14.25" x14ac:dyDescent="0.15">
      <c r="A142" s="25" t="s">
        <v>41</v>
      </c>
      <c r="B142" s="16">
        <v>133</v>
      </c>
      <c r="C142" s="16">
        <v>96061</v>
      </c>
      <c r="D142" s="22" t="s">
        <v>558</v>
      </c>
      <c r="E142" s="16"/>
      <c r="F142" s="38">
        <v>2</v>
      </c>
      <c r="G142" s="16">
        <v>10</v>
      </c>
      <c r="H142" s="16">
        <v>1</v>
      </c>
      <c r="I142" s="16">
        <v>36061</v>
      </c>
      <c r="J142" s="16" t="s">
        <v>877</v>
      </c>
      <c r="K142" s="16">
        <v>93011</v>
      </c>
      <c r="O142" s="41"/>
      <c r="P142" s="23" t="s">
        <v>1039</v>
      </c>
      <c r="R142" s="16">
        <v>3</v>
      </c>
      <c r="S142" s="38" t="s">
        <v>442</v>
      </c>
      <c r="T142" s="16">
        <v>2</v>
      </c>
      <c r="U142" s="16" t="s">
        <v>368</v>
      </c>
      <c r="V142" s="16">
        <v>240</v>
      </c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</row>
    <row r="143" spans="1:34" s="38" customFormat="1" ht="14.25" x14ac:dyDescent="0.15">
      <c r="A143" s="25" t="s">
        <v>41</v>
      </c>
      <c r="B143" s="16">
        <v>134</v>
      </c>
      <c r="C143" s="16">
        <v>96062</v>
      </c>
      <c r="D143" s="22" t="s">
        <v>559</v>
      </c>
      <c r="E143" s="16"/>
      <c r="F143" s="38">
        <v>2</v>
      </c>
      <c r="G143" s="16">
        <v>10</v>
      </c>
      <c r="H143" s="16">
        <v>1</v>
      </c>
      <c r="I143" s="16">
        <v>36062</v>
      </c>
      <c r="J143" s="16" t="s">
        <v>878</v>
      </c>
      <c r="K143" s="16" t="s">
        <v>919</v>
      </c>
      <c r="O143" s="41"/>
      <c r="P143" s="23" t="s">
        <v>1040</v>
      </c>
      <c r="R143" s="16">
        <v>3</v>
      </c>
      <c r="S143" s="38" t="s">
        <v>442</v>
      </c>
      <c r="T143" s="16">
        <v>2</v>
      </c>
      <c r="U143" s="16" t="s">
        <v>370</v>
      </c>
      <c r="V143" s="16">
        <v>720</v>
      </c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</row>
    <row r="144" spans="1:34" s="38" customFormat="1" ht="14.25" x14ac:dyDescent="0.15">
      <c r="A144" s="25" t="s">
        <v>41</v>
      </c>
      <c r="B144" s="16">
        <v>135</v>
      </c>
      <c r="C144" s="16">
        <v>96063</v>
      </c>
      <c r="D144" s="22" t="s">
        <v>560</v>
      </c>
      <c r="E144" s="16"/>
      <c r="F144" s="38">
        <v>2</v>
      </c>
      <c r="G144" s="16">
        <v>10</v>
      </c>
      <c r="H144" s="16">
        <v>1</v>
      </c>
      <c r="I144" s="16">
        <v>36063</v>
      </c>
      <c r="J144" s="16" t="s">
        <v>879</v>
      </c>
      <c r="K144" s="16" t="s">
        <v>919</v>
      </c>
      <c r="O144" s="41"/>
      <c r="P144" s="23" t="s">
        <v>1041</v>
      </c>
      <c r="R144" s="16">
        <v>3</v>
      </c>
      <c r="S144" s="38" t="s">
        <v>442</v>
      </c>
      <c r="T144" s="16">
        <v>2</v>
      </c>
      <c r="U144" s="16" t="s">
        <v>372</v>
      </c>
      <c r="V144" s="16">
        <v>2160</v>
      </c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</row>
    <row r="145" spans="1:34" s="38" customFormat="1" ht="14.25" x14ac:dyDescent="0.15">
      <c r="A145" s="25" t="s">
        <v>41</v>
      </c>
      <c r="B145" s="16">
        <v>136</v>
      </c>
      <c r="C145" s="16">
        <v>96071</v>
      </c>
      <c r="D145" s="23" t="s">
        <v>561</v>
      </c>
      <c r="E145" s="16"/>
      <c r="F145" s="38">
        <v>2</v>
      </c>
      <c r="G145" s="16">
        <v>10</v>
      </c>
      <c r="H145" s="16">
        <v>1</v>
      </c>
      <c r="I145" s="16">
        <v>36071</v>
      </c>
      <c r="J145" s="16" t="s">
        <v>880</v>
      </c>
      <c r="K145" s="16">
        <v>98031</v>
      </c>
      <c r="O145" s="41"/>
      <c r="P145" s="23" t="s">
        <v>1042</v>
      </c>
      <c r="R145" s="16">
        <v>3</v>
      </c>
      <c r="S145" s="38" t="s">
        <v>562</v>
      </c>
      <c r="T145" s="16">
        <v>2</v>
      </c>
      <c r="U145" s="16" t="s">
        <v>368</v>
      </c>
      <c r="V145" s="16">
        <v>240</v>
      </c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</row>
    <row r="146" spans="1:34" s="38" customFormat="1" ht="14.25" x14ac:dyDescent="0.15">
      <c r="A146" s="25" t="s">
        <v>41</v>
      </c>
      <c r="B146" s="16">
        <v>137</v>
      </c>
      <c r="C146" s="16">
        <v>96072</v>
      </c>
      <c r="D146" s="23" t="s">
        <v>563</v>
      </c>
      <c r="E146" s="16"/>
      <c r="F146" s="38">
        <v>2</v>
      </c>
      <c r="G146" s="16">
        <v>10</v>
      </c>
      <c r="H146" s="16">
        <v>1</v>
      </c>
      <c r="I146" s="16">
        <v>36072</v>
      </c>
      <c r="J146" s="16" t="s">
        <v>881</v>
      </c>
      <c r="K146" s="16" t="s">
        <v>919</v>
      </c>
      <c r="O146" s="41"/>
      <c r="P146" s="23" t="s">
        <v>1043</v>
      </c>
      <c r="R146" s="16">
        <v>3</v>
      </c>
      <c r="S146" s="38" t="s">
        <v>562</v>
      </c>
      <c r="T146" s="16">
        <v>2</v>
      </c>
      <c r="U146" s="16" t="s">
        <v>370</v>
      </c>
      <c r="V146" s="16">
        <v>720</v>
      </c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</row>
    <row r="147" spans="1:34" s="38" customFormat="1" ht="14.25" x14ac:dyDescent="0.15">
      <c r="A147" s="25" t="s">
        <v>41</v>
      </c>
      <c r="B147" s="16">
        <v>138</v>
      </c>
      <c r="C147" s="16">
        <v>96073</v>
      </c>
      <c r="D147" s="23" t="s">
        <v>564</v>
      </c>
      <c r="E147" s="16"/>
      <c r="F147" s="38">
        <v>2</v>
      </c>
      <c r="G147" s="16">
        <v>10</v>
      </c>
      <c r="H147" s="16">
        <v>1</v>
      </c>
      <c r="I147" s="16">
        <v>36073</v>
      </c>
      <c r="J147" s="16" t="s">
        <v>882</v>
      </c>
      <c r="K147" s="16" t="s">
        <v>919</v>
      </c>
      <c r="O147" s="41"/>
      <c r="P147" s="23" t="s">
        <v>1044</v>
      </c>
      <c r="R147" s="16">
        <v>3</v>
      </c>
      <c r="S147" s="38" t="s">
        <v>562</v>
      </c>
      <c r="T147" s="16">
        <v>2</v>
      </c>
      <c r="U147" s="16" t="s">
        <v>372</v>
      </c>
      <c r="V147" s="16">
        <v>2160</v>
      </c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</row>
    <row r="148" spans="1:34" ht="14.25" x14ac:dyDescent="0.15">
      <c r="A148" s="25" t="s">
        <v>41</v>
      </c>
      <c r="B148" s="16">
        <v>139</v>
      </c>
      <c r="C148" s="16">
        <v>97011</v>
      </c>
      <c r="D148" s="23" t="s">
        <v>565</v>
      </c>
      <c r="F148" s="16">
        <v>3</v>
      </c>
      <c r="G148" s="16">
        <v>10</v>
      </c>
      <c r="H148" s="16">
        <v>1</v>
      </c>
      <c r="I148" s="16">
        <v>37011</v>
      </c>
      <c r="J148" s="16" t="s">
        <v>550</v>
      </c>
      <c r="K148" s="16">
        <v>92021</v>
      </c>
      <c r="O148" s="40"/>
      <c r="P148" s="23" t="s">
        <v>569</v>
      </c>
      <c r="Q148" s="16">
        <v>100</v>
      </c>
      <c r="R148" s="16">
        <v>1</v>
      </c>
      <c r="S148" s="16" t="s">
        <v>567</v>
      </c>
      <c r="T148" s="16">
        <v>3</v>
      </c>
      <c r="U148" s="16" t="s">
        <v>368</v>
      </c>
      <c r="V148" s="16">
        <v>75</v>
      </c>
    </row>
    <row r="149" spans="1:34" ht="14.25" x14ac:dyDescent="0.15">
      <c r="A149" s="25" t="s">
        <v>41</v>
      </c>
      <c r="B149" s="16">
        <v>140</v>
      </c>
      <c r="C149" s="16">
        <v>97012</v>
      </c>
      <c r="D149" s="23" t="s">
        <v>568</v>
      </c>
      <c r="F149" s="16">
        <v>3</v>
      </c>
      <c r="G149" s="16">
        <v>10</v>
      </c>
      <c r="H149" s="16">
        <v>1</v>
      </c>
      <c r="I149" s="16">
        <v>37012</v>
      </c>
      <c r="J149" s="16" t="s">
        <v>883</v>
      </c>
      <c r="K149" s="16" t="s">
        <v>919</v>
      </c>
      <c r="O149" s="40"/>
      <c r="P149" s="23" t="s">
        <v>571</v>
      </c>
      <c r="Q149" s="16">
        <v>150</v>
      </c>
      <c r="R149" s="16">
        <v>1</v>
      </c>
      <c r="S149" s="16" t="s">
        <v>567</v>
      </c>
      <c r="T149" s="16">
        <v>3</v>
      </c>
      <c r="U149" s="16" t="s">
        <v>370</v>
      </c>
      <c r="V149" s="16">
        <v>225</v>
      </c>
    </row>
    <row r="150" spans="1:34" ht="14.25" x14ac:dyDescent="0.15">
      <c r="A150" s="25" t="s">
        <v>41</v>
      </c>
      <c r="B150" s="16">
        <v>141</v>
      </c>
      <c r="C150" s="16">
        <v>97013</v>
      </c>
      <c r="D150" s="23" t="s">
        <v>570</v>
      </c>
      <c r="F150" s="16">
        <v>3</v>
      </c>
      <c r="G150" s="16">
        <v>10</v>
      </c>
      <c r="H150" s="16">
        <v>1</v>
      </c>
      <c r="I150" s="16">
        <v>37013</v>
      </c>
      <c r="J150" s="16" t="s">
        <v>884</v>
      </c>
      <c r="K150" s="16" t="s">
        <v>919</v>
      </c>
      <c r="O150" s="40"/>
      <c r="P150" s="23" t="s">
        <v>1045</v>
      </c>
      <c r="Q150" s="16">
        <v>200</v>
      </c>
      <c r="R150" s="16">
        <v>1</v>
      </c>
      <c r="S150" s="16" t="s">
        <v>567</v>
      </c>
      <c r="T150" s="16">
        <v>3</v>
      </c>
      <c r="U150" s="16" t="s">
        <v>372</v>
      </c>
      <c r="V150" s="16">
        <v>675</v>
      </c>
    </row>
    <row r="151" spans="1:34" s="38" customFormat="1" ht="14.25" x14ac:dyDescent="0.15">
      <c r="A151" s="25" t="s">
        <v>41</v>
      </c>
      <c r="B151" s="16">
        <v>142</v>
      </c>
      <c r="C151" s="16">
        <v>97021</v>
      </c>
      <c r="D151" s="22" t="s">
        <v>572</v>
      </c>
      <c r="E151" s="16"/>
      <c r="F151" s="38">
        <v>3</v>
      </c>
      <c r="G151" s="16">
        <v>10</v>
      </c>
      <c r="H151" s="16">
        <v>1</v>
      </c>
      <c r="I151" s="16">
        <v>37021</v>
      </c>
      <c r="J151" s="16" t="s">
        <v>566</v>
      </c>
      <c r="K151" s="16">
        <v>94031</v>
      </c>
      <c r="O151" s="41"/>
      <c r="P151" s="23" t="s">
        <v>1046</v>
      </c>
      <c r="Q151" s="38">
        <v>400</v>
      </c>
      <c r="R151" s="16">
        <v>1</v>
      </c>
      <c r="S151" s="38" t="s">
        <v>573</v>
      </c>
      <c r="T151" s="16">
        <v>3</v>
      </c>
      <c r="U151" s="16" t="s">
        <v>368</v>
      </c>
      <c r="V151" s="16">
        <v>150</v>
      </c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</row>
    <row r="152" spans="1:34" s="38" customFormat="1" ht="14.25" x14ac:dyDescent="0.15">
      <c r="A152" s="25" t="s">
        <v>41</v>
      </c>
      <c r="B152" s="16">
        <v>143</v>
      </c>
      <c r="C152" s="16">
        <v>97022</v>
      </c>
      <c r="D152" s="22" t="s">
        <v>574</v>
      </c>
      <c r="E152" s="16"/>
      <c r="F152" s="38">
        <v>3</v>
      </c>
      <c r="G152" s="16">
        <v>10</v>
      </c>
      <c r="H152" s="16">
        <v>1</v>
      </c>
      <c r="I152" s="16">
        <v>37022</v>
      </c>
      <c r="J152" s="16" t="s">
        <v>885</v>
      </c>
      <c r="K152" s="16" t="s">
        <v>919</v>
      </c>
      <c r="O152" s="41"/>
      <c r="P152" s="23" t="s">
        <v>1047</v>
      </c>
      <c r="Q152" s="38">
        <v>600</v>
      </c>
      <c r="R152" s="16">
        <v>1</v>
      </c>
      <c r="S152" s="38" t="s">
        <v>573</v>
      </c>
      <c r="T152" s="16">
        <v>3</v>
      </c>
      <c r="U152" s="16" t="s">
        <v>370</v>
      </c>
      <c r="V152" s="16">
        <v>450</v>
      </c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</row>
    <row r="153" spans="1:34" s="38" customFormat="1" ht="14.25" x14ac:dyDescent="0.15">
      <c r="A153" s="25" t="s">
        <v>41</v>
      </c>
      <c r="B153" s="16">
        <v>144</v>
      </c>
      <c r="C153" s="16">
        <v>97023</v>
      </c>
      <c r="D153" s="22" t="s">
        <v>575</v>
      </c>
      <c r="E153" s="16"/>
      <c r="F153" s="38">
        <v>3</v>
      </c>
      <c r="G153" s="16">
        <v>10</v>
      </c>
      <c r="H153" s="16">
        <v>1</v>
      </c>
      <c r="I153" s="16">
        <v>37023</v>
      </c>
      <c r="J153" s="16" t="s">
        <v>886</v>
      </c>
      <c r="K153" s="16" t="s">
        <v>919</v>
      </c>
      <c r="O153" s="41"/>
      <c r="P153" s="23" t="s">
        <v>1048</v>
      </c>
      <c r="Q153" s="38">
        <v>800</v>
      </c>
      <c r="R153" s="16">
        <v>1</v>
      </c>
      <c r="S153" s="38" t="s">
        <v>573</v>
      </c>
      <c r="T153" s="16">
        <v>3</v>
      </c>
      <c r="U153" s="16" t="s">
        <v>372</v>
      </c>
      <c r="V153" s="16">
        <v>1350</v>
      </c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</row>
    <row r="154" spans="1:34" ht="14.25" x14ac:dyDescent="0.15">
      <c r="A154" s="25" t="s">
        <v>41</v>
      </c>
      <c r="B154" s="16">
        <v>145</v>
      </c>
      <c r="C154" s="16">
        <v>97031</v>
      </c>
      <c r="D154" s="23" t="s">
        <v>576</v>
      </c>
      <c r="F154" s="16">
        <v>3</v>
      </c>
      <c r="G154" s="16">
        <v>10</v>
      </c>
      <c r="H154" s="16">
        <v>1</v>
      </c>
      <c r="I154" s="16">
        <v>37031</v>
      </c>
      <c r="J154" s="16" t="s">
        <v>887</v>
      </c>
      <c r="K154" s="16">
        <v>94041</v>
      </c>
      <c r="O154" s="40"/>
      <c r="P154" s="23" t="s">
        <v>1049</v>
      </c>
      <c r="Q154" s="16">
        <v>900</v>
      </c>
      <c r="R154" s="16">
        <v>1</v>
      </c>
      <c r="S154" s="16" t="s">
        <v>577</v>
      </c>
      <c r="T154" s="16">
        <v>3</v>
      </c>
      <c r="U154" s="16" t="s">
        <v>368</v>
      </c>
      <c r="V154" s="16">
        <v>225</v>
      </c>
    </row>
    <row r="155" spans="1:34" ht="14.25" x14ac:dyDescent="0.15">
      <c r="A155" s="25" t="s">
        <v>41</v>
      </c>
      <c r="B155" s="16">
        <v>146</v>
      </c>
      <c r="C155" s="16">
        <v>97032</v>
      </c>
      <c r="D155" s="23" t="s">
        <v>578</v>
      </c>
      <c r="F155" s="16">
        <v>3</v>
      </c>
      <c r="G155" s="16">
        <v>10</v>
      </c>
      <c r="H155" s="16">
        <v>1</v>
      </c>
      <c r="I155" s="16">
        <v>37032</v>
      </c>
      <c r="J155" s="16" t="s">
        <v>888</v>
      </c>
      <c r="K155" s="16" t="s">
        <v>919</v>
      </c>
      <c r="O155" s="40"/>
      <c r="P155" s="23" t="s">
        <v>1050</v>
      </c>
      <c r="Q155" s="16">
        <v>1000</v>
      </c>
      <c r="R155" s="16">
        <v>1</v>
      </c>
      <c r="S155" s="16" t="s">
        <v>577</v>
      </c>
      <c r="T155" s="16">
        <v>3</v>
      </c>
      <c r="U155" s="16" t="s">
        <v>370</v>
      </c>
      <c r="V155" s="16">
        <v>675</v>
      </c>
    </row>
    <row r="156" spans="1:34" ht="14.25" x14ac:dyDescent="0.15">
      <c r="A156" s="25" t="s">
        <v>41</v>
      </c>
      <c r="B156" s="16">
        <v>147</v>
      </c>
      <c r="C156" s="16">
        <v>97033</v>
      </c>
      <c r="D156" s="23" t="s">
        <v>579</v>
      </c>
      <c r="F156" s="16">
        <v>3</v>
      </c>
      <c r="G156" s="16">
        <v>10</v>
      </c>
      <c r="H156" s="16">
        <v>1</v>
      </c>
      <c r="I156" s="16">
        <v>37033</v>
      </c>
      <c r="J156" s="16" t="s">
        <v>889</v>
      </c>
      <c r="K156" s="16" t="s">
        <v>919</v>
      </c>
      <c r="O156" s="40"/>
      <c r="P156" s="23" t="s">
        <v>1051</v>
      </c>
      <c r="Q156" s="16">
        <v>1100</v>
      </c>
      <c r="R156" s="16">
        <v>1</v>
      </c>
      <c r="S156" s="16" t="s">
        <v>577</v>
      </c>
      <c r="T156" s="16">
        <v>3</v>
      </c>
      <c r="U156" s="16" t="s">
        <v>372</v>
      </c>
      <c r="V156" s="16">
        <v>2025</v>
      </c>
    </row>
    <row r="157" spans="1:34" s="38" customFormat="1" ht="14.25" x14ac:dyDescent="0.15">
      <c r="A157" s="25" t="s">
        <v>41</v>
      </c>
      <c r="B157" s="16">
        <v>148</v>
      </c>
      <c r="C157" s="16">
        <v>97041</v>
      </c>
      <c r="D157" s="22" t="s">
        <v>580</v>
      </c>
      <c r="E157" s="16"/>
      <c r="F157" s="38">
        <v>3</v>
      </c>
      <c r="G157" s="16">
        <v>10</v>
      </c>
      <c r="H157" s="16">
        <v>1</v>
      </c>
      <c r="I157" s="16">
        <v>37041</v>
      </c>
      <c r="J157" s="16" t="s">
        <v>890</v>
      </c>
      <c r="K157" s="16">
        <v>93031</v>
      </c>
      <c r="O157" s="41"/>
      <c r="P157" s="23" t="s">
        <v>1052</v>
      </c>
      <c r="Q157" s="38">
        <v>1600</v>
      </c>
      <c r="R157" s="16">
        <v>1</v>
      </c>
      <c r="S157" s="38" t="s">
        <v>581</v>
      </c>
      <c r="T157" s="16">
        <v>3</v>
      </c>
      <c r="U157" s="16" t="s">
        <v>368</v>
      </c>
      <c r="V157" s="16">
        <v>360</v>
      </c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</row>
    <row r="158" spans="1:34" s="38" customFormat="1" ht="14.25" x14ac:dyDescent="0.15">
      <c r="A158" s="25" t="s">
        <v>41</v>
      </c>
      <c r="B158" s="16">
        <v>149</v>
      </c>
      <c r="C158" s="16">
        <v>97042</v>
      </c>
      <c r="D158" s="22" t="s">
        <v>582</v>
      </c>
      <c r="E158" s="16"/>
      <c r="F158" s="38">
        <v>3</v>
      </c>
      <c r="G158" s="16">
        <v>10</v>
      </c>
      <c r="H158" s="16">
        <v>1</v>
      </c>
      <c r="I158" s="16">
        <v>37042</v>
      </c>
      <c r="J158" s="16" t="s">
        <v>891</v>
      </c>
      <c r="K158" s="16" t="s">
        <v>919</v>
      </c>
      <c r="O158" s="41"/>
      <c r="P158" s="23" t="s">
        <v>1053</v>
      </c>
      <c r="Q158" s="38">
        <v>1610</v>
      </c>
      <c r="R158" s="16">
        <v>1</v>
      </c>
      <c r="S158" s="38" t="s">
        <v>581</v>
      </c>
      <c r="T158" s="16">
        <v>3</v>
      </c>
      <c r="U158" s="16" t="s">
        <v>370</v>
      </c>
      <c r="V158" s="16">
        <v>1080</v>
      </c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</row>
    <row r="159" spans="1:34" s="38" customFormat="1" ht="14.25" x14ac:dyDescent="0.15">
      <c r="A159" s="25" t="s">
        <v>41</v>
      </c>
      <c r="B159" s="16">
        <v>150</v>
      </c>
      <c r="C159" s="16">
        <v>97043</v>
      </c>
      <c r="D159" s="22" t="s">
        <v>583</v>
      </c>
      <c r="E159" s="16"/>
      <c r="F159" s="38">
        <v>3</v>
      </c>
      <c r="G159" s="16">
        <v>10</v>
      </c>
      <c r="H159" s="16">
        <v>1</v>
      </c>
      <c r="I159" s="16">
        <v>37043</v>
      </c>
      <c r="J159" s="16" t="s">
        <v>892</v>
      </c>
      <c r="K159" s="16" t="s">
        <v>919</v>
      </c>
      <c r="O159" s="41"/>
      <c r="P159" s="23" t="s">
        <v>1054</v>
      </c>
      <c r="Q159" s="38">
        <v>1620</v>
      </c>
      <c r="R159" s="16">
        <v>1</v>
      </c>
      <c r="S159" s="38" t="s">
        <v>581</v>
      </c>
      <c r="T159" s="16">
        <v>3</v>
      </c>
      <c r="U159" s="16" t="s">
        <v>372</v>
      </c>
      <c r="V159" s="16">
        <v>3240</v>
      </c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</row>
    <row r="160" spans="1:34" ht="14.25" x14ac:dyDescent="0.15">
      <c r="A160" s="25" t="s">
        <v>41</v>
      </c>
      <c r="B160" s="16">
        <v>151</v>
      </c>
      <c r="C160" s="16">
        <v>97051</v>
      </c>
      <c r="D160" s="23" t="s">
        <v>584</v>
      </c>
      <c r="F160" s="16">
        <v>3</v>
      </c>
      <c r="G160" s="16">
        <v>10</v>
      </c>
      <c r="H160" s="16">
        <v>1</v>
      </c>
      <c r="I160" s="16">
        <v>37051</v>
      </c>
      <c r="J160" s="16" t="s">
        <v>893</v>
      </c>
      <c r="K160" s="16">
        <v>93041</v>
      </c>
      <c r="O160" s="40"/>
      <c r="P160" s="23" t="s">
        <v>1055</v>
      </c>
      <c r="Q160" s="16">
        <v>1450</v>
      </c>
      <c r="R160" s="16">
        <v>1</v>
      </c>
      <c r="S160" s="16" t="s">
        <v>585</v>
      </c>
      <c r="T160" s="16">
        <v>3</v>
      </c>
      <c r="U160" s="16" t="s">
        <v>368</v>
      </c>
      <c r="V160" s="16">
        <v>720</v>
      </c>
    </row>
    <row r="161" spans="1:34" ht="14.25" x14ac:dyDescent="0.15">
      <c r="A161" s="25" t="s">
        <v>41</v>
      </c>
      <c r="B161" s="16">
        <v>152</v>
      </c>
      <c r="C161" s="16">
        <v>97052</v>
      </c>
      <c r="D161" s="23" t="s">
        <v>586</v>
      </c>
      <c r="F161" s="16">
        <v>3</v>
      </c>
      <c r="G161" s="16">
        <v>10</v>
      </c>
      <c r="H161" s="16">
        <v>1</v>
      </c>
      <c r="I161" s="16">
        <v>37052</v>
      </c>
      <c r="J161" s="16" t="s">
        <v>894</v>
      </c>
      <c r="K161" s="16" t="s">
        <v>919</v>
      </c>
      <c r="O161" s="40"/>
      <c r="P161" s="23" t="s">
        <v>1056</v>
      </c>
      <c r="Q161" s="16">
        <v>1460</v>
      </c>
      <c r="R161" s="16">
        <v>1</v>
      </c>
      <c r="S161" s="16" t="s">
        <v>585</v>
      </c>
      <c r="T161" s="16">
        <v>3</v>
      </c>
      <c r="U161" s="16" t="s">
        <v>370</v>
      </c>
      <c r="V161" s="16">
        <v>2160</v>
      </c>
    </row>
    <row r="162" spans="1:34" ht="14.25" x14ac:dyDescent="0.15">
      <c r="A162" s="25" t="s">
        <v>41</v>
      </c>
      <c r="B162" s="16">
        <v>153</v>
      </c>
      <c r="C162" s="16">
        <v>97053</v>
      </c>
      <c r="D162" s="23" t="s">
        <v>587</v>
      </c>
      <c r="F162" s="16">
        <v>3</v>
      </c>
      <c r="G162" s="16">
        <v>10</v>
      </c>
      <c r="H162" s="16">
        <v>1</v>
      </c>
      <c r="I162" s="16">
        <v>37053</v>
      </c>
      <c r="J162" s="16" t="s">
        <v>895</v>
      </c>
      <c r="K162" s="16" t="s">
        <v>919</v>
      </c>
      <c r="O162" s="40"/>
      <c r="P162" s="23" t="s">
        <v>1057</v>
      </c>
      <c r="Q162" s="16">
        <v>1470</v>
      </c>
      <c r="R162" s="16">
        <v>1</v>
      </c>
      <c r="S162" s="16" t="s">
        <v>585</v>
      </c>
      <c r="T162" s="16">
        <v>3</v>
      </c>
      <c r="U162" s="16" t="s">
        <v>372</v>
      </c>
      <c r="V162" s="16">
        <v>6480</v>
      </c>
    </row>
    <row r="163" spans="1:34" s="38" customFormat="1" ht="14.25" x14ac:dyDescent="0.15">
      <c r="A163" s="25" t="s">
        <v>41</v>
      </c>
      <c r="B163" s="16">
        <v>154</v>
      </c>
      <c r="C163" s="16">
        <v>97061</v>
      </c>
      <c r="D163" s="22" t="s">
        <v>588</v>
      </c>
      <c r="E163" s="16"/>
      <c r="F163" s="38">
        <v>3</v>
      </c>
      <c r="G163" s="16">
        <v>10</v>
      </c>
      <c r="H163" s="16">
        <v>1</v>
      </c>
      <c r="I163" s="16">
        <v>37061</v>
      </c>
      <c r="J163" s="16" t="s">
        <v>896</v>
      </c>
      <c r="K163" s="16">
        <v>96061</v>
      </c>
      <c r="O163" s="41"/>
      <c r="P163" s="23" t="s">
        <v>1058</v>
      </c>
      <c r="Q163" s="38">
        <v>1600</v>
      </c>
      <c r="R163" s="16">
        <v>1</v>
      </c>
      <c r="S163" s="38" t="s">
        <v>589</v>
      </c>
      <c r="T163" s="16">
        <v>3</v>
      </c>
      <c r="U163" s="16" t="s">
        <v>368</v>
      </c>
      <c r="V163" s="16">
        <v>240</v>
      </c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</row>
    <row r="164" spans="1:34" s="38" customFormat="1" ht="14.25" x14ac:dyDescent="0.15">
      <c r="A164" s="25" t="s">
        <v>41</v>
      </c>
      <c r="B164" s="16">
        <v>155</v>
      </c>
      <c r="C164" s="16">
        <v>97062</v>
      </c>
      <c r="D164" s="22" t="s">
        <v>590</v>
      </c>
      <c r="E164" s="16"/>
      <c r="F164" s="38">
        <v>3</v>
      </c>
      <c r="G164" s="16">
        <v>10</v>
      </c>
      <c r="H164" s="16">
        <v>1</v>
      </c>
      <c r="I164" s="16">
        <v>37062</v>
      </c>
      <c r="J164" s="16" t="s">
        <v>897</v>
      </c>
      <c r="K164" s="16" t="s">
        <v>919</v>
      </c>
      <c r="O164" s="41"/>
      <c r="P164" s="23" t="s">
        <v>1059</v>
      </c>
      <c r="Q164" s="38">
        <v>1800</v>
      </c>
      <c r="R164" s="16">
        <v>1</v>
      </c>
      <c r="S164" s="38" t="s">
        <v>589</v>
      </c>
      <c r="T164" s="16">
        <v>3</v>
      </c>
      <c r="U164" s="16" t="s">
        <v>370</v>
      </c>
      <c r="V164" s="16">
        <v>720</v>
      </c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</row>
    <row r="165" spans="1:34" s="38" customFormat="1" ht="14.25" x14ac:dyDescent="0.15">
      <c r="A165" s="25" t="s">
        <v>41</v>
      </c>
      <c r="B165" s="16">
        <v>156</v>
      </c>
      <c r="C165" s="16">
        <v>97063</v>
      </c>
      <c r="D165" s="22" t="s">
        <v>591</v>
      </c>
      <c r="E165" s="16"/>
      <c r="F165" s="38">
        <v>3</v>
      </c>
      <c r="G165" s="16">
        <v>10</v>
      </c>
      <c r="H165" s="16">
        <v>1</v>
      </c>
      <c r="I165" s="16">
        <v>37063</v>
      </c>
      <c r="J165" s="16" t="s">
        <v>898</v>
      </c>
      <c r="K165" s="16" t="s">
        <v>919</v>
      </c>
      <c r="O165" s="41"/>
      <c r="P165" s="23" t="s">
        <v>1060</v>
      </c>
      <c r="Q165" s="38">
        <v>2000</v>
      </c>
      <c r="R165" s="16">
        <v>1</v>
      </c>
      <c r="S165" s="38" t="s">
        <v>589</v>
      </c>
      <c r="T165" s="16">
        <v>3</v>
      </c>
      <c r="U165" s="16" t="s">
        <v>372</v>
      </c>
      <c r="V165" s="16">
        <v>2160</v>
      </c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</row>
    <row r="166" spans="1:34" ht="14.25" x14ac:dyDescent="0.15">
      <c r="A166" s="25" t="s">
        <v>41</v>
      </c>
      <c r="B166" s="16">
        <v>157</v>
      </c>
      <c r="C166" s="16">
        <v>98011</v>
      </c>
      <c r="D166" s="23" t="s">
        <v>592</v>
      </c>
      <c r="F166" s="16">
        <v>3</v>
      </c>
      <c r="G166" s="16">
        <v>10</v>
      </c>
      <c r="H166" s="16">
        <v>1</v>
      </c>
      <c r="I166" s="16">
        <v>38011</v>
      </c>
      <c r="J166" s="16" t="s">
        <v>899</v>
      </c>
      <c r="K166" s="16">
        <v>93061</v>
      </c>
      <c r="O166" s="40"/>
      <c r="P166" s="23" t="s">
        <v>1061</v>
      </c>
      <c r="Q166" s="16">
        <v>2000</v>
      </c>
      <c r="R166" s="16">
        <v>2</v>
      </c>
      <c r="S166" s="16" t="s">
        <v>594</v>
      </c>
      <c r="T166" s="16">
        <v>3</v>
      </c>
      <c r="U166" s="16" t="s">
        <v>368</v>
      </c>
      <c r="V166" s="16">
        <v>480</v>
      </c>
    </row>
    <row r="167" spans="1:34" ht="14.25" x14ac:dyDescent="0.15">
      <c r="A167" s="25" t="s">
        <v>41</v>
      </c>
      <c r="B167" s="16">
        <v>158</v>
      </c>
      <c r="C167" s="16">
        <v>98012</v>
      </c>
      <c r="D167" s="23" t="s">
        <v>595</v>
      </c>
      <c r="F167" s="16">
        <v>3</v>
      </c>
      <c r="G167" s="16">
        <v>10</v>
      </c>
      <c r="H167" s="16">
        <v>1</v>
      </c>
      <c r="I167" s="16">
        <v>38012</v>
      </c>
      <c r="J167" s="16" t="s">
        <v>900</v>
      </c>
      <c r="K167" s="16" t="s">
        <v>919</v>
      </c>
      <c r="O167" s="40"/>
      <c r="P167" s="23" t="s">
        <v>1062</v>
      </c>
      <c r="Q167" s="16">
        <v>2100</v>
      </c>
      <c r="R167" s="16">
        <v>2</v>
      </c>
      <c r="S167" s="16" t="s">
        <v>594</v>
      </c>
      <c r="T167" s="16">
        <v>3</v>
      </c>
      <c r="U167" s="16" t="s">
        <v>370</v>
      </c>
      <c r="V167" s="16">
        <v>1440</v>
      </c>
    </row>
    <row r="168" spans="1:34" ht="14.25" x14ac:dyDescent="0.15">
      <c r="A168" s="25" t="s">
        <v>41</v>
      </c>
      <c r="B168" s="16">
        <v>159</v>
      </c>
      <c r="C168" s="16">
        <v>98013</v>
      </c>
      <c r="D168" s="23" t="s">
        <v>596</v>
      </c>
      <c r="F168" s="16">
        <v>3</v>
      </c>
      <c r="G168" s="16">
        <v>10</v>
      </c>
      <c r="H168" s="16">
        <v>1</v>
      </c>
      <c r="I168" s="16">
        <v>38013</v>
      </c>
      <c r="J168" s="16" t="s">
        <v>901</v>
      </c>
      <c r="K168" s="16" t="s">
        <v>919</v>
      </c>
      <c r="O168" s="40"/>
      <c r="P168" s="23" t="s">
        <v>1063</v>
      </c>
      <c r="Q168" s="16">
        <v>2200</v>
      </c>
      <c r="R168" s="16">
        <v>2</v>
      </c>
      <c r="S168" s="16" t="s">
        <v>594</v>
      </c>
      <c r="T168" s="16">
        <v>3</v>
      </c>
      <c r="U168" s="16" t="s">
        <v>372</v>
      </c>
      <c r="V168" s="16">
        <v>4320</v>
      </c>
    </row>
    <row r="169" spans="1:34" s="38" customFormat="1" ht="14.25" x14ac:dyDescent="0.15">
      <c r="A169" s="25" t="s">
        <v>41</v>
      </c>
      <c r="B169" s="16">
        <v>160</v>
      </c>
      <c r="C169" s="16">
        <v>98021</v>
      </c>
      <c r="D169" s="22" t="s">
        <v>597</v>
      </c>
      <c r="E169" s="16"/>
      <c r="F169" s="38">
        <v>3</v>
      </c>
      <c r="G169" s="16">
        <v>10</v>
      </c>
      <c r="H169" s="16">
        <v>1</v>
      </c>
      <c r="I169" s="16">
        <v>38021</v>
      </c>
      <c r="J169" s="16" t="s">
        <v>593</v>
      </c>
      <c r="K169" s="16">
        <v>92041</v>
      </c>
      <c r="O169" s="41"/>
      <c r="P169" s="23" t="s">
        <v>1064</v>
      </c>
      <c r="Q169" s="38">
        <v>2000</v>
      </c>
      <c r="R169" s="16">
        <v>2</v>
      </c>
      <c r="S169" s="16" t="s">
        <v>598</v>
      </c>
      <c r="T169" s="16">
        <v>3</v>
      </c>
      <c r="U169" s="16" t="s">
        <v>368</v>
      </c>
      <c r="V169" s="16">
        <v>120</v>
      </c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</row>
    <row r="170" spans="1:34" s="38" customFormat="1" ht="14.25" x14ac:dyDescent="0.15">
      <c r="A170" s="25" t="s">
        <v>41</v>
      </c>
      <c r="B170" s="16">
        <v>161</v>
      </c>
      <c r="C170" s="16">
        <v>98022</v>
      </c>
      <c r="D170" s="22" t="s">
        <v>599</v>
      </c>
      <c r="E170" s="16"/>
      <c r="F170" s="38">
        <v>3</v>
      </c>
      <c r="G170" s="16">
        <v>10</v>
      </c>
      <c r="H170" s="16">
        <v>1</v>
      </c>
      <c r="I170" s="16">
        <v>38022</v>
      </c>
      <c r="J170" s="16" t="s">
        <v>902</v>
      </c>
      <c r="K170" s="16" t="s">
        <v>919</v>
      </c>
      <c r="O170" s="41"/>
      <c r="P170" s="23" t="s">
        <v>1065</v>
      </c>
      <c r="Q170" s="38">
        <v>2100</v>
      </c>
      <c r="R170" s="16">
        <v>2</v>
      </c>
      <c r="S170" s="16" t="s">
        <v>598</v>
      </c>
      <c r="T170" s="16">
        <v>3</v>
      </c>
      <c r="U170" s="16" t="s">
        <v>370</v>
      </c>
      <c r="V170" s="16">
        <v>360</v>
      </c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</row>
    <row r="171" spans="1:34" s="38" customFormat="1" ht="14.25" x14ac:dyDescent="0.15">
      <c r="A171" s="25" t="s">
        <v>41</v>
      </c>
      <c r="B171" s="16">
        <v>162</v>
      </c>
      <c r="C171" s="16">
        <v>98023</v>
      </c>
      <c r="D171" s="22" t="s">
        <v>600</v>
      </c>
      <c r="E171" s="16"/>
      <c r="F171" s="38">
        <v>3</v>
      </c>
      <c r="G171" s="16">
        <v>10</v>
      </c>
      <c r="H171" s="16">
        <v>1</v>
      </c>
      <c r="I171" s="16">
        <v>38023</v>
      </c>
      <c r="J171" s="16" t="s">
        <v>903</v>
      </c>
      <c r="K171" s="16" t="s">
        <v>919</v>
      </c>
      <c r="O171" s="41"/>
      <c r="P171" s="23" t="s">
        <v>1066</v>
      </c>
      <c r="Q171" s="38">
        <v>2200</v>
      </c>
      <c r="R171" s="16">
        <v>2</v>
      </c>
      <c r="S171" s="16" t="s">
        <v>598</v>
      </c>
      <c r="T171" s="16">
        <v>3</v>
      </c>
      <c r="U171" s="16" t="s">
        <v>372</v>
      </c>
      <c r="V171" s="16">
        <v>1080</v>
      </c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</row>
    <row r="172" spans="1:34" ht="14.25" x14ac:dyDescent="0.15">
      <c r="A172" s="25" t="s">
        <v>41</v>
      </c>
      <c r="B172" s="16">
        <v>163</v>
      </c>
      <c r="C172" s="16">
        <v>98031</v>
      </c>
      <c r="D172" s="23" t="s">
        <v>601</v>
      </c>
      <c r="F172" s="16">
        <v>3</v>
      </c>
      <c r="G172" s="16">
        <v>10</v>
      </c>
      <c r="H172" s="16">
        <v>1</v>
      </c>
      <c r="I172" s="16">
        <v>38031</v>
      </c>
      <c r="J172" s="16" t="s">
        <v>904</v>
      </c>
      <c r="K172" s="16">
        <v>92111</v>
      </c>
      <c r="O172" s="40"/>
      <c r="P172" s="23" t="s">
        <v>1067</v>
      </c>
      <c r="Q172" s="16">
        <v>2000</v>
      </c>
      <c r="R172" s="16">
        <v>2</v>
      </c>
      <c r="S172" s="16" t="s">
        <v>602</v>
      </c>
      <c r="T172" s="16">
        <v>3</v>
      </c>
      <c r="U172" s="16" t="s">
        <v>368</v>
      </c>
      <c r="V172" s="16">
        <v>480</v>
      </c>
    </row>
    <row r="173" spans="1:34" ht="14.25" x14ac:dyDescent="0.15">
      <c r="A173" s="25" t="s">
        <v>41</v>
      </c>
      <c r="B173" s="16">
        <v>164</v>
      </c>
      <c r="C173" s="16">
        <v>98032</v>
      </c>
      <c r="D173" s="23" t="s">
        <v>603</v>
      </c>
      <c r="F173" s="16">
        <v>3</v>
      </c>
      <c r="G173" s="16">
        <v>10</v>
      </c>
      <c r="H173" s="16">
        <v>1</v>
      </c>
      <c r="I173" s="16">
        <v>38032</v>
      </c>
      <c r="J173" s="16" t="s">
        <v>905</v>
      </c>
      <c r="K173" s="16" t="s">
        <v>919</v>
      </c>
      <c r="O173" s="40"/>
      <c r="P173" s="23" t="s">
        <v>1068</v>
      </c>
      <c r="Q173" s="16">
        <v>2100</v>
      </c>
      <c r="R173" s="16">
        <v>2</v>
      </c>
      <c r="S173" s="16" t="s">
        <v>602</v>
      </c>
      <c r="T173" s="16">
        <v>3</v>
      </c>
      <c r="U173" s="16" t="s">
        <v>370</v>
      </c>
      <c r="V173" s="16">
        <v>1440</v>
      </c>
    </row>
    <row r="174" spans="1:34" ht="14.25" x14ac:dyDescent="0.15">
      <c r="A174" s="25" t="s">
        <v>41</v>
      </c>
      <c r="B174" s="16">
        <v>165</v>
      </c>
      <c r="C174" s="16">
        <v>98033</v>
      </c>
      <c r="D174" s="23" t="s">
        <v>604</v>
      </c>
      <c r="F174" s="16">
        <v>3</v>
      </c>
      <c r="G174" s="16">
        <v>10</v>
      </c>
      <c r="H174" s="16">
        <v>1</v>
      </c>
      <c r="I174" s="16">
        <v>38033</v>
      </c>
      <c r="J174" s="16" t="s">
        <v>906</v>
      </c>
      <c r="K174" s="16" t="s">
        <v>919</v>
      </c>
      <c r="O174" s="40"/>
      <c r="P174" s="23" t="s">
        <v>1069</v>
      </c>
      <c r="Q174" s="16">
        <v>2200</v>
      </c>
      <c r="R174" s="16">
        <v>2</v>
      </c>
      <c r="S174" s="16" t="s">
        <v>602</v>
      </c>
      <c r="T174" s="16">
        <v>3</v>
      </c>
      <c r="U174" s="16" t="s">
        <v>372</v>
      </c>
      <c r="V174" s="16">
        <v>4320</v>
      </c>
    </row>
    <row r="175" spans="1:34" s="38" customFormat="1" ht="14.25" x14ac:dyDescent="0.15">
      <c r="A175" s="25" t="s">
        <v>41</v>
      </c>
      <c r="B175" s="16">
        <v>166</v>
      </c>
      <c r="C175" s="16">
        <v>99011</v>
      </c>
      <c r="D175" s="22" t="s">
        <v>605</v>
      </c>
      <c r="E175" s="16"/>
      <c r="F175" s="38">
        <v>3</v>
      </c>
      <c r="G175" s="16">
        <v>10</v>
      </c>
      <c r="H175" s="16">
        <v>1</v>
      </c>
      <c r="I175" s="16">
        <v>39011</v>
      </c>
      <c r="J175" s="16" t="s">
        <v>907</v>
      </c>
      <c r="K175" s="16">
        <v>92061</v>
      </c>
      <c r="O175" s="41"/>
      <c r="P175" s="23" t="s">
        <v>1070</v>
      </c>
      <c r="Q175" s="38">
        <v>2000</v>
      </c>
      <c r="R175" s="16">
        <v>3</v>
      </c>
      <c r="S175" s="16" t="s">
        <v>606</v>
      </c>
      <c r="T175" s="16">
        <v>3</v>
      </c>
      <c r="U175" s="16" t="s">
        <v>368</v>
      </c>
      <c r="V175" s="16">
        <v>360</v>
      </c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</row>
    <row r="176" spans="1:34" s="38" customFormat="1" ht="14.25" x14ac:dyDescent="0.15">
      <c r="A176" s="25" t="s">
        <v>41</v>
      </c>
      <c r="B176" s="16">
        <v>167</v>
      </c>
      <c r="C176" s="16">
        <v>99012</v>
      </c>
      <c r="D176" s="22" t="s">
        <v>607</v>
      </c>
      <c r="E176" s="16"/>
      <c r="F176" s="38">
        <v>3</v>
      </c>
      <c r="G176" s="16">
        <v>10</v>
      </c>
      <c r="H176" s="16">
        <v>1</v>
      </c>
      <c r="I176" s="16">
        <v>39012</v>
      </c>
      <c r="J176" s="16" t="s">
        <v>908</v>
      </c>
      <c r="K176" s="16" t="s">
        <v>919</v>
      </c>
      <c r="O176" s="41"/>
      <c r="P176" s="23" t="s">
        <v>1071</v>
      </c>
      <c r="Q176" s="38">
        <v>2100</v>
      </c>
      <c r="R176" s="16">
        <v>3</v>
      </c>
      <c r="S176" s="16" t="s">
        <v>606</v>
      </c>
      <c r="T176" s="16">
        <v>3</v>
      </c>
      <c r="U176" s="16" t="s">
        <v>370</v>
      </c>
      <c r="V176" s="16">
        <v>1080</v>
      </c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</row>
    <row r="177" spans="1:34" s="38" customFormat="1" ht="14.25" x14ac:dyDescent="0.15">
      <c r="A177" s="25" t="s">
        <v>41</v>
      </c>
      <c r="B177" s="16">
        <v>168</v>
      </c>
      <c r="C177" s="16">
        <v>99013</v>
      </c>
      <c r="D177" s="22" t="s">
        <v>608</v>
      </c>
      <c r="E177" s="16"/>
      <c r="F177" s="38">
        <v>3</v>
      </c>
      <c r="G177" s="16">
        <v>10</v>
      </c>
      <c r="H177" s="16">
        <v>1</v>
      </c>
      <c r="I177" s="16">
        <v>39013</v>
      </c>
      <c r="J177" s="16" t="s">
        <v>909</v>
      </c>
      <c r="K177" s="16" t="s">
        <v>919</v>
      </c>
      <c r="O177" s="41"/>
      <c r="P177" s="23" t="s">
        <v>1072</v>
      </c>
      <c r="Q177" s="38">
        <v>2200</v>
      </c>
      <c r="R177" s="16">
        <v>3</v>
      </c>
      <c r="S177" s="16" t="s">
        <v>606</v>
      </c>
      <c r="T177" s="16">
        <v>3</v>
      </c>
      <c r="U177" s="16" t="s">
        <v>372</v>
      </c>
      <c r="V177" s="16">
        <v>3240</v>
      </c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</row>
    <row r="178" spans="1:34" ht="14.25" x14ac:dyDescent="0.15">
      <c r="A178" s="25" t="s">
        <v>41</v>
      </c>
      <c r="B178" s="16">
        <v>169</v>
      </c>
      <c r="C178" s="16">
        <v>99021</v>
      </c>
      <c r="D178" s="23" t="s">
        <v>609</v>
      </c>
      <c r="F178" s="16">
        <v>3</v>
      </c>
      <c r="G178" s="16">
        <v>10</v>
      </c>
      <c r="H178" s="16">
        <v>1</v>
      </c>
      <c r="I178" s="16">
        <v>39021</v>
      </c>
      <c r="J178" s="16" t="s">
        <v>910</v>
      </c>
      <c r="K178" s="16">
        <v>93071</v>
      </c>
      <c r="O178" s="40"/>
      <c r="P178" s="23" t="s">
        <v>1073</v>
      </c>
      <c r="Q178" s="16">
        <v>2000</v>
      </c>
      <c r="R178" s="16">
        <v>3</v>
      </c>
      <c r="S178" s="16" t="s">
        <v>610</v>
      </c>
      <c r="T178" s="16">
        <v>3</v>
      </c>
      <c r="U178" s="16" t="s">
        <v>368</v>
      </c>
      <c r="V178" s="16">
        <v>480</v>
      </c>
    </row>
    <row r="179" spans="1:34" ht="14.25" x14ac:dyDescent="0.15">
      <c r="A179" s="25" t="s">
        <v>41</v>
      </c>
      <c r="B179" s="16">
        <v>170</v>
      </c>
      <c r="C179" s="16">
        <v>99022</v>
      </c>
      <c r="D179" s="23" t="s">
        <v>611</v>
      </c>
      <c r="F179" s="16">
        <v>3</v>
      </c>
      <c r="G179" s="16">
        <v>10</v>
      </c>
      <c r="H179" s="16">
        <v>1</v>
      </c>
      <c r="I179" s="16">
        <v>39022</v>
      </c>
      <c r="J179" s="16" t="s">
        <v>911</v>
      </c>
      <c r="K179" s="16" t="s">
        <v>919</v>
      </c>
      <c r="O179" s="40"/>
      <c r="P179" s="23" t="s">
        <v>1074</v>
      </c>
      <c r="Q179" s="16">
        <v>2100</v>
      </c>
      <c r="R179" s="16">
        <v>3</v>
      </c>
      <c r="S179" s="16" t="s">
        <v>610</v>
      </c>
      <c r="T179" s="16">
        <v>3</v>
      </c>
      <c r="U179" s="16" t="s">
        <v>370</v>
      </c>
      <c r="V179" s="16">
        <v>1440</v>
      </c>
    </row>
    <row r="180" spans="1:34" ht="14.25" x14ac:dyDescent="0.15">
      <c r="A180" s="25" t="s">
        <v>41</v>
      </c>
      <c r="B180" s="16">
        <v>171</v>
      </c>
      <c r="C180" s="16">
        <v>99023</v>
      </c>
      <c r="D180" s="23" t="s">
        <v>612</v>
      </c>
      <c r="F180" s="16">
        <v>3</v>
      </c>
      <c r="G180" s="16">
        <v>10</v>
      </c>
      <c r="H180" s="16">
        <v>1</v>
      </c>
      <c r="I180" s="16">
        <v>39023</v>
      </c>
      <c r="J180" s="16" t="s">
        <v>912</v>
      </c>
      <c r="K180" s="16" t="s">
        <v>919</v>
      </c>
      <c r="O180" s="40"/>
      <c r="P180" s="23" t="s">
        <v>1075</v>
      </c>
      <c r="Q180" s="16">
        <v>2200</v>
      </c>
      <c r="R180" s="16">
        <v>3</v>
      </c>
      <c r="S180" s="16" t="s">
        <v>610</v>
      </c>
      <c r="T180" s="16">
        <v>3</v>
      </c>
      <c r="U180" s="16" t="s">
        <v>372</v>
      </c>
      <c r="V180" s="16">
        <v>4320</v>
      </c>
    </row>
    <row r="181" spans="1:34" s="38" customFormat="1" ht="14.25" x14ac:dyDescent="0.15">
      <c r="A181" s="25" t="s">
        <v>41</v>
      </c>
      <c r="B181" s="16">
        <v>172</v>
      </c>
      <c r="C181" s="16">
        <v>99031</v>
      </c>
      <c r="D181" s="22" t="s">
        <v>613</v>
      </c>
      <c r="E181" s="16"/>
      <c r="F181" s="38">
        <v>3</v>
      </c>
      <c r="G181" s="16">
        <v>10</v>
      </c>
      <c r="H181" s="16">
        <v>1</v>
      </c>
      <c r="I181" s="16">
        <v>39031</v>
      </c>
      <c r="J181" s="16" t="s">
        <v>913</v>
      </c>
      <c r="K181" s="16">
        <v>93021</v>
      </c>
      <c r="O181" s="41"/>
      <c r="P181" s="23" t="s">
        <v>1076</v>
      </c>
      <c r="Q181" s="38">
        <v>2000</v>
      </c>
      <c r="R181" s="16">
        <v>3</v>
      </c>
      <c r="S181" s="16" t="s">
        <v>614</v>
      </c>
      <c r="T181" s="16">
        <v>3</v>
      </c>
      <c r="U181" s="16" t="s">
        <v>368</v>
      </c>
      <c r="V181" s="16">
        <v>240</v>
      </c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</row>
    <row r="182" spans="1:34" s="38" customFormat="1" ht="14.25" x14ac:dyDescent="0.15">
      <c r="A182" s="25" t="s">
        <v>41</v>
      </c>
      <c r="B182" s="16">
        <v>173</v>
      </c>
      <c r="C182" s="16">
        <v>99032</v>
      </c>
      <c r="D182" s="22" t="s">
        <v>615</v>
      </c>
      <c r="E182" s="16"/>
      <c r="F182" s="38">
        <v>3</v>
      </c>
      <c r="G182" s="16">
        <v>10</v>
      </c>
      <c r="H182" s="16">
        <v>1</v>
      </c>
      <c r="I182" s="16">
        <v>39032</v>
      </c>
      <c r="J182" s="16" t="s">
        <v>914</v>
      </c>
      <c r="K182" s="16" t="s">
        <v>919</v>
      </c>
      <c r="O182" s="41"/>
      <c r="P182" s="23" t="s">
        <v>1077</v>
      </c>
      <c r="Q182" s="38">
        <v>2100</v>
      </c>
      <c r="R182" s="16">
        <v>3</v>
      </c>
      <c r="S182" s="16" t="s">
        <v>614</v>
      </c>
      <c r="T182" s="16">
        <v>3</v>
      </c>
      <c r="U182" s="16" t="s">
        <v>370</v>
      </c>
      <c r="V182" s="16">
        <v>720</v>
      </c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</row>
    <row r="183" spans="1:34" s="38" customFormat="1" ht="14.25" x14ac:dyDescent="0.15">
      <c r="A183" s="25" t="s">
        <v>41</v>
      </c>
      <c r="B183" s="16">
        <v>174</v>
      </c>
      <c r="C183" s="16">
        <v>99033</v>
      </c>
      <c r="D183" s="22" t="s">
        <v>616</v>
      </c>
      <c r="E183" s="16"/>
      <c r="F183" s="38">
        <v>3</v>
      </c>
      <c r="G183" s="16">
        <v>10</v>
      </c>
      <c r="H183" s="16">
        <v>1</v>
      </c>
      <c r="I183" s="16">
        <v>39033</v>
      </c>
      <c r="J183" s="16" t="s">
        <v>915</v>
      </c>
      <c r="K183" s="16" t="s">
        <v>919</v>
      </c>
      <c r="O183" s="41"/>
      <c r="P183" s="23" t="s">
        <v>1078</v>
      </c>
      <c r="Q183" s="38">
        <v>2200</v>
      </c>
      <c r="R183" s="16">
        <v>3</v>
      </c>
      <c r="S183" s="16" t="s">
        <v>614</v>
      </c>
      <c r="T183" s="16">
        <v>3</v>
      </c>
      <c r="U183" s="16" t="s">
        <v>372</v>
      </c>
      <c r="V183" s="16">
        <v>2160</v>
      </c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</row>
    <row r="184" spans="1:34" ht="14.25" x14ac:dyDescent="0.15">
      <c r="A184" s="25" t="s">
        <v>41</v>
      </c>
      <c r="B184" s="16">
        <v>175</v>
      </c>
      <c r="C184" s="16">
        <v>99041</v>
      </c>
      <c r="D184" s="23" t="s">
        <v>617</v>
      </c>
      <c r="F184" s="16">
        <v>3</v>
      </c>
      <c r="G184" s="16">
        <v>10</v>
      </c>
      <c r="H184" s="16">
        <v>1</v>
      </c>
      <c r="I184" s="16">
        <v>39041</v>
      </c>
      <c r="J184" s="16" t="s">
        <v>916</v>
      </c>
      <c r="K184" s="16">
        <v>92121</v>
      </c>
      <c r="O184" s="40"/>
      <c r="P184" s="23" t="s">
        <v>1079</v>
      </c>
      <c r="Q184" s="16">
        <v>2000</v>
      </c>
      <c r="R184" s="16">
        <v>3</v>
      </c>
      <c r="S184" s="16" t="s">
        <v>618</v>
      </c>
      <c r="T184" s="16">
        <v>3</v>
      </c>
      <c r="U184" s="16" t="s">
        <v>368</v>
      </c>
      <c r="V184" s="16">
        <v>240</v>
      </c>
    </row>
    <row r="185" spans="1:34" ht="14.25" x14ac:dyDescent="0.15">
      <c r="A185" s="25" t="s">
        <v>41</v>
      </c>
      <c r="B185" s="16">
        <v>176</v>
      </c>
      <c r="C185" s="16">
        <v>99042</v>
      </c>
      <c r="D185" s="23" t="s">
        <v>619</v>
      </c>
      <c r="F185" s="16">
        <v>3</v>
      </c>
      <c r="G185" s="16">
        <v>10</v>
      </c>
      <c r="H185" s="16">
        <v>1</v>
      </c>
      <c r="I185" s="16">
        <v>39042</v>
      </c>
      <c r="J185" s="16" t="s">
        <v>917</v>
      </c>
      <c r="K185" s="16" t="s">
        <v>919</v>
      </c>
      <c r="M185" s="38"/>
      <c r="N185" s="38"/>
      <c r="O185" s="41"/>
      <c r="P185" s="23" t="s">
        <v>1080</v>
      </c>
      <c r="Q185" s="16">
        <v>2100</v>
      </c>
      <c r="R185" s="16">
        <v>3</v>
      </c>
      <c r="S185" s="16" t="s">
        <v>618</v>
      </c>
      <c r="T185" s="16">
        <v>3</v>
      </c>
      <c r="U185" s="16" t="s">
        <v>370</v>
      </c>
      <c r="V185" s="16">
        <v>720</v>
      </c>
    </row>
    <row r="186" spans="1:34" ht="14.25" x14ac:dyDescent="0.15">
      <c r="A186" s="25" t="s">
        <v>41</v>
      </c>
      <c r="B186" s="16">
        <v>177</v>
      </c>
      <c r="C186" s="16">
        <v>99043</v>
      </c>
      <c r="D186" s="23" t="s">
        <v>620</v>
      </c>
      <c r="F186" s="16">
        <v>3</v>
      </c>
      <c r="G186" s="16">
        <v>10</v>
      </c>
      <c r="H186" s="16">
        <v>1</v>
      </c>
      <c r="I186" s="16">
        <v>39043</v>
      </c>
      <c r="J186" s="16" t="s">
        <v>918</v>
      </c>
      <c r="K186" s="16" t="s">
        <v>919</v>
      </c>
      <c r="M186" s="38"/>
      <c r="N186" s="38"/>
      <c r="O186" s="41"/>
      <c r="P186" s="23" t="s">
        <v>1081</v>
      </c>
      <c r="Q186" s="16">
        <v>2200</v>
      </c>
      <c r="R186" s="16">
        <v>3</v>
      </c>
      <c r="S186" s="16" t="s">
        <v>618</v>
      </c>
      <c r="T186" s="16">
        <v>3</v>
      </c>
      <c r="U186" s="16" t="s">
        <v>372</v>
      </c>
      <c r="V186" s="16">
        <v>2160</v>
      </c>
    </row>
    <row r="187" spans="1:34" ht="14.25" x14ac:dyDescent="0.15">
      <c r="A187" s="25"/>
      <c r="D187" s="23"/>
      <c r="M187" s="38"/>
      <c r="N187" s="38"/>
      <c r="O187" s="41"/>
      <c r="P187" s="23"/>
    </row>
    <row r="188" spans="1:34" ht="14.25" x14ac:dyDescent="0.15">
      <c r="A188" s="25"/>
      <c r="D188" s="23"/>
      <c r="M188" s="38"/>
      <c r="N188" s="38"/>
      <c r="O188" s="41"/>
      <c r="P188" s="23"/>
    </row>
    <row r="189" spans="1:34" ht="14.25" x14ac:dyDescent="0.15">
      <c r="A189" s="25"/>
      <c r="D189" s="23"/>
      <c r="M189" s="38"/>
      <c r="N189" s="38"/>
      <c r="O189" s="41"/>
      <c r="P189" s="23"/>
    </row>
    <row r="190" spans="1:34" ht="14.25" x14ac:dyDescent="0.15">
      <c r="A190" s="25"/>
      <c r="D190" s="23"/>
      <c r="M190" s="38"/>
      <c r="N190" s="38"/>
      <c r="O190" s="41"/>
      <c r="P190" s="23"/>
    </row>
    <row r="191" spans="1:34" s="38" customFormat="1" ht="14.25" x14ac:dyDescent="0.15">
      <c r="A191" s="30"/>
      <c r="B191" s="16"/>
      <c r="D191" s="22"/>
      <c r="F191" s="16"/>
      <c r="H191" s="16"/>
      <c r="I191" s="16"/>
      <c r="O191" s="41"/>
      <c r="P191" s="22"/>
      <c r="R191" s="16"/>
      <c r="T191" s="16"/>
      <c r="V191" s="16"/>
    </row>
    <row r="192" spans="1:34" ht="14.25" x14ac:dyDescent="0.15">
      <c r="A192" s="25"/>
      <c r="D192" s="23"/>
      <c r="M192" s="38"/>
      <c r="N192" s="38"/>
      <c r="O192" s="41"/>
      <c r="P192" s="23"/>
    </row>
    <row r="193" spans="1:22" s="38" customFormat="1" ht="14.25" x14ac:dyDescent="0.15">
      <c r="A193" s="30"/>
      <c r="B193" s="16"/>
      <c r="D193" s="22"/>
      <c r="F193" s="16"/>
      <c r="H193" s="16"/>
      <c r="I193" s="16"/>
      <c r="O193" s="41"/>
      <c r="P193" s="22"/>
      <c r="R193" s="16"/>
      <c r="T193" s="16"/>
      <c r="V193" s="16"/>
    </row>
    <row r="194" spans="1:22" ht="14.25" x14ac:dyDescent="0.15">
      <c r="A194" s="25"/>
      <c r="D194" s="23"/>
      <c r="M194" s="38"/>
      <c r="N194" s="38"/>
      <c r="O194" s="41"/>
      <c r="P194" s="23"/>
    </row>
    <row r="195" spans="1:22" s="38" customFormat="1" ht="14.25" x14ac:dyDescent="0.15">
      <c r="A195" s="30"/>
      <c r="B195" s="16"/>
      <c r="D195" s="22"/>
      <c r="F195" s="16"/>
      <c r="H195" s="16"/>
      <c r="I195" s="16"/>
      <c r="O195" s="41"/>
      <c r="P195" s="22"/>
      <c r="R195" s="16"/>
      <c r="T195" s="16"/>
      <c r="V195" s="16"/>
    </row>
    <row r="196" spans="1:22" ht="14.25" x14ac:dyDescent="0.15">
      <c r="A196" s="25"/>
      <c r="D196" s="23"/>
      <c r="O196" s="40"/>
      <c r="P196" s="23"/>
    </row>
    <row r="197" spans="1:22" s="38" customFormat="1" ht="14.25" x14ac:dyDescent="0.15">
      <c r="A197" s="30"/>
      <c r="B197" s="16"/>
      <c r="D197" s="22"/>
      <c r="F197" s="16"/>
      <c r="H197" s="16"/>
      <c r="I197" s="16"/>
      <c r="O197" s="41"/>
      <c r="P197" s="22"/>
      <c r="R197" s="16"/>
      <c r="T197" s="16"/>
      <c r="V197" s="16"/>
    </row>
    <row r="198" spans="1:22" ht="14.25" x14ac:dyDescent="0.15">
      <c r="A198" s="25"/>
      <c r="D198" s="23"/>
      <c r="O198" s="40"/>
      <c r="P198" s="23"/>
    </row>
    <row r="199" spans="1:22" s="38" customFormat="1" ht="14.25" x14ac:dyDescent="0.15">
      <c r="A199" s="30"/>
      <c r="B199" s="16"/>
      <c r="D199" s="22"/>
      <c r="F199" s="16"/>
      <c r="H199" s="16"/>
      <c r="I199" s="16"/>
      <c r="O199" s="41"/>
      <c r="P199" s="22"/>
      <c r="R199" s="16"/>
      <c r="T199" s="16"/>
      <c r="V199" s="16"/>
    </row>
    <row r="200" spans="1:22" ht="14.25" x14ac:dyDescent="0.15">
      <c r="A200" s="25"/>
      <c r="D200" s="23"/>
      <c r="O200" s="40"/>
      <c r="P200" s="23"/>
    </row>
    <row r="201" spans="1:22" s="38" customFormat="1" ht="14.25" x14ac:dyDescent="0.15">
      <c r="A201" s="30"/>
      <c r="B201" s="16"/>
      <c r="D201" s="22"/>
      <c r="F201" s="16"/>
      <c r="H201" s="16"/>
      <c r="I201" s="16"/>
      <c r="O201" s="41"/>
      <c r="P201" s="22"/>
      <c r="R201" s="16"/>
      <c r="T201" s="16"/>
      <c r="V201" s="16"/>
    </row>
    <row r="202" spans="1:22" ht="14.25" x14ac:dyDescent="0.15">
      <c r="A202" s="25"/>
      <c r="D202" s="23"/>
      <c r="O202" s="40"/>
      <c r="P202" s="23"/>
    </row>
    <row r="203" spans="1:22" s="38" customFormat="1" ht="14.25" x14ac:dyDescent="0.15">
      <c r="A203" s="30"/>
      <c r="B203" s="16"/>
      <c r="D203" s="22"/>
      <c r="F203" s="16"/>
      <c r="H203" s="16"/>
      <c r="I203" s="16"/>
      <c r="O203" s="41"/>
      <c r="P203" s="22"/>
      <c r="R203" s="16"/>
      <c r="T203" s="16"/>
      <c r="V203" s="16"/>
    </row>
    <row r="204" spans="1:22" ht="14.25" x14ac:dyDescent="0.15">
      <c r="A204" s="25"/>
      <c r="D204" s="23"/>
      <c r="O204" s="40"/>
      <c r="P204" s="23"/>
    </row>
    <row r="205" spans="1:22" ht="14.25" x14ac:dyDescent="0.15">
      <c r="A205" s="25"/>
      <c r="D205" s="23"/>
      <c r="O205" s="40"/>
      <c r="P205" s="23"/>
    </row>
    <row r="206" spans="1:22" ht="14.25" x14ac:dyDescent="0.15">
      <c r="A206" s="25"/>
      <c r="D206" s="23"/>
      <c r="O206" s="40"/>
      <c r="P206" s="23"/>
    </row>
    <row r="207" spans="1:22" ht="14.25" x14ac:dyDescent="0.15">
      <c r="A207" s="25"/>
      <c r="D207" s="23"/>
      <c r="O207" s="40"/>
      <c r="P207" s="23"/>
    </row>
    <row r="208" spans="1:22" ht="14.25" x14ac:dyDescent="0.15">
      <c r="A208" s="25"/>
      <c r="D208" s="23"/>
      <c r="O208" s="40"/>
      <c r="P208" s="23"/>
    </row>
    <row r="209" spans="1:22" ht="14.25" x14ac:dyDescent="0.15">
      <c r="A209" s="25"/>
      <c r="D209" s="23"/>
      <c r="O209" s="40"/>
      <c r="P209" s="23"/>
    </row>
    <row r="210" spans="1:22" ht="14.25" x14ac:dyDescent="0.15">
      <c r="A210" s="25"/>
      <c r="D210" s="23"/>
      <c r="O210" s="40"/>
      <c r="P210" s="23"/>
    </row>
    <row r="211" spans="1:22" ht="14.25" x14ac:dyDescent="0.15">
      <c r="A211" s="25"/>
      <c r="D211" s="23"/>
      <c r="O211" s="40"/>
      <c r="P211" s="23"/>
    </row>
    <row r="212" spans="1:22" ht="14.25" x14ac:dyDescent="0.15">
      <c r="A212" s="25"/>
      <c r="D212" s="23"/>
      <c r="O212" s="40"/>
      <c r="P212" s="23"/>
    </row>
    <row r="213" spans="1:22" ht="14.25" x14ac:dyDescent="0.15">
      <c r="A213" s="25"/>
      <c r="D213" s="23"/>
      <c r="O213" s="40"/>
      <c r="P213" s="23"/>
    </row>
    <row r="214" spans="1:22" s="38" customFormat="1" ht="14.25" x14ac:dyDescent="0.15">
      <c r="A214" s="30"/>
      <c r="B214" s="16"/>
      <c r="D214" s="22"/>
      <c r="F214" s="16"/>
      <c r="G214" s="16"/>
      <c r="H214" s="16"/>
      <c r="I214" s="16"/>
      <c r="O214" s="41"/>
      <c r="P214" s="22"/>
      <c r="R214" s="16"/>
      <c r="T214" s="16"/>
      <c r="V214" s="16"/>
    </row>
    <row r="215" spans="1:22" ht="14.25" x14ac:dyDescent="0.15">
      <c r="A215" s="25"/>
      <c r="D215" s="23"/>
      <c r="G215" s="38"/>
      <c r="O215" s="40"/>
      <c r="P215" s="23"/>
    </row>
    <row r="216" spans="1:22" s="38" customFormat="1" ht="14.25" x14ac:dyDescent="0.15">
      <c r="A216" s="30"/>
      <c r="B216" s="16"/>
      <c r="D216" s="22"/>
      <c r="F216" s="16"/>
      <c r="G216" s="16"/>
      <c r="H216" s="16"/>
      <c r="I216" s="16"/>
      <c r="O216" s="41"/>
      <c r="P216" s="22"/>
      <c r="R216" s="16"/>
      <c r="T216" s="16"/>
      <c r="V216" s="16"/>
    </row>
    <row r="217" spans="1:22" ht="14.25" x14ac:dyDescent="0.15">
      <c r="A217" s="25"/>
      <c r="D217" s="23"/>
      <c r="G217" s="38"/>
      <c r="O217" s="40"/>
      <c r="P217" s="23"/>
    </row>
    <row r="218" spans="1:22" s="38" customFormat="1" ht="14.25" x14ac:dyDescent="0.15">
      <c r="A218" s="30"/>
      <c r="B218" s="16"/>
      <c r="D218" s="22"/>
      <c r="F218" s="16"/>
      <c r="G218" s="16"/>
      <c r="H218" s="16"/>
      <c r="I218" s="16"/>
      <c r="O218" s="41"/>
      <c r="P218" s="22"/>
      <c r="R218" s="16"/>
      <c r="T218" s="16"/>
      <c r="V218" s="16"/>
    </row>
    <row r="219" spans="1:22" ht="14.25" x14ac:dyDescent="0.15">
      <c r="A219" s="25"/>
      <c r="D219" s="23"/>
      <c r="G219" s="38"/>
      <c r="O219" s="40"/>
      <c r="P219" s="23"/>
    </row>
    <row r="220" spans="1:22" s="38" customFormat="1" ht="14.25" x14ac:dyDescent="0.15">
      <c r="A220" s="30"/>
      <c r="B220" s="16"/>
      <c r="D220" s="22"/>
      <c r="F220" s="16"/>
      <c r="G220" s="16"/>
      <c r="H220" s="16"/>
      <c r="I220" s="16"/>
      <c r="O220" s="41"/>
      <c r="P220" s="22"/>
      <c r="R220" s="16"/>
      <c r="T220" s="16"/>
      <c r="V220" s="16"/>
    </row>
    <row r="221" spans="1:22" ht="14.25" x14ac:dyDescent="0.15">
      <c r="A221" s="25"/>
      <c r="D221" s="23"/>
      <c r="G221" s="38"/>
      <c r="O221" s="40"/>
      <c r="P221" s="23"/>
    </row>
    <row r="222" spans="1:22" s="38" customFormat="1" ht="14.25" x14ac:dyDescent="0.15">
      <c r="A222" s="30"/>
      <c r="B222" s="16"/>
      <c r="D222" s="22"/>
      <c r="F222" s="16"/>
      <c r="G222" s="16"/>
      <c r="H222" s="16"/>
      <c r="I222" s="16"/>
      <c r="O222" s="41"/>
      <c r="P222" s="22"/>
      <c r="R222" s="16"/>
      <c r="T222" s="16"/>
      <c r="V222" s="16"/>
    </row>
    <row r="223" spans="1:22" ht="14.25" x14ac:dyDescent="0.15">
      <c r="A223" s="25"/>
      <c r="D223" s="23"/>
      <c r="G223" s="38"/>
      <c r="O223" s="40"/>
      <c r="P223" s="23"/>
    </row>
    <row r="224" spans="1:22" s="38" customFormat="1" ht="14.25" x14ac:dyDescent="0.15">
      <c r="A224" s="30"/>
      <c r="B224" s="16"/>
      <c r="D224" s="22"/>
      <c r="F224" s="16"/>
      <c r="G224" s="16"/>
      <c r="H224" s="16"/>
      <c r="I224" s="16"/>
      <c r="O224" s="41"/>
      <c r="P224" s="22"/>
      <c r="R224" s="16"/>
      <c r="T224" s="16"/>
      <c r="V224" s="16"/>
    </row>
    <row r="225" spans="1:22" ht="14.25" x14ac:dyDescent="0.15">
      <c r="A225" s="25"/>
      <c r="D225" s="23"/>
      <c r="G225" s="38"/>
      <c r="O225" s="40"/>
      <c r="P225" s="23"/>
    </row>
    <row r="226" spans="1:22" s="38" customFormat="1" ht="14.25" x14ac:dyDescent="0.15">
      <c r="A226" s="30"/>
      <c r="B226" s="16"/>
      <c r="D226" s="22"/>
      <c r="F226" s="16"/>
      <c r="G226" s="16"/>
      <c r="H226" s="16"/>
      <c r="I226" s="16"/>
      <c r="O226" s="41"/>
      <c r="P226" s="22"/>
      <c r="R226" s="16"/>
      <c r="T226" s="16"/>
      <c r="V226" s="16"/>
    </row>
    <row r="227" spans="1:22" ht="14.25" x14ac:dyDescent="0.15">
      <c r="A227" s="25"/>
      <c r="D227" s="23"/>
      <c r="G227" s="38"/>
      <c r="O227" s="40"/>
      <c r="P227" s="23"/>
    </row>
    <row r="228" spans="1:22" s="38" customFormat="1" ht="14.25" x14ac:dyDescent="0.15">
      <c r="A228" s="30"/>
      <c r="B228" s="16"/>
      <c r="D228" s="22"/>
      <c r="G228" s="16"/>
      <c r="H228" s="16"/>
      <c r="I228" s="16"/>
      <c r="O228" s="41"/>
      <c r="P228" s="22"/>
      <c r="R228" s="16"/>
      <c r="T228" s="16"/>
      <c r="V228" s="16"/>
    </row>
    <row r="229" spans="1:22" ht="14.25" x14ac:dyDescent="0.15">
      <c r="A229" s="25"/>
      <c r="D229" s="23"/>
      <c r="G229" s="38"/>
      <c r="O229" s="40"/>
      <c r="P229" s="23"/>
    </row>
    <row r="230" spans="1:22" s="38" customFormat="1" ht="14.25" x14ac:dyDescent="0.15">
      <c r="A230" s="30"/>
      <c r="B230" s="16"/>
      <c r="D230" s="22"/>
      <c r="G230" s="16"/>
      <c r="H230" s="16"/>
      <c r="I230" s="16"/>
      <c r="O230" s="41"/>
      <c r="P230" s="22"/>
      <c r="R230" s="16"/>
      <c r="T230" s="16"/>
      <c r="V230" s="16"/>
    </row>
    <row r="231" spans="1:22" ht="14.25" x14ac:dyDescent="0.15">
      <c r="A231" s="25"/>
      <c r="D231" s="23"/>
      <c r="G231" s="38"/>
      <c r="O231" s="40"/>
      <c r="P231" s="23"/>
    </row>
    <row r="232" spans="1:22" s="38" customFormat="1" ht="14.25" x14ac:dyDescent="0.15">
      <c r="A232" s="30"/>
      <c r="B232" s="16"/>
      <c r="D232" s="22"/>
      <c r="G232" s="16"/>
      <c r="H232" s="16"/>
      <c r="I232" s="16"/>
      <c r="O232" s="41"/>
      <c r="P232" s="22"/>
      <c r="R232" s="16"/>
      <c r="T232" s="16"/>
      <c r="V232" s="16"/>
    </row>
    <row r="233" spans="1:22" ht="14.25" x14ac:dyDescent="0.15">
      <c r="A233" s="25"/>
      <c r="D233" s="23"/>
      <c r="G233" s="38"/>
      <c r="O233" s="40"/>
      <c r="P233" s="23"/>
    </row>
    <row r="234" spans="1:22" s="38" customFormat="1" ht="14.25" x14ac:dyDescent="0.15">
      <c r="A234" s="30"/>
      <c r="B234" s="16"/>
      <c r="D234" s="22"/>
      <c r="G234" s="16"/>
      <c r="H234" s="16"/>
      <c r="I234" s="16"/>
      <c r="O234" s="41"/>
      <c r="P234" s="22"/>
      <c r="R234" s="16"/>
      <c r="T234" s="16"/>
      <c r="V234" s="16"/>
    </row>
    <row r="235" spans="1:22" ht="14.25" x14ac:dyDescent="0.15">
      <c r="A235" s="25"/>
      <c r="D235" s="23"/>
      <c r="G235" s="38"/>
      <c r="O235" s="40"/>
      <c r="P235" s="23"/>
    </row>
    <row r="236" spans="1:22" s="38" customFormat="1" ht="14.25" x14ac:dyDescent="0.15">
      <c r="A236" s="30"/>
      <c r="B236" s="16"/>
      <c r="D236" s="22"/>
      <c r="G236" s="16"/>
      <c r="H236" s="16"/>
      <c r="I236" s="16"/>
      <c r="O236" s="41"/>
      <c r="P236" s="22"/>
      <c r="R236" s="16"/>
      <c r="T236" s="16"/>
      <c r="V236" s="16"/>
    </row>
    <row r="237" spans="1:22" ht="14.25" x14ac:dyDescent="0.15">
      <c r="A237" s="25"/>
      <c r="D237" s="23"/>
      <c r="G237" s="38"/>
      <c r="O237" s="40"/>
      <c r="P237" s="23"/>
    </row>
    <row r="238" spans="1:22" s="38" customFormat="1" ht="14.25" x14ac:dyDescent="0.15">
      <c r="A238" s="30"/>
      <c r="B238" s="16"/>
      <c r="D238" s="22"/>
      <c r="G238" s="16"/>
      <c r="H238" s="16"/>
      <c r="I238" s="16"/>
      <c r="O238" s="41"/>
      <c r="P238" s="22"/>
      <c r="R238" s="16"/>
      <c r="T238" s="16"/>
      <c r="V238" s="16"/>
    </row>
    <row r="239" spans="1:22" ht="14.25" x14ac:dyDescent="0.15">
      <c r="A239" s="25"/>
      <c r="D239" s="23"/>
      <c r="G239" s="38"/>
      <c r="O239" s="40"/>
      <c r="P239" s="23"/>
    </row>
    <row r="240" spans="1:22" s="38" customFormat="1" ht="14.25" x14ac:dyDescent="0.15">
      <c r="A240" s="30"/>
      <c r="B240" s="16"/>
      <c r="D240" s="22"/>
      <c r="G240" s="16"/>
      <c r="H240" s="16"/>
      <c r="I240" s="16"/>
      <c r="O240" s="41"/>
      <c r="P240" s="22"/>
      <c r="R240" s="16"/>
      <c r="T240" s="16"/>
      <c r="V240" s="16"/>
    </row>
    <row r="241" spans="1:22" ht="14.25" x14ac:dyDescent="0.15">
      <c r="A241" s="25"/>
      <c r="D241" s="23"/>
      <c r="G241" s="38"/>
      <c r="O241" s="40"/>
      <c r="P241" s="23"/>
    </row>
    <row r="242" spans="1:22" s="38" customFormat="1" ht="14.25" x14ac:dyDescent="0.15">
      <c r="A242" s="30"/>
      <c r="B242" s="16"/>
      <c r="D242" s="22"/>
      <c r="G242" s="16"/>
      <c r="H242" s="16"/>
      <c r="I242" s="16"/>
      <c r="O242" s="41"/>
      <c r="P242" s="22"/>
      <c r="R242" s="16"/>
      <c r="T242" s="16"/>
      <c r="V242" s="16"/>
    </row>
    <row r="243" spans="1:22" ht="14.25" x14ac:dyDescent="0.15">
      <c r="A243" s="25"/>
      <c r="D243" s="23"/>
      <c r="G243" s="38"/>
      <c r="O243" s="40"/>
      <c r="P243" s="23"/>
    </row>
    <row r="244" spans="1:22" s="38" customFormat="1" ht="14.25" x14ac:dyDescent="0.15">
      <c r="A244" s="30"/>
      <c r="B244" s="16"/>
      <c r="D244" s="22"/>
      <c r="G244" s="16"/>
      <c r="H244" s="16"/>
      <c r="I244" s="16"/>
      <c r="O244" s="41"/>
      <c r="P244" s="22"/>
      <c r="R244" s="16"/>
      <c r="T244" s="16"/>
      <c r="V244" s="16"/>
    </row>
    <row r="245" spans="1:22" ht="14.25" x14ac:dyDescent="0.15">
      <c r="A245" s="25"/>
      <c r="D245" s="23"/>
      <c r="G245" s="38"/>
      <c r="O245" s="40"/>
      <c r="P245" s="23"/>
    </row>
    <row r="246" spans="1:22" s="38" customFormat="1" ht="14.25" x14ac:dyDescent="0.15">
      <c r="A246" s="30"/>
      <c r="B246" s="16"/>
      <c r="D246" s="22"/>
      <c r="G246" s="16"/>
      <c r="H246" s="16"/>
      <c r="I246" s="16"/>
      <c r="O246" s="41"/>
      <c r="P246" s="22"/>
      <c r="R246" s="16"/>
      <c r="T246" s="16"/>
      <c r="V246" s="16"/>
    </row>
    <row r="247" spans="1:22" ht="14.25" x14ac:dyDescent="0.15">
      <c r="A247" s="25"/>
      <c r="D247" s="23"/>
      <c r="G247" s="38"/>
      <c r="O247" s="40"/>
      <c r="P247" s="23"/>
    </row>
    <row r="248" spans="1:22" s="38" customFormat="1" ht="14.25" x14ac:dyDescent="0.15">
      <c r="A248" s="30"/>
      <c r="B248" s="16"/>
      <c r="D248" s="22"/>
      <c r="G248" s="16"/>
      <c r="H248" s="16"/>
      <c r="I248" s="16"/>
      <c r="O248" s="41"/>
      <c r="P248" s="22"/>
      <c r="R248" s="16"/>
      <c r="T248" s="16"/>
      <c r="V248" s="16"/>
    </row>
    <row r="249" spans="1:22" ht="14.25" x14ac:dyDescent="0.15">
      <c r="A249" s="25"/>
      <c r="D249" s="23"/>
      <c r="G249" s="38"/>
      <c r="O249" s="40"/>
      <c r="P249" s="23"/>
    </row>
    <row r="250" spans="1:22" s="38" customFormat="1" ht="14.25" x14ac:dyDescent="0.15">
      <c r="A250" s="30"/>
      <c r="B250" s="16"/>
      <c r="D250" s="22"/>
      <c r="G250" s="16"/>
      <c r="H250" s="16"/>
      <c r="I250" s="16"/>
      <c r="O250" s="41"/>
      <c r="P250" s="22"/>
      <c r="R250" s="16"/>
      <c r="T250" s="16"/>
      <c r="V250" s="16"/>
    </row>
    <row r="251" spans="1:22" ht="14.25" x14ac:dyDescent="0.15">
      <c r="A251" s="25"/>
      <c r="D251" s="23"/>
      <c r="G251" s="38"/>
      <c r="O251" s="40"/>
      <c r="P251" s="23"/>
    </row>
    <row r="252" spans="1:22" s="38" customFormat="1" ht="14.25" x14ac:dyDescent="0.15">
      <c r="A252" s="30"/>
      <c r="B252" s="16"/>
      <c r="D252" s="22"/>
      <c r="G252" s="16"/>
      <c r="H252" s="16"/>
      <c r="I252" s="16"/>
      <c r="O252" s="41"/>
      <c r="P252" s="22"/>
      <c r="R252" s="16"/>
      <c r="T252" s="16"/>
      <c r="V252" s="16"/>
    </row>
    <row r="253" spans="1:22" ht="14.25" x14ac:dyDescent="0.15">
      <c r="A253" s="25"/>
      <c r="D253" s="23"/>
      <c r="G253" s="38"/>
      <c r="O253" s="40"/>
      <c r="P253" s="23"/>
    </row>
    <row r="254" spans="1:22" s="38" customFormat="1" ht="14.25" x14ac:dyDescent="0.15">
      <c r="A254" s="30"/>
      <c r="B254" s="16"/>
      <c r="D254" s="22"/>
      <c r="G254" s="16"/>
      <c r="H254" s="16"/>
      <c r="I254" s="16"/>
      <c r="O254" s="41"/>
      <c r="P254" s="22"/>
      <c r="R254" s="16"/>
      <c r="T254" s="16"/>
      <c r="V254" s="16"/>
    </row>
    <row r="255" spans="1:22" ht="14.25" x14ac:dyDescent="0.15">
      <c r="A255" s="30"/>
      <c r="D255" s="23"/>
      <c r="G255" s="38"/>
      <c r="O255" s="40"/>
      <c r="P255" s="23"/>
    </row>
    <row r="256" spans="1:22" ht="14.25" x14ac:dyDescent="0.15">
      <c r="A256" s="30"/>
      <c r="E256" s="38"/>
      <c r="L256" s="38"/>
      <c r="O256" s="41"/>
      <c r="Q256" s="38"/>
    </row>
    <row r="257" spans="1:17" ht="14.25" x14ac:dyDescent="0.15">
      <c r="A257" s="30"/>
      <c r="G257" s="38"/>
      <c r="O257" s="40"/>
    </row>
    <row r="258" spans="1:17" ht="14.25" x14ac:dyDescent="0.15">
      <c r="A258" s="30"/>
      <c r="E258" s="38"/>
      <c r="L258" s="38"/>
      <c r="O258" s="41"/>
      <c r="Q258" s="38"/>
    </row>
    <row r="259" spans="1:17" ht="14.25" x14ac:dyDescent="0.15">
      <c r="A259" s="30"/>
      <c r="G259" s="38"/>
      <c r="O259" s="40"/>
    </row>
    <row r="260" spans="1:17" ht="14.25" x14ac:dyDescent="0.15">
      <c r="A260" s="30"/>
      <c r="E260" s="38"/>
      <c r="L260" s="38"/>
      <c r="O260" s="41"/>
      <c r="Q260" s="38"/>
    </row>
    <row r="261" spans="1:17" ht="14.25" x14ac:dyDescent="0.15">
      <c r="A261" s="30"/>
      <c r="G261" s="38"/>
      <c r="O261" s="40"/>
    </row>
    <row r="262" spans="1:17" ht="14.25" x14ac:dyDescent="0.15">
      <c r="A262" s="30"/>
      <c r="E262" s="38"/>
      <c r="L262" s="38"/>
      <c r="O262" s="41"/>
      <c r="Q262" s="38"/>
    </row>
    <row r="263" spans="1:17" ht="14.25" x14ac:dyDescent="0.15">
      <c r="A263" s="30"/>
      <c r="G263" s="38"/>
      <c r="O263" s="40"/>
    </row>
    <row r="264" spans="1:17" ht="14.25" x14ac:dyDescent="0.15">
      <c r="A264" s="30"/>
      <c r="E264" s="38"/>
      <c r="L264" s="38"/>
      <c r="O264" s="41"/>
      <c r="Q264" s="38"/>
    </row>
    <row r="265" spans="1:17" ht="14.25" x14ac:dyDescent="0.15">
      <c r="A265" s="30"/>
      <c r="G265" s="38"/>
      <c r="O265" s="40"/>
    </row>
    <row r="266" spans="1:17" ht="14.25" x14ac:dyDescent="0.15">
      <c r="A266" s="30"/>
      <c r="E266" s="38"/>
      <c r="L266" s="38"/>
      <c r="O266" s="41"/>
      <c r="Q266" s="38"/>
    </row>
    <row r="267" spans="1:17" ht="14.25" x14ac:dyDescent="0.15">
      <c r="A267" s="30"/>
      <c r="G267" s="38"/>
      <c r="O267" s="40"/>
    </row>
    <row r="268" spans="1:17" ht="14.25" x14ac:dyDescent="0.15">
      <c r="A268" s="30"/>
      <c r="E268" s="38"/>
      <c r="L268" s="38"/>
      <c r="O268" s="40"/>
      <c r="Q268" s="38"/>
    </row>
    <row r="269" spans="1:17" x14ac:dyDescent="0.15">
      <c r="D269" s="23"/>
    </row>
    <row r="270" spans="1:17" x14ac:dyDescent="0.15">
      <c r="D270" s="22"/>
      <c r="Q270" s="38"/>
    </row>
    <row r="271" spans="1:17" x14ac:dyDescent="0.15">
      <c r="D271" s="23"/>
    </row>
    <row r="272" spans="1:17" x14ac:dyDescent="0.15">
      <c r="D272" s="22"/>
      <c r="Q272" s="38"/>
    </row>
    <row r="273" spans="4:17" x14ac:dyDescent="0.15">
      <c r="D273" s="23"/>
    </row>
    <row r="274" spans="4:17" x14ac:dyDescent="0.15">
      <c r="D274" s="22"/>
      <c r="Q274" s="38"/>
    </row>
    <row r="275" spans="4:17" x14ac:dyDescent="0.15">
      <c r="D275" s="23"/>
    </row>
    <row r="276" spans="4:17" x14ac:dyDescent="0.15">
      <c r="D276" s="22"/>
      <c r="Q276" s="38"/>
    </row>
    <row r="277" spans="4:17" x14ac:dyDescent="0.15">
      <c r="D277" s="23"/>
    </row>
    <row r="278" spans="4:17" x14ac:dyDescent="0.15">
      <c r="D278" s="22"/>
      <c r="Q278" s="38"/>
    </row>
    <row r="279" spans="4:17" x14ac:dyDescent="0.15">
      <c r="D279" s="23"/>
    </row>
    <row r="280" spans="4:17" x14ac:dyDescent="0.15">
      <c r="D280" s="22"/>
      <c r="Q280" s="38"/>
    </row>
    <row r="281" spans="4:17" x14ac:dyDescent="0.15">
      <c r="D281" s="23"/>
    </row>
    <row r="282" spans="4:17" x14ac:dyDescent="0.15">
      <c r="D282" s="22"/>
      <c r="Q282" s="38"/>
    </row>
    <row r="283" spans="4:17" x14ac:dyDescent="0.15">
      <c r="D283" s="23"/>
    </row>
    <row r="284" spans="4:17" x14ac:dyDescent="0.15">
      <c r="D284" s="22"/>
      <c r="Q284" s="38"/>
    </row>
    <row r="285" spans="4:17" x14ac:dyDescent="0.15">
      <c r="D285" s="23"/>
    </row>
    <row r="286" spans="4:17" x14ac:dyDescent="0.15">
      <c r="D286" s="22"/>
      <c r="Q286" s="38"/>
    </row>
    <row r="287" spans="4:17" x14ac:dyDescent="0.15">
      <c r="D287" s="23"/>
    </row>
    <row r="288" spans="4:17" x14ac:dyDescent="0.15">
      <c r="D288" s="22"/>
      <c r="Q288" s="38"/>
    </row>
    <row r="289" spans="4:17" x14ac:dyDescent="0.15">
      <c r="D289" s="23"/>
    </row>
    <row r="290" spans="4:17" x14ac:dyDescent="0.15">
      <c r="D290" s="22"/>
      <c r="Q290" s="38"/>
    </row>
    <row r="291" spans="4:17" x14ac:dyDescent="0.15">
      <c r="D291" s="23"/>
    </row>
    <row r="292" spans="4:17" x14ac:dyDescent="0.15">
      <c r="D292" s="22"/>
      <c r="Q292" s="38"/>
    </row>
    <row r="293" spans="4:17" x14ac:dyDescent="0.15">
      <c r="D293" s="23"/>
    </row>
    <row r="294" spans="4:17" x14ac:dyDescent="0.15">
      <c r="D294" s="22"/>
      <c r="Q294" s="38"/>
    </row>
    <row r="295" spans="4:17" x14ac:dyDescent="0.15">
      <c r="D295" s="23"/>
    </row>
    <row r="296" spans="4:17" x14ac:dyDescent="0.15">
      <c r="D296" s="22"/>
      <c r="Q296" s="38"/>
    </row>
    <row r="297" spans="4:17" x14ac:dyDescent="0.15">
      <c r="D297" s="23"/>
    </row>
    <row r="298" spans="4:17" x14ac:dyDescent="0.15">
      <c r="D298" s="22"/>
      <c r="Q298" s="38"/>
    </row>
    <row r="299" spans="4:17" x14ac:dyDescent="0.15">
      <c r="D299" s="23"/>
    </row>
    <row r="300" spans="4:17" x14ac:dyDescent="0.15">
      <c r="D300" s="22"/>
      <c r="Q300" s="38"/>
    </row>
    <row r="301" spans="4:17" x14ac:dyDescent="0.15">
      <c r="D301" s="23"/>
    </row>
    <row r="302" spans="4:17" x14ac:dyDescent="0.15">
      <c r="Q302" s="38"/>
    </row>
    <row r="304" spans="4:17" x14ac:dyDescent="0.15">
      <c r="Q304" s="38"/>
    </row>
    <row r="306" spans="17:17" x14ac:dyDescent="0.15">
      <c r="Q306" s="38"/>
    </row>
    <row r="308" spans="17:17" x14ac:dyDescent="0.15">
      <c r="Q308" s="38"/>
    </row>
    <row r="310" spans="17:17" x14ac:dyDescent="0.15">
      <c r="Q310" s="38"/>
    </row>
    <row r="312" spans="17:17" x14ac:dyDescent="0.15">
      <c r="Q312" s="38"/>
    </row>
    <row r="314" spans="17:17" x14ac:dyDescent="0.15">
      <c r="Q314" s="38"/>
    </row>
    <row r="316" spans="17:17" x14ac:dyDescent="0.15">
      <c r="Q316" s="38"/>
    </row>
    <row r="318" spans="17:17" x14ac:dyDescent="0.15">
      <c r="Q318" s="38"/>
    </row>
    <row r="320" spans="17:17" x14ac:dyDescent="0.15">
      <c r="Q320" s="38"/>
    </row>
    <row r="322" spans="17:17" x14ac:dyDescent="0.15">
      <c r="Q322" s="38"/>
    </row>
    <row r="324" spans="17:17" x14ac:dyDescent="0.15">
      <c r="Q324" s="38"/>
    </row>
    <row r="326" spans="17:17" x14ac:dyDescent="0.15">
      <c r="Q326" s="38"/>
    </row>
    <row r="328" spans="17:17" x14ac:dyDescent="0.15">
      <c r="Q328" s="38"/>
    </row>
    <row r="330" spans="17:17" x14ac:dyDescent="0.15">
      <c r="Q330" s="38"/>
    </row>
    <row r="332" spans="17:17" x14ac:dyDescent="0.15">
      <c r="Q332" s="38"/>
    </row>
    <row r="334" spans="17:17" x14ac:dyDescent="0.15">
      <c r="Q334" s="38"/>
    </row>
    <row r="336" spans="17:17" x14ac:dyDescent="0.15">
      <c r="Q336" s="38"/>
    </row>
    <row r="338" spans="17:17" x14ac:dyDescent="0.15">
      <c r="Q338" s="38"/>
    </row>
    <row r="340" spans="17:17" x14ac:dyDescent="0.15">
      <c r="Q340" s="38"/>
    </row>
    <row r="342" spans="17:17" x14ac:dyDescent="0.15">
      <c r="Q342" s="38"/>
    </row>
    <row r="344" spans="17:17" x14ac:dyDescent="0.15">
      <c r="Q344" s="38"/>
    </row>
    <row r="346" spans="17:17" x14ac:dyDescent="0.15">
      <c r="Q346" s="38"/>
    </row>
    <row r="348" spans="17:17" x14ac:dyDescent="0.15">
      <c r="Q348" s="38"/>
    </row>
    <row r="350" spans="17:17" x14ac:dyDescent="0.15">
      <c r="Q350" s="38"/>
    </row>
    <row r="352" spans="17:17" x14ac:dyDescent="0.15">
      <c r="Q352" s="38"/>
    </row>
    <row r="354" spans="17:17" x14ac:dyDescent="0.15">
      <c r="Q354" s="38"/>
    </row>
    <row r="356" spans="17:17" x14ac:dyDescent="0.15">
      <c r="Q356" s="38"/>
    </row>
    <row r="358" spans="17:17" x14ac:dyDescent="0.15">
      <c r="Q358" s="38"/>
    </row>
    <row r="360" spans="17:17" x14ac:dyDescent="0.15">
      <c r="Q360" s="38"/>
    </row>
    <row r="362" spans="17:17" x14ac:dyDescent="0.15">
      <c r="Q362" s="38"/>
    </row>
    <row r="364" spans="17:17" x14ac:dyDescent="0.15">
      <c r="Q364" s="38"/>
    </row>
    <row r="366" spans="17:17" x14ac:dyDescent="0.15">
      <c r="Q366" s="38"/>
    </row>
    <row r="368" spans="17:17" x14ac:dyDescent="0.15">
      <c r="Q368" s="38"/>
    </row>
    <row r="370" spans="17:17" x14ac:dyDescent="0.15">
      <c r="Q370" s="38"/>
    </row>
    <row r="372" spans="17:17" x14ac:dyDescent="0.15">
      <c r="Q372" s="38"/>
    </row>
    <row r="374" spans="17:17" x14ac:dyDescent="0.15">
      <c r="Q374" s="38"/>
    </row>
    <row r="376" spans="17:17" x14ac:dyDescent="0.15">
      <c r="Q376" s="38"/>
    </row>
    <row r="378" spans="17:17" x14ac:dyDescent="0.15">
      <c r="Q378" s="38"/>
    </row>
    <row r="380" spans="17:17" x14ac:dyDescent="0.15">
      <c r="Q380" s="38"/>
    </row>
    <row r="382" spans="17:17" x14ac:dyDescent="0.15">
      <c r="Q382" s="38"/>
    </row>
    <row r="384" spans="17:17" x14ac:dyDescent="0.15">
      <c r="Q384" s="38"/>
    </row>
    <row r="386" spans="17:17" x14ac:dyDescent="0.15">
      <c r="Q386" s="38"/>
    </row>
    <row r="388" spans="17:17" x14ac:dyDescent="0.15">
      <c r="Q388" s="38"/>
    </row>
    <row r="390" spans="17:17" x14ac:dyDescent="0.15">
      <c r="Q390" s="38"/>
    </row>
    <row r="392" spans="17:17" x14ac:dyDescent="0.15">
      <c r="Q392" s="38"/>
    </row>
    <row r="394" spans="17:17" x14ac:dyDescent="0.15">
      <c r="Q394" s="38"/>
    </row>
    <row r="396" spans="17:17" x14ac:dyDescent="0.15">
      <c r="Q396" s="38"/>
    </row>
    <row r="398" spans="17:17" x14ac:dyDescent="0.15">
      <c r="Q398" s="38"/>
    </row>
    <row r="400" spans="17:17" x14ac:dyDescent="0.15">
      <c r="Q400" s="38"/>
    </row>
    <row r="402" spans="17:17" x14ac:dyDescent="0.15">
      <c r="Q402" s="38"/>
    </row>
    <row r="404" spans="17:17" x14ac:dyDescent="0.15">
      <c r="Q404" s="38"/>
    </row>
    <row r="406" spans="17:17" x14ac:dyDescent="0.15">
      <c r="Q406" s="38"/>
    </row>
    <row r="408" spans="17:17" x14ac:dyDescent="0.15">
      <c r="Q408" s="38"/>
    </row>
    <row r="410" spans="17:17" x14ac:dyDescent="0.15">
      <c r="Q410" s="38"/>
    </row>
    <row r="412" spans="17:17" x14ac:dyDescent="0.15">
      <c r="Q412" s="38"/>
    </row>
    <row r="414" spans="17:17" x14ac:dyDescent="0.15">
      <c r="Q414" s="38"/>
    </row>
    <row r="416" spans="17:17" x14ac:dyDescent="0.15">
      <c r="Q416" s="38"/>
    </row>
    <row r="418" spans="17:17" x14ac:dyDescent="0.15">
      <c r="Q418" s="38"/>
    </row>
    <row r="420" spans="17:17" x14ac:dyDescent="0.15">
      <c r="Q420" s="38"/>
    </row>
    <row r="422" spans="17:17" x14ac:dyDescent="0.15">
      <c r="Q422" s="38"/>
    </row>
    <row r="424" spans="17:17" x14ac:dyDescent="0.15">
      <c r="Q424" s="38"/>
    </row>
    <row r="426" spans="17:17" x14ac:dyDescent="0.15">
      <c r="Q426" s="38"/>
    </row>
    <row r="428" spans="17:17" x14ac:dyDescent="0.15">
      <c r="Q428" s="38"/>
    </row>
    <row r="430" spans="17:17" x14ac:dyDescent="0.15">
      <c r="Q430" s="38"/>
    </row>
    <row r="432" spans="17:17" x14ac:dyDescent="0.15">
      <c r="Q432" s="38"/>
    </row>
    <row r="434" spans="17:17" x14ac:dyDescent="0.15">
      <c r="Q434" s="38"/>
    </row>
    <row r="436" spans="17:17" x14ac:dyDescent="0.15">
      <c r="Q436" s="38"/>
    </row>
    <row r="438" spans="17:17" x14ac:dyDescent="0.15">
      <c r="Q438" s="38"/>
    </row>
    <row r="440" spans="17:17" x14ac:dyDescent="0.15">
      <c r="Q440" s="38"/>
    </row>
    <row r="442" spans="17:17" x14ac:dyDescent="0.15">
      <c r="Q442" s="38"/>
    </row>
    <row r="444" spans="17:17" x14ac:dyDescent="0.15">
      <c r="Q444" s="38"/>
    </row>
    <row r="446" spans="17:17" x14ac:dyDescent="0.15">
      <c r="Q446" s="38"/>
    </row>
    <row r="448" spans="17:17" x14ac:dyDescent="0.15">
      <c r="Q448" s="38"/>
    </row>
    <row r="450" spans="17:17" x14ac:dyDescent="0.15">
      <c r="Q450" s="38"/>
    </row>
    <row r="452" spans="17:17" x14ac:dyDescent="0.15">
      <c r="Q452" s="38"/>
    </row>
    <row r="454" spans="17:17" x14ac:dyDescent="0.15">
      <c r="Q454" s="38"/>
    </row>
    <row r="456" spans="17:17" x14ac:dyDescent="0.15">
      <c r="Q456" s="38"/>
    </row>
    <row r="458" spans="17:17" x14ac:dyDescent="0.15">
      <c r="Q458" s="38"/>
    </row>
    <row r="460" spans="17:17" x14ac:dyDescent="0.15">
      <c r="Q460" s="38"/>
    </row>
    <row r="462" spans="17:17" x14ac:dyDescent="0.15">
      <c r="Q462" s="38"/>
    </row>
    <row r="464" spans="17:17" x14ac:dyDescent="0.15">
      <c r="Q464" s="38"/>
    </row>
    <row r="466" spans="17:17" x14ac:dyDescent="0.15">
      <c r="Q466" s="38"/>
    </row>
    <row r="468" spans="17:17" x14ac:dyDescent="0.15">
      <c r="Q468" s="38"/>
    </row>
    <row r="470" spans="17:17" x14ac:dyDescent="0.15">
      <c r="Q470" s="38"/>
    </row>
    <row r="472" spans="17:17" x14ac:dyDescent="0.15">
      <c r="Q472" s="38"/>
    </row>
    <row r="474" spans="17:17" x14ac:dyDescent="0.15">
      <c r="Q474" s="38"/>
    </row>
    <row r="476" spans="17:17" x14ac:dyDescent="0.15">
      <c r="Q476" s="38"/>
    </row>
    <row r="478" spans="17:17" x14ac:dyDescent="0.15">
      <c r="Q478" s="38"/>
    </row>
    <row r="480" spans="17:17" x14ac:dyDescent="0.15">
      <c r="Q480" s="38"/>
    </row>
    <row r="482" spans="17:17" x14ac:dyDescent="0.15">
      <c r="Q482" s="38"/>
    </row>
    <row r="484" spans="17:17" x14ac:dyDescent="0.15">
      <c r="Q484" s="38"/>
    </row>
    <row r="486" spans="17:17" x14ac:dyDescent="0.15">
      <c r="Q486" s="38"/>
    </row>
    <row r="488" spans="17:17" x14ac:dyDescent="0.15">
      <c r="Q488" s="38"/>
    </row>
    <row r="490" spans="17:17" x14ac:dyDescent="0.15">
      <c r="Q490" s="38"/>
    </row>
    <row r="492" spans="17:17" x14ac:dyDescent="0.15">
      <c r="Q492" s="38"/>
    </row>
    <row r="494" spans="17:17" x14ac:dyDescent="0.15">
      <c r="Q494" s="38"/>
    </row>
    <row r="496" spans="17:17" x14ac:dyDescent="0.15">
      <c r="Q496" s="38"/>
    </row>
    <row r="498" spans="17:17" x14ac:dyDescent="0.15">
      <c r="Q498" s="38"/>
    </row>
    <row r="500" spans="17:17" x14ac:dyDescent="0.15">
      <c r="Q500" s="38"/>
    </row>
    <row r="502" spans="17:17" x14ac:dyDescent="0.15">
      <c r="Q502" s="38"/>
    </row>
    <row r="504" spans="17:17" x14ac:dyDescent="0.15">
      <c r="Q504" s="38"/>
    </row>
    <row r="506" spans="17:17" x14ac:dyDescent="0.15">
      <c r="Q506" s="38"/>
    </row>
    <row r="508" spans="17:17" x14ac:dyDescent="0.15">
      <c r="Q508" s="38"/>
    </row>
    <row r="510" spans="17:17" x14ac:dyDescent="0.15">
      <c r="Q510" s="38"/>
    </row>
    <row r="512" spans="17:17" x14ac:dyDescent="0.15">
      <c r="Q512" s="38"/>
    </row>
    <row r="514" spans="17:17" x14ac:dyDescent="0.15">
      <c r="Q514" s="38"/>
    </row>
    <row r="516" spans="17:17" x14ac:dyDescent="0.15">
      <c r="Q516" s="38"/>
    </row>
    <row r="518" spans="17:17" x14ac:dyDescent="0.15">
      <c r="Q518" s="38"/>
    </row>
    <row r="520" spans="17:17" x14ac:dyDescent="0.15">
      <c r="Q520" s="38"/>
    </row>
    <row r="522" spans="17:17" x14ac:dyDescent="0.15">
      <c r="Q522" s="38"/>
    </row>
    <row r="524" spans="17:17" x14ac:dyDescent="0.15">
      <c r="Q524" s="38"/>
    </row>
    <row r="526" spans="17:17" x14ac:dyDescent="0.15">
      <c r="Q526" s="38"/>
    </row>
    <row r="528" spans="17:17" x14ac:dyDescent="0.15">
      <c r="Q528" s="38"/>
    </row>
    <row r="530" spans="17:17" x14ac:dyDescent="0.15">
      <c r="Q530" s="38"/>
    </row>
    <row r="532" spans="17:17" x14ac:dyDescent="0.15">
      <c r="Q532" s="38"/>
    </row>
    <row r="534" spans="17:17" x14ac:dyDescent="0.15">
      <c r="Q534" s="38"/>
    </row>
    <row r="536" spans="17:17" x14ac:dyDescent="0.15">
      <c r="Q536" s="38"/>
    </row>
    <row r="538" spans="17:17" x14ac:dyDescent="0.15">
      <c r="Q538" s="38"/>
    </row>
    <row r="540" spans="17:17" x14ac:dyDescent="0.15">
      <c r="Q540" s="38"/>
    </row>
    <row r="542" spans="17:17" x14ac:dyDescent="0.15">
      <c r="Q542" s="38"/>
    </row>
    <row r="544" spans="17:17" x14ac:dyDescent="0.15">
      <c r="Q544" s="38"/>
    </row>
    <row r="546" spans="17:17" x14ac:dyDescent="0.15">
      <c r="Q546" s="38"/>
    </row>
    <row r="548" spans="17:17" x14ac:dyDescent="0.15">
      <c r="Q548" s="38"/>
    </row>
    <row r="550" spans="17:17" x14ac:dyDescent="0.15">
      <c r="Q550" s="38"/>
    </row>
    <row r="552" spans="17:17" x14ac:dyDescent="0.15">
      <c r="Q552" s="38"/>
    </row>
    <row r="554" spans="17:17" x14ac:dyDescent="0.15">
      <c r="Q554" s="38"/>
    </row>
    <row r="556" spans="17:17" x14ac:dyDescent="0.15">
      <c r="Q556" s="38"/>
    </row>
    <row r="558" spans="17:17" x14ac:dyDescent="0.15">
      <c r="Q558" s="38"/>
    </row>
    <row r="560" spans="17:17" x14ac:dyDescent="0.15">
      <c r="Q560" s="38"/>
    </row>
    <row r="562" spans="17:17" x14ac:dyDescent="0.15">
      <c r="Q562" s="38"/>
    </row>
    <row r="564" spans="17:17" x14ac:dyDescent="0.15">
      <c r="Q564" s="38"/>
    </row>
    <row r="566" spans="17:17" x14ac:dyDescent="0.15">
      <c r="Q566" s="38"/>
    </row>
    <row r="568" spans="17:17" x14ac:dyDescent="0.15">
      <c r="Q568" s="38"/>
    </row>
    <row r="570" spans="17:17" x14ac:dyDescent="0.15">
      <c r="Q570" s="38"/>
    </row>
    <row r="572" spans="17:17" x14ac:dyDescent="0.15">
      <c r="Q572" s="38"/>
    </row>
    <row r="574" spans="17:17" x14ac:dyDescent="0.15">
      <c r="Q574" s="38"/>
    </row>
    <row r="576" spans="17:17" x14ac:dyDescent="0.15">
      <c r="Q576" s="38"/>
    </row>
    <row r="578" spans="17:17" x14ac:dyDescent="0.15">
      <c r="Q578" s="38"/>
    </row>
    <row r="580" spans="17:17" x14ac:dyDescent="0.15">
      <c r="Q580" s="38"/>
    </row>
    <row r="582" spans="17:17" x14ac:dyDescent="0.15">
      <c r="Q582" s="38"/>
    </row>
    <row r="584" spans="17:17" x14ac:dyDescent="0.15">
      <c r="Q584" s="38"/>
    </row>
    <row r="586" spans="17:17" x14ac:dyDescent="0.15">
      <c r="Q586" s="38"/>
    </row>
    <row r="588" spans="17:17" x14ac:dyDescent="0.15">
      <c r="Q588" s="38"/>
    </row>
    <row r="590" spans="17:17" x14ac:dyDescent="0.15">
      <c r="Q590" s="38"/>
    </row>
    <row r="592" spans="17:17" x14ac:dyDescent="0.15">
      <c r="Q592" s="38"/>
    </row>
    <row r="594" spans="17:17" x14ac:dyDescent="0.15">
      <c r="Q594" s="38"/>
    </row>
    <row r="596" spans="17:17" x14ac:dyDescent="0.15">
      <c r="Q596" s="38"/>
    </row>
    <row r="598" spans="17:17" x14ac:dyDescent="0.15">
      <c r="Q598" s="38"/>
    </row>
    <row r="600" spans="17:17" x14ac:dyDescent="0.15">
      <c r="Q600" s="38"/>
    </row>
    <row r="602" spans="17:17" x14ac:dyDescent="0.15">
      <c r="Q602" s="38"/>
    </row>
    <row r="604" spans="17:17" x14ac:dyDescent="0.15">
      <c r="Q604" s="38"/>
    </row>
    <row r="606" spans="17:17" x14ac:dyDescent="0.15">
      <c r="Q606" s="38"/>
    </row>
    <row r="608" spans="17:17" x14ac:dyDescent="0.15">
      <c r="Q608" s="38"/>
    </row>
    <row r="610" spans="17:17" x14ac:dyDescent="0.15">
      <c r="Q610" s="38"/>
    </row>
    <row r="612" spans="17:17" x14ac:dyDescent="0.15">
      <c r="Q612" s="38"/>
    </row>
    <row r="614" spans="17:17" x14ac:dyDescent="0.15">
      <c r="Q614" s="38"/>
    </row>
    <row r="616" spans="17:17" x14ac:dyDescent="0.15">
      <c r="Q616" s="38"/>
    </row>
    <row r="618" spans="17:17" x14ac:dyDescent="0.15">
      <c r="Q618" s="38"/>
    </row>
    <row r="620" spans="17:17" x14ac:dyDescent="0.15">
      <c r="Q620" s="38"/>
    </row>
    <row r="622" spans="17:17" x14ac:dyDescent="0.15">
      <c r="Q622" s="38"/>
    </row>
    <row r="624" spans="17:17" x14ac:dyDescent="0.15">
      <c r="Q624" s="38"/>
    </row>
    <row r="626" spans="17:17" x14ac:dyDescent="0.15">
      <c r="Q626" s="38"/>
    </row>
    <row r="628" spans="17:17" x14ac:dyDescent="0.15">
      <c r="Q628" s="38"/>
    </row>
    <row r="630" spans="17:17" x14ac:dyDescent="0.15">
      <c r="Q630" s="38"/>
    </row>
    <row r="632" spans="17:17" x14ac:dyDescent="0.15">
      <c r="Q632" s="38"/>
    </row>
    <row r="634" spans="17:17" x14ac:dyDescent="0.15">
      <c r="Q634" s="38"/>
    </row>
    <row r="636" spans="17:17" x14ac:dyDescent="0.15">
      <c r="Q636" s="38"/>
    </row>
    <row r="638" spans="17:17" x14ac:dyDescent="0.15">
      <c r="Q638" s="38"/>
    </row>
    <row r="640" spans="17:17" x14ac:dyDescent="0.15">
      <c r="Q640" s="38"/>
    </row>
    <row r="642" spans="17:17" x14ac:dyDescent="0.15">
      <c r="Q642" s="38"/>
    </row>
    <row r="644" spans="17:17" x14ac:dyDescent="0.15">
      <c r="Q644" s="38"/>
    </row>
    <row r="646" spans="17:17" x14ac:dyDescent="0.15">
      <c r="Q646" s="38"/>
    </row>
    <row r="648" spans="17:17" x14ac:dyDescent="0.15">
      <c r="Q648" s="38"/>
    </row>
    <row r="650" spans="17:17" x14ac:dyDescent="0.15">
      <c r="Q650" s="38"/>
    </row>
    <row r="652" spans="17:17" x14ac:dyDescent="0.15">
      <c r="Q652" s="38"/>
    </row>
    <row r="654" spans="17:17" x14ac:dyDescent="0.15">
      <c r="Q654" s="38"/>
    </row>
    <row r="656" spans="17:17" x14ac:dyDescent="0.15">
      <c r="Q656" s="38"/>
    </row>
    <row r="658" spans="17:17" x14ac:dyDescent="0.15">
      <c r="Q658" s="38"/>
    </row>
    <row r="660" spans="17:17" x14ac:dyDescent="0.15">
      <c r="Q660" s="38"/>
    </row>
    <row r="662" spans="17:17" x14ac:dyDescent="0.15">
      <c r="Q662" s="38"/>
    </row>
    <row r="664" spans="17:17" x14ac:dyDescent="0.15">
      <c r="Q664" s="38"/>
    </row>
    <row r="666" spans="17:17" x14ac:dyDescent="0.15">
      <c r="Q666" s="38"/>
    </row>
    <row r="668" spans="17:17" x14ac:dyDescent="0.15">
      <c r="Q668" s="38"/>
    </row>
    <row r="670" spans="17:17" x14ac:dyDescent="0.15">
      <c r="Q670" s="38"/>
    </row>
    <row r="672" spans="17:17" x14ac:dyDescent="0.15">
      <c r="Q672" s="38"/>
    </row>
    <row r="674" spans="17:17" x14ac:dyDescent="0.15">
      <c r="Q674" s="38"/>
    </row>
    <row r="676" spans="17:17" x14ac:dyDescent="0.15">
      <c r="Q676" s="38"/>
    </row>
    <row r="678" spans="17:17" x14ac:dyDescent="0.15">
      <c r="Q678" s="38"/>
    </row>
    <row r="680" spans="17:17" x14ac:dyDescent="0.15">
      <c r="Q680" s="38"/>
    </row>
    <row r="682" spans="17:17" x14ac:dyDescent="0.15">
      <c r="Q682" s="38"/>
    </row>
    <row r="684" spans="17:17" x14ac:dyDescent="0.15">
      <c r="Q684" s="38"/>
    </row>
    <row r="686" spans="17:17" x14ac:dyDescent="0.15">
      <c r="Q686" s="38"/>
    </row>
    <row r="688" spans="17:17" x14ac:dyDescent="0.15">
      <c r="Q688" s="38"/>
    </row>
    <row r="690" spans="17:17" x14ac:dyDescent="0.15">
      <c r="Q690" s="38"/>
    </row>
    <row r="692" spans="17:17" x14ac:dyDescent="0.15">
      <c r="Q692" s="38"/>
    </row>
    <row r="694" spans="17:17" x14ac:dyDescent="0.15">
      <c r="Q694" s="38"/>
    </row>
    <row r="696" spans="17:17" x14ac:dyDescent="0.15">
      <c r="Q696" s="38"/>
    </row>
    <row r="698" spans="17:17" x14ac:dyDescent="0.15">
      <c r="Q698" s="38"/>
    </row>
    <row r="700" spans="17:17" x14ac:dyDescent="0.15">
      <c r="Q700" s="38"/>
    </row>
    <row r="702" spans="17:17" x14ac:dyDescent="0.15">
      <c r="Q702" s="38"/>
    </row>
    <row r="704" spans="17:17" x14ac:dyDescent="0.15">
      <c r="Q704" s="38"/>
    </row>
    <row r="706" spans="17:17" x14ac:dyDescent="0.15">
      <c r="Q706" s="38"/>
    </row>
    <row r="708" spans="17:17" x14ac:dyDescent="0.15">
      <c r="Q708" s="38"/>
    </row>
    <row r="710" spans="17:17" x14ac:dyDescent="0.15">
      <c r="Q710" s="38"/>
    </row>
    <row r="712" spans="17:17" x14ac:dyDescent="0.15">
      <c r="Q712" s="38"/>
    </row>
    <row r="714" spans="17:17" x14ac:dyDescent="0.15">
      <c r="Q714" s="38"/>
    </row>
    <row r="716" spans="17:17" x14ac:dyDescent="0.15">
      <c r="Q716" s="38"/>
    </row>
    <row r="718" spans="17:17" x14ac:dyDescent="0.15">
      <c r="Q718" s="38"/>
    </row>
    <row r="720" spans="17:17" x14ac:dyDescent="0.15">
      <c r="Q720" s="38"/>
    </row>
    <row r="722" spans="17:17" x14ac:dyDescent="0.15">
      <c r="Q722" s="38"/>
    </row>
    <row r="724" spans="17:17" x14ac:dyDescent="0.15">
      <c r="Q724" s="38"/>
    </row>
    <row r="726" spans="17:17" x14ac:dyDescent="0.15">
      <c r="Q726" s="38"/>
    </row>
    <row r="728" spans="17:17" x14ac:dyDescent="0.15">
      <c r="Q728" s="38"/>
    </row>
    <row r="730" spans="17:17" x14ac:dyDescent="0.15">
      <c r="Q730" s="38"/>
    </row>
    <row r="732" spans="17:17" x14ac:dyDescent="0.15">
      <c r="Q732" s="38"/>
    </row>
    <row r="734" spans="17:17" x14ac:dyDescent="0.15">
      <c r="Q734" s="38"/>
    </row>
    <row r="736" spans="17:17" x14ac:dyDescent="0.15">
      <c r="Q736" s="38"/>
    </row>
    <row r="738" spans="17:17" x14ac:dyDescent="0.15">
      <c r="Q738" s="38"/>
    </row>
    <row r="740" spans="17:17" x14ac:dyDescent="0.15">
      <c r="Q740" s="38"/>
    </row>
    <row r="742" spans="17:17" x14ac:dyDescent="0.15">
      <c r="Q742" s="38"/>
    </row>
    <row r="744" spans="17:17" x14ac:dyDescent="0.15">
      <c r="Q744" s="38"/>
    </row>
    <row r="746" spans="17:17" x14ac:dyDescent="0.15">
      <c r="Q746" s="38"/>
    </row>
    <row r="748" spans="17:17" x14ac:dyDescent="0.15">
      <c r="Q748" s="38"/>
    </row>
    <row r="750" spans="17:17" x14ac:dyDescent="0.15">
      <c r="Q750" s="38"/>
    </row>
    <row r="752" spans="17:17" x14ac:dyDescent="0.15">
      <c r="Q752" s="38"/>
    </row>
    <row r="754" spans="17:17" x14ac:dyDescent="0.15">
      <c r="Q754" s="38"/>
    </row>
    <row r="756" spans="17:17" x14ac:dyDescent="0.15">
      <c r="Q756" s="38"/>
    </row>
    <row r="758" spans="17:17" x14ac:dyDescent="0.15">
      <c r="Q758" s="38"/>
    </row>
    <row r="760" spans="17:17" x14ac:dyDescent="0.15">
      <c r="Q760" s="38"/>
    </row>
    <row r="762" spans="17:17" x14ac:dyDescent="0.15">
      <c r="Q762" s="38"/>
    </row>
    <row r="764" spans="17:17" x14ac:dyDescent="0.15">
      <c r="Q764" s="38"/>
    </row>
    <row r="766" spans="17:17" x14ac:dyDescent="0.15">
      <c r="Q766" s="38"/>
    </row>
    <row r="768" spans="17:17" x14ac:dyDescent="0.15">
      <c r="Q768" s="38"/>
    </row>
    <row r="770" spans="17:17" x14ac:dyDescent="0.15">
      <c r="Q770" s="38"/>
    </row>
    <row r="772" spans="17:17" x14ac:dyDescent="0.15">
      <c r="Q772" s="38"/>
    </row>
    <row r="774" spans="17:17" x14ac:dyDescent="0.15">
      <c r="Q774" s="38"/>
    </row>
    <row r="776" spans="17:17" x14ac:dyDescent="0.15">
      <c r="Q776" s="38"/>
    </row>
    <row r="778" spans="17:17" x14ac:dyDescent="0.15">
      <c r="Q778" s="38"/>
    </row>
    <row r="780" spans="17:17" x14ac:dyDescent="0.15">
      <c r="Q780" s="38"/>
    </row>
    <row r="782" spans="17:17" x14ac:dyDescent="0.15">
      <c r="Q782" s="38"/>
    </row>
    <row r="784" spans="17:17" x14ac:dyDescent="0.15">
      <c r="Q784" s="38"/>
    </row>
    <row r="786" spans="17:17" x14ac:dyDescent="0.15">
      <c r="Q786" s="38"/>
    </row>
    <row r="788" spans="17:17" x14ac:dyDescent="0.15">
      <c r="Q788" s="38"/>
    </row>
    <row r="790" spans="17:17" x14ac:dyDescent="0.15">
      <c r="Q790" s="38"/>
    </row>
    <row r="792" spans="17:17" x14ac:dyDescent="0.15">
      <c r="Q792" s="38"/>
    </row>
    <row r="794" spans="17:17" x14ac:dyDescent="0.15">
      <c r="Q794" s="38"/>
    </row>
    <row r="796" spans="17:17" x14ac:dyDescent="0.15">
      <c r="Q796" s="38"/>
    </row>
    <row r="798" spans="17:17" x14ac:dyDescent="0.15">
      <c r="Q798" s="38"/>
    </row>
    <row r="800" spans="17:17" x14ac:dyDescent="0.15">
      <c r="Q800" s="38"/>
    </row>
    <row r="802" spans="17:17" x14ac:dyDescent="0.15">
      <c r="Q802" s="38"/>
    </row>
    <row r="804" spans="17:17" x14ac:dyDescent="0.15">
      <c r="Q804" s="38"/>
    </row>
    <row r="806" spans="17:17" x14ac:dyDescent="0.15">
      <c r="Q806" s="38"/>
    </row>
    <row r="808" spans="17:17" x14ac:dyDescent="0.15">
      <c r="Q808" s="38"/>
    </row>
    <row r="810" spans="17:17" x14ac:dyDescent="0.15">
      <c r="Q810" s="38"/>
    </row>
    <row r="812" spans="17:17" x14ac:dyDescent="0.15">
      <c r="Q812" s="38"/>
    </row>
    <row r="814" spans="17:17" x14ac:dyDescent="0.15">
      <c r="Q814" s="38"/>
    </row>
    <row r="816" spans="17:17" x14ac:dyDescent="0.15">
      <c r="Q816" s="38"/>
    </row>
    <row r="818" spans="17:17" x14ac:dyDescent="0.15">
      <c r="Q818" s="38"/>
    </row>
    <row r="820" spans="17:17" x14ac:dyDescent="0.15">
      <c r="Q820" s="38"/>
    </row>
    <row r="822" spans="17:17" x14ac:dyDescent="0.15">
      <c r="Q822" s="38"/>
    </row>
    <row r="824" spans="17:17" x14ac:dyDescent="0.15">
      <c r="Q824" s="38"/>
    </row>
    <row r="826" spans="17:17" x14ac:dyDescent="0.15">
      <c r="Q826" s="38"/>
    </row>
    <row r="828" spans="17:17" x14ac:dyDescent="0.15">
      <c r="Q828" s="38"/>
    </row>
    <row r="830" spans="17:17" x14ac:dyDescent="0.15">
      <c r="Q830" s="38"/>
    </row>
    <row r="832" spans="17:17" x14ac:dyDescent="0.15">
      <c r="Q832" s="38"/>
    </row>
    <row r="834" spans="17:17" x14ac:dyDescent="0.15">
      <c r="Q834" s="38"/>
    </row>
    <row r="836" spans="17:17" x14ac:dyDescent="0.15">
      <c r="Q836" s="38"/>
    </row>
    <row r="838" spans="17:17" x14ac:dyDescent="0.15">
      <c r="Q838" s="38"/>
    </row>
    <row r="840" spans="17:17" x14ac:dyDescent="0.15">
      <c r="Q840" s="38"/>
    </row>
    <row r="842" spans="17:17" x14ac:dyDescent="0.15">
      <c r="Q842" s="38"/>
    </row>
    <row r="844" spans="17:17" x14ac:dyDescent="0.15">
      <c r="Q844" s="38"/>
    </row>
    <row r="846" spans="17:17" x14ac:dyDescent="0.15">
      <c r="Q846" s="38"/>
    </row>
    <row r="848" spans="17:17" x14ac:dyDescent="0.15">
      <c r="Q848" s="38"/>
    </row>
    <row r="850" spans="17:17" x14ac:dyDescent="0.15">
      <c r="Q850" s="38"/>
    </row>
    <row r="852" spans="17:17" x14ac:dyDescent="0.15">
      <c r="Q852" s="38"/>
    </row>
    <row r="854" spans="17:17" x14ac:dyDescent="0.15">
      <c r="Q854" s="38"/>
    </row>
    <row r="856" spans="17:17" x14ac:dyDescent="0.15">
      <c r="Q856" s="38"/>
    </row>
    <row r="858" spans="17:17" x14ac:dyDescent="0.15">
      <c r="Q858" s="38"/>
    </row>
    <row r="860" spans="17:17" x14ac:dyDescent="0.15">
      <c r="Q860" s="38"/>
    </row>
    <row r="862" spans="17:17" x14ac:dyDescent="0.15">
      <c r="Q862" s="38"/>
    </row>
    <row r="864" spans="17:17" x14ac:dyDescent="0.15">
      <c r="Q864" s="38"/>
    </row>
    <row r="866" spans="17:17" x14ac:dyDescent="0.15">
      <c r="Q866" s="38"/>
    </row>
    <row r="868" spans="17:17" x14ac:dyDescent="0.15">
      <c r="Q868" s="38"/>
    </row>
    <row r="870" spans="17:17" x14ac:dyDescent="0.15">
      <c r="Q870" s="38"/>
    </row>
    <row r="872" spans="17:17" x14ac:dyDescent="0.15">
      <c r="Q872" s="38"/>
    </row>
    <row r="874" spans="17:17" x14ac:dyDescent="0.15">
      <c r="Q874" s="38"/>
    </row>
    <row r="876" spans="17:17" x14ac:dyDescent="0.15">
      <c r="Q876" s="38"/>
    </row>
    <row r="878" spans="17:17" x14ac:dyDescent="0.15">
      <c r="Q878" s="38"/>
    </row>
    <row r="880" spans="17:17" x14ac:dyDescent="0.15">
      <c r="Q880" s="38"/>
    </row>
    <row r="882" spans="17:17" x14ac:dyDescent="0.15">
      <c r="Q882" s="38"/>
    </row>
    <row r="884" spans="17:17" x14ac:dyDescent="0.15">
      <c r="Q884" s="38"/>
    </row>
    <row r="886" spans="17:17" x14ac:dyDescent="0.15">
      <c r="Q886" s="38"/>
    </row>
    <row r="888" spans="17:17" x14ac:dyDescent="0.15">
      <c r="Q888" s="38"/>
    </row>
    <row r="890" spans="17:17" x14ac:dyDescent="0.15">
      <c r="Q890" s="38"/>
    </row>
    <row r="892" spans="17:17" x14ac:dyDescent="0.15">
      <c r="Q892" s="38"/>
    </row>
    <row r="894" spans="17:17" x14ac:dyDescent="0.15">
      <c r="Q894" s="38"/>
    </row>
    <row r="896" spans="17:17" x14ac:dyDescent="0.15">
      <c r="Q896" s="38"/>
    </row>
    <row r="898" spans="17:17" x14ac:dyDescent="0.15">
      <c r="Q898" s="38"/>
    </row>
    <row r="900" spans="17:17" x14ac:dyDescent="0.15">
      <c r="Q900" s="38"/>
    </row>
    <row r="902" spans="17:17" x14ac:dyDescent="0.15">
      <c r="Q902" s="38"/>
    </row>
    <row r="904" spans="17:17" x14ac:dyDescent="0.15">
      <c r="Q904" s="38"/>
    </row>
    <row r="906" spans="17:17" x14ac:dyDescent="0.15">
      <c r="Q906" s="38"/>
    </row>
    <row r="908" spans="17:17" x14ac:dyDescent="0.15">
      <c r="Q908" s="38"/>
    </row>
    <row r="910" spans="17:17" x14ac:dyDescent="0.15">
      <c r="Q910" s="38"/>
    </row>
    <row r="912" spans="17:17" x14ac:dyDescent="0.15">
      <c r="Q912" s="38"/>
    </row>
    <row r="914" spans="17:17" x14ac:dyDescent="0.15">
      <c r="Q914" s="38"/>
    </row>
    <row r="916" spans="17:17" x14ac:dyDescent="0.15">
      <c r="Q916" s="38"/>
    </row>
    <row r="918" spans="17:17" x14ac:dyDescent="0.15">
      <c r="Q918" s="38"/>
    </row>
    <row r="920" spans="17:17" x14ac:dyDescent="0.15">
      <c r="Q920" s="38"/>
    </row>
    <row r="922" spans="17:17" x14ac:dyDescent="0.15">
      <c r="Q922" s="38"/>
    </row>
    <row r="924" spans="17:17" x14ac:dyDescent="0.15">
      <c r="Q924" s="38"/>
    </row>
    <row r="926" spans="17:17" x14ac:dyDescent="0.15">
      <c r="Q926" s="38"/>
    </row>
    <row r="928" spans="17:17" x14ac:dyDescent="0.15">
      <c r="Q928" s="38"/>
    </row>
    <row r="930" spans="17:17" x14ac:dyDescent="0.15">
      <c r="Q930" s="38"/>
    </row>
    <row r="932" spans="17:17" x14ac:dyDescent="0.15">
      <c r="Q932" s="38"/>
    </row>
    <row r="934" spans="17:17" x14ac:dyDescent="0.15">
      <c r="Q934" s="38"/>
    </row>
    <row r="936" spans="17:17" x14ac:dyDescent="0.15">
      <c r="Q936" s="38"/>
    </row>
    <row r="938" spans="17:17" x14ac:dyDescent="0.15">
      <c r="Q938" s="38"/>
    </row>
    <row r="940" spans="17:17" x14ac:dyDescent="0.15">
      <c r="Q940" s="38"/>
    </row>
    <row r="942" spans="17:17" x14ac:dyDescent="0.15">
      <c r="Q942" s="38"/>
    </row>
    <row r="944" spans="17:17" x14ac:dyDescent="0.15">
      <c r="Q944" s="38"/>
    </row>
    <row r="946" spans="17:17" x14ac:dyDescent="0.15">
      <c r="Q946" s="38"/>
    </row>
    <row r="948" spans="17:17" x14ac:dyDescent="0.15">
      <c r="Q948" s="38"/>
    </row>
    <row r="950" spans="17:17" x14ac:dyDescent="0.15">
      <c r="Q950" s="38"/>
    </row>
    <row r="952" spans="17:17" x14ac:dyDescent="0.15">
      <c r="Q952" s="38"/>
    </row>
    <row r="954" spans="17:17" x14ac:dyDescent="0.15">
      <c r="Q954" s="38"/>
    </row>
    <row r="956" spans="17:17" x14ac:dyDescent="0.15">
      <c r="Q956" s="38"/>
    </row>
    <row r="958" spans="17:17" x14ac:dyDescent="0.15">
      <c r="Q958" s="38"/>
    </row>
    <row r="960" spans="17:17" x14ac:dyDescent="0.15">
      <c r="Q960" s="38"/>
    </row>
    <row r="962" spans="17:17" x14ac:dyDescent="0.15">
      <c r="Q962" s="38"/>
    </row>
    <row r="964" spans="17:17" x14ac:dyDescent="0.15">
      <c r="Q964" s="38"/>
    </row>
    <row r="966" spans="17:17" x14ac:dyDescent="0.15">
      <c r="Q966" s="38"/>
    </row>
    <row r="968" spans="17:17" x14ac:dyDescent="0.15">
      <c r="Q968" s="38"/>
    </row>
    <row r="970" spans="17:17" x14ac:dyDescent="0.15">
      <c r="Q970" s="38"/>
    </row>
    <row r="972" spans="17:17" x14ac:dyDescent="0.15">
      <c r="Q972" s="38"/>
    </row>
    <row r="974" spans="17:17" x14ac:dyDescent="0.15">
      <c r="Q974" s="38"/>
    </row>
    <row r="976" spans="17:17" x14ac:dyDescent="0.15">
      <c r="Q976" s="38"/>
    </row>
    <row r="978" spans="17:17" x14ac:dyDescent="0.15">
      <c r="Q978" s="38"/>
    </row>
    <row r="980" spans="17:17" x14ac:dyDescent="0.15">
      <c r="Q980" s="38"/>
    </row>
    <row r="982" spans="17:17" x14ac:dyDescent="0.15">
      <c r="Q982" s="38"/>
    </row>
    <row r="984" spans="17:17" x14ac:dyDescent="0.15">
      <c r="Q984" s="38"/>
    </row>
    <row r="986" spans="17:17" x14ac:dyDescent="0.15">
      <c r="Q986" s="38"/>
    </row>
    <row r="988" spans="17:17" x14ac:dyDescent="0.15">
      <c r="Q988" s="38"/>
    </row>
    <row r="990" spans="17:17" x14ac:dyDescent="0.15">
      <c r="Q990" s="38"/>
    </row>
    <row r="992" spans="17:17" x14ac:dyDescent="0.15">
      <c r="Q992" s="38"/>
    </row>
    <row r="994" spans="17:17" x14ac:dyDescent="0.15">
      <c r="Q994" s="38"/>
    </row>
    <row r="996" spans="17:17" x14ac:dyDescent="0.15">
      <c r="Q996" s="38"/>
    </row>
    <row r="998" spans="17:17" x14ac:dyDescent="0.15">
      <c r="Q998" s="38"/>
    </row>
    <row r="1000" spans="17:17" x14ac:dyDescent="0.15">
      <c r="Q1000" s="38"/>
    </row>
    <row r="1002" spans="17:17" x14ac:dyDescent="0.15">
      <c r="Q1002" s="38"/>
    </row>
    <row r="1004" spans="17:17" x14ac:dyDescent="0.15">
      <c r="Q1004" s="38"/>
    </row>
    <row r="1006" spans="17:17" x14ac:dyDescent="0.15">
      <c r="Q1006" s="38"/>
    </row>
    <row r="1008" spans="17:17" x14ac:dyDescent="0.15">
      <c r="Q1008" s="38"/>
    </row>
    <row r="1010" spans="17:17" x14ac:dyDescent="0.15">
      <c r="Q1010" s="38"/>
    </row>
    <row r="1012" spans="17:17" x14ac:dyDescent="0.15">
      <c r="Q1012" s="38"/>
    </row>
    <row r="1014" spans="17:17" x14ac:dyDescent="0.15">
      <c r="Q1014" s="38"/>
    </row>
    <row r="1016" spans="17:17" x14ac:dyDescent="0.15">
      <c r="Q1016" s="38"/>
    </row>
    <row r="1018" spans="17:17" x14ac:dyDescent="0.15">
      <c r="Q1018" s="38"/>
    </row>
    <row r="1020" spans="17:17" x14ac:dyDescent="0.15">
      <c r="Q1020" s="38"/>
    </row>
    <row r="1022" spans="17:17" x14ac:dyDescent="0.15">
      <c r="Q1022" s="38"/>
    </row>
    <row r="1024" spans="17:17" x14ac:dyDescent="0.15">
      <c r="Q1024" s="38"/>
    </row>
    <row r="1026" spans="17:17" x14ac:dyDescent="0.15">
      <c r="Q1026" s="38"/>
    </row>
    <row r="1028" spans="17:17" x14ac:dyDescent="0.15">
      <c r="Q1028" s="38"/>
    </row>
    <row r="1030" spans="17:17" x14ac:dyDescent="0.15">
      <c r="Q1030" s="38"/>
    </row>
    <row r="1032" spans="17:17" x14ac:dyDescent="0.15">
      <c r="Q1032" s="38"/>
    </row>
    <row r="1034" spans="17:17" x14ac:dyDescent="0.15">
      <c r="Q1034" s="38"/>
    </row>
    <row r="1036" spans="17:17" x14ac:dyDescent="0.15">
      <c r="Q1036" s="38"/>
    </row>
    <row r="1038" spans="17:17" x14ac:dyDescent="0.15">
      <c r="Q1038" s="38"/>
    </row>
    <row r="1040" spans="17:17" x14ac:dyDescent="0.15">
      <c r="Q1040" s="38"/>
    </row>
    <row r="1042" spans="17:17" x14ac:dyDescent="0.15">
      <c r="Q1042" s="38"/>
    </row>
    <row r="1044" spans="17:17" x14ac:dyDescent="0.15">
      <c r="Q1044" s="38"/>
    </row>
    <row r="1046" spans="17:17" x14ac:dyDescent="0.15">
      <c r="Q1046" s="38"/>
    </row>
    <row r="1048" spans="17:17" x14ac:dyDescent="0.15">
      <c r="Q1048" s="38"/>
    </row>
    <row r="1050" spans="17:17" x14ac:dyDescent="0.15">
      <c r="Q1050" s="38"/>
    </row>
    <row r="1052" spans="17:17" x14ac:dyDescent="0.15">
      <c r="Q1052" s="38"/>
    </row>
    <row r="1054" spans="17:17" x14ac:dyDescent="0.15">
      <c r="Q1054" s="38"/>
    </row>
    <row r="1056" spans="17:17" x14ac:dyDescent="0.15">
      <c r="Q1056" s="38"/>
    </row>
    <row r="1058" spans="17:17" x14ac:dyDescent="0.15">
      <c r="Q1058" s="38"/>
    </row>
    <row r="1060" spans="17:17" x14ac:dyDescent="0.15">
      <c r="Q1060" s="38"/>
    </row>
    <row r="1062" spans="17:17" x14ac:dyDescent="0.15">
      <c r="Q1062" s="38"/>
    </row>
    <row r="1064" spans="17:17" x14ac:dyDescent="0.15">
      <c r="Q1064" s="38"/>
    </row>
    <row r="1066" spans="17:17" x14ac:dyDescent="0.15">
      <c r="Q1066" s="38"/>
    </row>
    <row r="1068" spans="17:17" x14ac:dyDescent="0.15">
      <c r="Q1068" s="38"/>
    </row>
    <row r="1070" spans="17:17" x14ac:dyDescent="0.15">
      <c r="Q1070" s="38"/>
    </row>
    <row r="1072" spans="17:17" x14ac:dyDescent="0.15">
      <c r="Q1072" s="38"/>
    </row>
    <row r="1074" spans="17:17" x14ac:dyDescent="0.15">
      <c r="Q1074" s="38"/>
    </row>
    <row r="1076" spans="17:17" x14ac:dyDescent="0.15">
      <c r="Q1076" s="38"/>
    </row>
    <row r="1078" spans="17:17" x14ac:dyDescent="0.15">
      <c r="Q1078" s="38"/>
    </row>
    <row r="1080" spans="17:17" x14ac:dyDescent="0.15">
      <c r="Q1080" s="38"/>
    </row>
    <row r="1082" spans="17:17" x14ac:dyDescent="0.15">
      <c r="Q1082" s="38"/>
    </row>
    <row r="1084" spans="17:17" x14ac:dyDescent="0.15">
      <c r="Q1084" s="38"/>
    </row>
    <row r="1086" spans="17:17" x14ac:dyDescent="0.15">
      <c r="Q1086" s="38"/>
    </row>
    <row r="1088" spans="17:17" x14ac:dyDescent="0.15">
      <c r="Q1088" s="38"/>
    </row>
    <row r="1090" spans="17:17" x14ac:dyDescent="0.15">
      <c r="Q1090" s="38"/>
    </row>
    <row r="1092" spans="17:17" x14ac:dyDescent="0.15">
      <c r="Q1092" s="38"/>
    </row>
    <row r="1094" spans="17:17" x14ac:dyDescent="0.15">
      <c r="Q1094" s="38"/>
    </row>
    <row r="1096" spans="17:17" x14ac:dyDescent="0.15">
      <c r="Q1096" s="38"/>
    </row>
    <row r="1098" spans="17:17" x14ac:dyDescent="0.15">
      <c r="Q1098" s="38"/>
    </row>
    <row r="1100" spans="17:17" x14ac:dyDescent="0.15">
      <c r="Q1100" s="38"/>
    </row>
    <row r="1102" spans="17:17" x14ac:dyDescent="0.15">
      <c r="Q1102" s="38"/>
    </row>
    <row r="1104" spans="17:17" x14ac:dyDescent="0.15">
      <c r="Q1104" s="38"/>
    </row>
    <row r="1106" spans="17:17" x14ac:dyDescent="0.15">
      <c r="Q1106" s="38"/>
    </row>
    <row r="1108" spans="17:17" x14ac:dyDescent="0.15">
      <c r="Q1108" s="38"/>
    </row>
    <row r="1110" spans="17:17" x14ac:dyDescent="0.15">
      <c r="Q1110" s="38"/>
    </row>
    <row r="1112" spans="17:17" x14ac:dyDescent="0.15">
      <c r="Q1112" s="38"/>
    </row>
    <row r="1114" spans="17:17" x14ac:dyDescent="0.15">
      <c r="Q1114" s="38"/>
    </row>
    <row r="1116" spans="17:17" x14ac:dyDescent="0.15">
      <c r="Q1116" s="38"/>
    </row>
    <row r="1118" spans="17:17" x14ac:dyDescent="0.15">
      <c r="Q1118" s="38"/>
    </row>
    <row r="1120" spans="17:17" x14ac:dyDescent="0.15">
      <c r="Q1120" s="38"/>
    </row>
    <row r="1122" spans="17:17" x14ac:dyDescent="0.15">
      <c r="Q1122" s="38"/>
    </row>
    <row r="1124" spans="17:17" x14ac:dyDescent="0.15">
      <c r="Q1124" s="38"/>
    </row>
    <row r="1126" spans="17:17" x14ac:dyDescent="0.15">
      <c r="Q1126" s="38"/>
    </row>
    <row r="1128" spans="17:17" x14ac:dyDescent="0.15">
      <c r="Q1128" s="38"/>
    </row>
    <row r="1130" spans="17:17" x14ac:dyDescent="0.15">
      <c r="Q1130" s="38"/>
    </row>
    <row r="1132" spans="17:17" x14ac:dyDescent="0.15">
      <c r="Q1132" s="38"/>
    </row>
    <row r="1134" spans="17:17" x14ac:dyDescent="0.15">
      <c r="Q1134" s="38"/>
    </row>
    <row r="1136" spans="17:17" x14ac:dyDescent="0.15">
      <c r="Q1136" s="38"/>
    </row>
    <row r="1138" spans="17:17" x14ac:dyDescent="0.15">
      <c r="Q1138" s="38"/>
    </row>
    <row r="1140" spans="17:17" x14ac:dyDescent="0.15">
      <c r="Q1140" s="38"/>
    </row>
    <row r="1142" spans="17:17" x14ac:dyDescent="0.15">
      <c r="Q1142" s="38"/>
    </row>
    <row r="1144" spans="17:17" x14ac:dyDescent="0.15">
      <c r="Q1144" s="38"/>
    </row>
    <row r="1146" spans="17:17" x14ac:dyDescent="0.15">
      <c r="Q1146" s="38"/>
    </row>
    <row r="1148" spans="17:17" x14ac:dyDescent="0.15">
      <c r="Q1148" s="38"/>
    </row>
    <row r="1150" spans="17:17" x14ac:dyDescent="0.15">
      <c r="Q1150" s="38"/>
    </row>
    <row r="1152" spans="17:17" x14ac:dyDescent="0.15">
      <c r="Q1152" s="38"/>
    </row>
    <row r="1154" spans="17:17" x14ac:dyDescent="0.15">
      <c r="Q1154" s="38"/>
    </row>
    <row r="1156" spans="17:17" x14ac:dyDescent="0.15">
      <c r="Q1156" s="38"/>
    </row>
    <row r="1158" spans="17:17" x14ac:dyDescent="0.15">
      <c r="Q1158" s="38"/>
    </row>
    <row r="1160" spans="17:17" x14ac:dyDescent="0.15">
      <c r="Q1160" s="38"/>
    </row>
    <row r="1162" spans="17:17" x14ac:dyDescent="0.15">
      <c r="Q1162" s="38"/>
    </row>
    <row r="1164" spans="17:17" x14ac:dyDescent="0.15">
      <c r="Q1164" s="38"/>
    </row>
    <row r="1166" spans="17:17" x14ac:dyDescent="0.15">
      <c r="Q1166" s="38"/>
    </row>
    <row r="1168" spans="17:17" x14ac:dyDescent="0.15">
      <c r="Q1168" s="38"/>
    </row>
    <row r="1170" spans="17:17" x14ac:dyDescent="0.15">
      <c r="Q1170" s="38"/>
    </row>
    <row r="1172" spans="17:17" x14ac:dyDescent="0.15">
      <c r="Q1172" s="38"/>
    </row>
    <row r="1174" spans="17:17" x14ac:dyDescent="0.15">
      <c r="Q1174" s="38"/>
    </row>
    <row r="1176" spans="17:17" x14ac:dyDescent="0.15">
      <c r="Q1176" s="38"/>
    </row>
    <row r="1178" spans="17:17" x14ac:dyDescent="0.15">
      <c r="Q1178" s="38"/>
    </row>
    <row r="1180" spans="17:17" x14ac:dyDescent="0.15">
      <c r="Q1180" s="38"/>
    </row>
    <row r="1182" spans="17:17" x14ac:dyDescent="0.15">
      <c r="Q1182" s="38"/>
    </row>
    <row r="1184" spans="17:17" x14ac:dyDescent="0.15">
      <c r="Q1184" s="38"/>
    </row>
    <row r="1186" spans="17:17" x14ac:dyDescent="0.15">
      <c r="Q1186" s="38"/>
    </row>
    <row r="1188" spans="17:17" x14ac:dyDescent="0.15">
      <c r="Q1188" s="38"/>
    </row>
    <row r="1190" spans="17:17" x14ac:dyDescent="0.15">
      <c r="Q1190" s="38"/>
    </row>
    <row r="1192" spans="17:17" x14ac:dyDescent="0.15">
      <c r="Q1192" s="38"/>
    </row>
    <row r="1194" spans="17:17" x14ac:dyDescent="0.15">
      <c r="Q1194" s="38"/>
    </row>
    <row r="1196" spans="17:17" x14ac:dyDescent="0.15">
      <c r="Q1196" s="38"/>
    </row>
    <row r="1198" spans="17:17" x14ac:dyDescent="0.15">
      <c r="Q1198" s="38"/>
    </row>
    <row r="1200" spans="17:17" x14ac:dyDescent="0.15">
      <c r="Q1200" s="38"/>
    </row>
    <row r="1202" spans="17:17" x14ac:dyDescent="0.15">
      <c r="Q1202" s="38"/>
    </row>
    <row r="1204" spans="17:17" x14ac:dyDescent="0.15">
      <c r="Q1204" s="38"/>
    </row>
    <row r="1206" spans="17:17" x14ac:dyDescent="0.15">
      <c r="Q1206" s="38"/>
    </row>
    <row r="1208" spans="17:17" x14ac:dyDescent="0.15">
      <c r="Q1208" s="38"/>
    </row>
    <row r="1210" spans="17:17" x14ac:dyDescent="0.15">
      <c r="Q1210" s="38"/>
    </row>
    <row r="1212" spans="17:17" x14ac:dyDescent="0.15">
      <c r="Q1212" s="38"/>
    </row>
    <row r="1214" spans="17:17" x14ac:dyDescent="0.15">
      <c r="Q1214" s="38"/>
    </row>
    <row r="1216" spans="17:17" x14ac:dyDescent="0.15">
      <c r="Q1216" s="38"/>
    </row>
    <row r="1218" spans="17:17" x14ac:dyDescent="0.15">
      <c r="Q1218" s="38"/>
    </row>
    <row r="1220" spans="17:17" x14ac:dyDescent="0.15">
      <c r="Q1220" s="38"/>
    </row>
    <row r="1222" spans="17:17" x14ac:dyDescent="0.15">
      <c r="Q1222" s="38"/>
    </row>
    <row r="1224" spans="17:17" x14ac:dyDescent="0.15">
      <c r="Q1224" s="38"/>
    </row>
    <row r="1226" spans="17:17" x14ac:dyDescent="0.15">
      <c r="Q1226" s="38"/>
    </row>
    <row r="1228" spans="17:17" x14ac:dyDescent="0.15">
      <c r="Q1228" s="38"/>
    </row>
    <row r="1230" spans="17:17" x14ac:dyDescent="0.15">
      <c r="Q1230" s="38"/>
    </row>
    <row r="1232" spans="17:17" x14ac:dyDescent="0.15">
      <c r="Q1232" s="38"/>
    </row>
    <row r="1234" spans="17:17" x14ac:dyDescent="0.15">
      <c r="Q1234" s="38"/>
    </row>
    <row r="1236" spans="17:17" x14ac:dyDescent="0.15">
      <c r="Q1236" s="38"/>
    </row>
    <row r="1238" spans="17:17" x14ac:dyDescent="0.15">
      <c r="Q1238" s="38"/>
    </row>
    <row r="1240" spans="17:17" x14ac:dyDescent="0.15">
      <c r="Q1240" s="38"/>
    </row>
    <row r="1242" spans="17:17" x14ac:dyDescent="0.15">
      <c r="Q1242" s="38"/>
    </row>
    <row r="1244" spans="17:17" x14ac:dyDescent="0.15">
      <c r="Q1244" s="38"/>
    </row>
    <row r="1246" spans="17:17" x14ac:dyDescent="0.15">
      <c r="Q1246" s="38"/>
    </row>
    <row r="1248" spans="17:17" x14ac:dyDescent="0.15">
      <c r="Q1248" s="38"/>
    </row>
    <row r="1250" spans="17:17" x14ac:dyDescent="0.15">
      <c r="Q1250" s="38"/>
    </row>
    <row r="1252" spans="17:17" x14ac:dyDescent="0.15">
      <c r="Q1252" s="38"/>
    </row>
    <row r="1254" spans="17:17" x14ac:dyDescent="0.15">
      <c r="Q1254" s="38"/>
    </row>
    <row r="1256" spans="17:17" x14ac:dyDescent="0.15">
      <c r="Q1256" s="38"/>
    </row>
    <row r="1258" spans="17:17" x14ac:dyDescent="0.15">
      <c r="Q1258" s="38"/>
    </row>
    <row r="1260" spans="17:17" x14ac:dyDescent="0.15">
      <c r="Q1260" s="38"/>
    </row>
    <row r="1262" spans="17:17" x14ac:dyDescent="0.15">
      <c r="Q1262" s="38"/>
    </row>
    <row r="1264" spans="17:17" x14ac:dyDescent="0.15">
      <c r="Q1264" s="38"/>
    </row>
    <row r="1266" spans="17:17" x14ac:dyDescent="0.15">
      <c r="Q1266" s="38"/>
    </row>
    <row r="1268" spans="17:17" x14ac:dyDescent="0.15">
      <c r="Q1268" s="38"/>
    </row>
    <row r="1270" spans="17:17" x14ac:dyDescent="0.15">
      <c r="Q1270" s="38"/>
    </row>
    <row r="1272" spans="17:17" x14ac:dyDescent="0.15">
      <c r="Q1272" s="38"/>
    </row>
    <row r="1274" spans="17:17" x14ac:dyDescent="0.15">
      <c r="Q1274" s="38"/>
    </row>
    <row r="1276" spans="17:17" x14ac:dyDescent="0.15">
      <c r="Q1276" s="38"/>
    </row>
    <row r="1278" spans="17:17" x14ac:dyDescent="0.15">
      <c r="Q1278" s="38"/>
    </row>
    <row r="1280" spans="17:17" x14ac:dyDescent="0.15">
      <c r="Q1280" s="38"/>
    </row>
    <row r="1282" spans="17:17" x14ac:dyDescent="0.15">
      <c r="Q1282" s="38"/>
    </row>
    <row r="1284" spans="17:17" x14ac:dyDescent="0.15">
      <c r="Q1284" s="38"/>
    </row>
    <row r="1286" spans="17:17" x14ac:dyDescent="0.15">
      <c r="Q1286" s="38"/>
    </row>
    <row r="1288" spans="17:17" x14ac:dyDescent="0.15">
      <c r="Q1288" s="38"/>
    </row>
    <row r="1290" spans="17:17" x14ac:dyDescent="0.15">
      <c r="Q1290" s="38"/>
    </row>
    <row r="1292" spans="17:17" x14ac:dyDescent="0.15">
      <c r="Q1292" s="38"/>
    </row>
    <row r="1294" spans="17:17" x14ac:dyDescent="0.15">
      <c r="Q1294" s="38"/>
    </row>
    <row r="1296" spans="17:17" x14ac:dyDescent="0.15">
      <c r="Q1296" s="38"/>
    </row>
    <row r="1298" spans="17:17" x14ac:dyDescent="0.15">
      <c r="Q1298" s="38"/>
    </row>
    <row r="1300" spans="17:17" x14ac:dyDescent="0.15">
      <c r="Q1300" s="38"/>
    </row>
    <row r="1302" spans="17:17" x14ac:dyDescent="0.15">
      <c r="Q1302" s="38"/>
    </row>
    <row r="1304" spans="17:17" x14ac:dyDescent="0.15">
      <c r="Q1304" s="38"/>
    </row>
    <row r="1306" spans="17:17" x14ac:dyDescent="0.15">
      <c r="Q1306" s="38"/>
    </row>
    <row r="1308" spans="17:17" x14ac:dyDescent="0.15">
      <c r="Q1308" s="38"/>
    </row>
    <row r="1310" spans="17:17" x14ac:dyDescent="0.15">
      <c r="Q1310" s="38"/>
    </row>
    <row r="1312" spans="17:17" x14ac:dyDescent="0.15">
      <c r="Q1312" s="38"/>
    </row>
    <row r="1314" spans="17:17" x14ac:dyDescent="0.15">
      <c r="Q1314" s="38"/>
    </row>
    <row r="1316" spans="17:17" x14ac:dyDescent="0.15">
      <c r="Q1316" s="38"/>
    </row>
    <row r="1318" spans="17:17" x14ac:dyDescent="0.15">
      <c r="Q1318" s="38"/>
    </row>
    <row r="1320" spans="17:17" x14ac:dyDescent="0.15">
      <c r="Q1320" s="38"/>
    </row>
    <row r="1322" spans="17:17" x14ac:dyDescent="0.15">
      <c r="Q1322" s="38"/>
    </row>
    <row r="1324" spans="17:17" x14ac:dyDescent="0.15">
      <c r="Q1324" s="38"/>
    </row>
    <row r="1326" spans="17:17" x14ac:dyDescent="0.15">
      <c r="Q1326" s="38"/>
    </row>
    <row r="1328" spans="17:17" x14ac:dyDescent="0.15">
      <c r="Q1328" s="38"/>
    </row>
    <row r="1330" spans="17:17" x14ac:dyDescent="0.15">
      <c r="Q1330" s="38"/>
    </row>
    <row r="1332" spans="17:17" x14ac:dyDescent="0.15">
      <c r="Q1332" s="38"/>
    </row>
    <row r="1334" spans="17:17" x14ac:dyDescent="0.15">
      <c r="Q1334" s="38"/>
    </row>
    <row r="1336" spans="17:17" x14ac:dyDescent="0.15">
      <c r="Q1336" s="38"/>
    </row>
    <row r="1338" spans="17:17" x14ac:dyDescent="0.15">
      <c r="Q1338" s="38"/>
    </row>
    <row r="1340" spans="17:17" x14ac:dyDescent="0.15">
      <c r="Q1340" s="38"/>
    </row>
    <row r="1342" spans="17:17" x14ac:dyDescent="0.15">
      <c r="Q1342" s="38"/>
    </row>
    <row r="1344" spans="17:17" x14ac:dyDescent="0.15">
      <c r="Q1344" s="38"/>
    </row>
    <row r="1346" spans="17:17" x14ac:dyDescent="0.15">
      <c r="Q1346" s="38"/>
    </row>
    <row r="1348" spans="17:17" x14ac:dyDescent="0.15">
      <c r="Q1348" s="38"/>
    </row>
    <row r="1350" spans="17:17" x14ac:dyDescent="0.15">
      <c r="Q1350" s="38"/>
    </row>
    <row r="1352" spans="17:17" x14ac:dyDescent="0.15">
      <c r="Q1352" s="38"/>
    </row>
    <row r="1354" spans="17:17" x14ac:dyDescent="0.15">
      <c r="Q1354" s="38"/>
    </row>
    <row r="1356" spans="17:17" x14ac:dyDescent="0.15">
      <c r="Q1356" s="38"/>
    </row>
    <row r="1358" spans="17:17" x14ac:dyDescent="0.15">
      <c r="Q1358" s="38"/>
    </row>
    <row r="1360" spans="17:17" x14ac:dyDescent="0.15">
      <c r="Q1360" s="38"/>
    </row>
    <row r="1362" spans="17:17" x14ac:dyDescent="0.15">
      <c r="Q1362" s="38"/>
    </row>
    <row r="1364" spans="17:17" x14ac:dyDescent="0.15">
      <c r="Q1364" s="38"/>
    </row>
    <row r="1366" spans="17:17" x14ac:dyDescent="0.15">
      <c r="Q1366" s="38"/>
    </row>
    <row r="1368" spans="17:17" x14ac:dyDescent="0.15">
      <c r="Q1368" s="38"/>
    </row>
    <row r="1370" spans="17:17" x14ac:dyDescent="0.15">
      <c r="Q1370" s="38"/>
    </row>
    <row r="1372" spans="17:17" x14ac:dyDescent="0.15">
      <c r="Q1372" s="38"/>
    </row>
    <row r="1374" spans="17:17" x14ac:dyDescent="0.15">
      <c r="Q1374" s="38"/>
    </row>
    <row r="1376" spans="17:17" x14ac:dyDescent="0.15">
      <c r="Q1376" s="38"/>
    </row>
    <row r="1378" spans="17:17" x14ac:dyDescent="0.15">
      <c r="Q1378" s="38"/>
    </row>
    <row r="1380" spans="17:17" x14ac:dyDescent="0.15">
      <c r="Q1380" s="38"/>
    </row>
    <row r="1382" spans="17:17" x14ac:dyDescent="0.15">
      <c r="Q1382" s="38"/>
    </row>
    <row r="1384" spans="17:17" x14ac:dyDescent="0.15">
      <c r="Q1384" s="38"/>
    </row>
    <row r="1386" spans="17:17" x14ac:dyDescent="0.15">
      <c r="Q1386" s="38"/>
    </row>
    <row r="1388" spans="17:17" x14ac:dyDescent="0.15">
      <c r="Q1388" s="38"/>
    </row>
    <row r="1390" spans="17:17" x14ac:dyDescent="0.15">
      <c r="Q1390" s="38"/>
    </row>
    <row r="1392" spans="17:17" x14ac:dyDescent="0.15">
      <c r="Q1392" s="38"/>
    </row>
    <row r="1394" spans="17:17" x14ac:dyDescent="0.15">
      <c r="Q1394" s="38"/>
    </row>
    <row r="1396" spans="17:17" x14ac:dyDescent="0.15">
      <c r="Q1396" s="38"/>
    </row>
    <row r="1398" spans="17:17" x14ac:dyDescent="0.15">
      <c r="Q1398" s="38"/>
    </row>
    <row r="1400" spans="17:17" x14ac:dyDescent="0.15">
      <c r="Q1400" s="38"/>
    </row>
    <row r="1402" spans="17:17" x14ac:dyDescent="0.15">
      <c r="Q1402" s="38"/>
    </row>
  </sheetData>
  <phoneticPr fontId="34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6"/>
  <sheetViews>
    <sheetView workbookViewId="0">
      <pane ySplit="8" topLeftCell="A9" activePane="bottomLeft" state="frozen"/>
      <selection pane="bottomLeft" activeCell="B9" sqref="B9"/>
    </sheetView>
  </sheetViews>
  <sheetFormatPr defaultColWidth="9" defaultRowHeight="13.5" x14ac:dyDescent="0.15"/>
  <cols>
    <col min="1" max="1" width="9" style="16" customWidth="1"/>
    <col min="2" max="2" width="10.625" style="16" customWidth="1"/>
    <col min="3" max="3" width="9" style="16"/>
    <col min="4" max="4" width="12.75" style="16" customWidth="1"/>
    <col min="5" max="16384" width="9" style="16"/>
  </cols>
  <sheetData>
    <row r="1" spans="1:4" s="5" customFormat="1" x14ac:dyDescent="0.15">
      <c r="A1" s="26" t="s">
        <v>40</v>
      </c>
      <c r="B1" s="5" t="s">
        <v>41</v>
      </c>
      <c r="C1" s="5" t="s">
        <v>41</v>
      </c>
      <c r="D1" s="5" t="s">
        <v>41</v>
      </c>
    </row>
    <row r="2" spans="1:4" s="5" customFormat="1" x14ac:dyDescent="0.15">
      <c r="A2" s="26" t="s">
        <v>42</v>
      </c>
      <c r="B2" s="5" t="s">
        <v>41</v>
      </c>
      <c r="C2" s="5" t="s">
        <v>41</v>
      </c>
      <c r="D2" s="5" t="s">
        <v>41</v>
      </c>
    </row>
    <row r="3" spans="1:4" s="19" customFormat="1" ht="14.25" x14ac:dyDescent="0.15">
      <c r="A3" s="6" t="s">
        <v>41</v>
      </c>
      <c r="B3" s="6" t="s">
        <v>43</v>
      </c>
      <c r="C3" s="6" t="s">
        <v>43</v>
      </c>
      <c r="D3" s="6" t="s">
        <v>43</v>
      </c>
    </row>
    <row r="4" spans="1:4" s="19" customFormat="1" ht="14.25" x14ac:dyDescent="0.15">
      <c r="A4" s="6"/>
      <c r="B4" s="6" t="s">
        <v>45</v>
      </c>
      <c r="C4" s="6" t="s">
        <v>621</v>
      </c>
      <c r="D4" s="6" t="s">
        <v>189</v>
      </c>
    </row>
    <row r="5" spans="1:4" s="19" customFormat="1" ht="14.25" x14ac:dyDescent="0.15">
      <c r="A5" s="6"/>
      <c r="B5" s="6" t="str">
        <f t="shared" ref="B5:D5" si="0">IF(B3="","",IF(B3="INT","i",IF(B3="FLOAT","f",IF(B3="STRING","s"))))</f>
        <v>i</v>
      </c>
      <c r="C5" s="6" t="str">
        <f t="shared" si="0"/>
        <v>i</v>
      </c>
      <c r="D5" s="6" t="str">
        <f t="shared" si="0"/>
        <v>i</v>
      </c>
    </row>
    <row r="6" spans="1:4" s="19" customFormat="1" ht="14.25" x14ac:dyDescent="0.15">
      <c r="A6" s="6" t="s">
        <v>41</v>
      </c>
      <c r="B6" s="6" t="str">
        <f t="shared" ref="B6:D6" si="1">B5&amp;B4</f>
        <v>iID</v>
      </c>
      <c r="C6" s="6" t="str">
        <f t="shared" si="1"/>
        <v>iPrice</v>
      </c>
      <c r="D6" s="6" t="str">
        <f t="shared" si="1"/>
        <v>iUnlockLevel</v>
      </c>
    </row>
    <row r="7" spans="1:4" s="10" customFormat="1" ht="43.15" customHeight="1" x14ac:dyDescent="0.15">
      <c r="A7" s="6"/>
      <c r="B7" s="6" t="s">
        <v>622</v>
      </c>
      <c r="C7" s="6" t="s">
        <v>623</v>
      </c>
      <c r="D7" s="6" t="s">
        <v>624</v>
      </c>
    </row>
    <row r="8" spans="1:4" s="10" customFormat="1" ht="14.25" x14ac:dyDescent="0.15">
      <c r="A8" s="6" t="s">
        <v>59</v>
      </c>
      <c r="B8" s="6" t="e">
        <f>MODE(B14:B923)</f>
        <v>#N/A</v>
      </c>
      <c r="C8" s="6">
        <v>0</v>
      </c>
      <c r="D8" s="6">
        <v>0</v>
      </c>
    </row>
    <row r="9" spans="1:4" ht="14.25" x14ac:dyDescent="0.15">
      <c r="A9" s="25" t="s">
        <v>41</v>
      </c>
      <c r="B9" s="23">
        <v>201</v>
      </c>
      <c r="C9" s="23">
        <v>1</v>
      </c>
      <c r="D9" s="25">
        <v>1</v>
      </c>
    </row>
    <row r="10" spans="1:4" ht="14.25" x14ac:dyDescent="0.15">
      <c r="A10" s="25" t="s">
        <v>41</v>
      </c>
      <c r="B10" s="23">
        <v>205</v>
      </c>
      <c r="C10" s="23">
        <v>1</v>
      </c>
      <c r="D10" s="25">
        <v>1</v>
      </c>
    </row>
    <row r="11" spans="1:4" s="38" customFormat="1" ht="14.25" x14ac:dyDescent="0.15">
      <c r="A11" s="30" t="s">
        <v>41</v>
      </c>
      <c r="B11" s="22">
        <v>206</v>
      </c>
      <c r="C11" s="22">
        <v>1</v>
      </c>
      <c r="D11" s="30">
        <v>1</v>
      </c>
    </row>
    <row r="12" spans="1:4" ht="14.25" x14ac:dyDescent="0.15">
      <c r="A12" s="25" t="s">
        <v>41</v>
      </c>
      <c r="B12" s="23">
        <v>207</v>
      </c>
      <c r="C12" s="23">
        <v>100</v>
      </c>
      <c r="D12" s="25">
        <v>1</v>
      </c>
    </row>
    <row r="13" spans="1:4" s="38" customFormat="1" ht="14.25" x14ac:dyDescent="0.15">
      <c r="A13" s="30" t="s">
        <v>41</v>
      </c>
      <c r="B13" s="22">
        <v>208</v>
      </c>
      <c r="C13" s="22">
        <v>10000</v>
      </c>
      <c r="D13" s="30">
        <v>1</v>
      </c>
    </row>
    <row r="14" spans="1:4" ht="14.25" x14ac:dyDescent="0.15">
      <c r="A14" s="25" t="s">
        <v>41</v>
      </c>
      <c r="B14" s="25">
        <v>316</v>
      </c>
      <c r="C14" s="16">
        <v>100</v>
      </c>
      <c r="D14" s="16">
        <v>1</v>
      </c>
    </row>
    <row r="15" spans="1:4" ht="14.25" x14ac:dyDescent="0.15">
      <c r="A15" s="30" t="s">
        <v>41</v>
      </c>
      <c r="B15" s="25">
        <v>317</v>
      </c>
      <c r="C15" s="16">
        <v>200</v>
      </c>
      <c r="D15" s="16">
        <v>1</v>
      </c>
    </row>
    <row r="16" spans="1:4" ht="14.25" x14ac:dyDescent="0.15">
      <c r="A16" s="25"/>
      <c r="B16" s="25"/>
    </row>
  </sheetData>
  <phoneticPr fontId="34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"/>
  <sheetViews>
    <sheetView workbookViewId="0">
      <selection activeCell="N30" sqref="N30"/>
    </sheetView>
  </sheetViews>
  <sheetFormatPr defaultColWidth="9" defaultRowHeight="13.5" x14ac:dyDescent="0.15"/>
  <cols>
    <col min="5" max="5" width="11.5" customWidth="1"/>
  </cols>
  <sheetData>
    <row r="1" spans="1:5" x14ac:dyDescent="0.15">
      <c r="A1" s="26" t="s">
        <v>40</v>
      </c>
      <c r="B1" s="5" t="s">
        <v>41</v>
      </c>
      <c r="C1" s="5" t="s">
        <v>41</v>
      </c>
      <c r="D1" s="5" t="s">
        <v>41</v>
      </c>
      <c r="E1" s="5" t="s">
        <v>41</v>
      </c>
    </row>
    <row r="2" spans="1:5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</row>
    <row r="3" spans="1:5" ht="14.25" x14ac:dyDescent="0.15">
      <c r="A3" s="6" t="s">
        <v>41</v>
      </c>
      <c r="B3" s="6" t="s">
        <v>43</v>
      </c>
      <c r="C3" s="19" t="s">
        <v>43</v>
      </c>
      <c r="D3" s="19" t="s">
        <v>43</v>
      </c>
      <c r="E3" s="19" t="s">
        <v>44</v>
      </c>
    </row>
    <row r="4" spans="1:5" ht="14.25" x14ac:dyDescent="0.15">
      <c r="A4" s="6"/>
      <c r="B4" s="6" t="s">
        <v>45</v>
      </c>
      <c r="C4" s="19" t="s">
        <v>182</v>
      </c>
      <c r="D4" s="19" t="s">
        <v>625</v>
      </c>
      <c r="E4" s="19" t="s">
        <v>626</v>
      </c>
    </row>
    <row r="5" spans="1:5" ht="14.25" x14ac:dyDescent="0.15">
      <c r="A5" s="6"/>
      <c r="B5" s="6" t="str">
        <f t="shared" ref="B5" si="0">IF(B3="","",IF(B3="INT","i",IF(B3="FLOAT","f",IF(B3="STRING","s"))))</f>
        <v>i</v>
      </c>
      <c r="C5" s="19" t="s">
        <v>307</v>
      </c>
      <c r="D5" s="19" t="s">
        <v>307</v>
      </c>
      <c r="E5" s="19" t="s">
        <v>240</v>
      </c>
    </row>
    <row r="6" spans="1:5" ht="14.25" x14ac:dyDescent="0.15">
      <c r="A6" s="6" t="s">
        <v>41</v>
      </c>
      <c r="B6" s="6" t="str">
        <f t="shared" ref="B6:E6" si="1">B5&amp;B4</f>
        <v>iID</v>
      </c>
      <c r="C6" s="19" t="str">
        <f t="shared" si="1"/>
        <v>iCapacity</v>
      </c>
      <c r="D6" s="19" t="str">
        <f t="shared" si="1"/>
        <v>iNavigateTime</v>
      </c>
      <c r="E6" s="19" t="str">
        <f t="shared" si="1"/>
        <v>sUpgradePrice</v>
      </c>
    </row>
    <row r="7" spans="1:5" ht="14.25" x14ac:dyDescent="0.15">
      <c r="A7" s="6"/>
      <c r="B7" s="6" t="s">
        <v>627</v>
      </c>
      <c r="C7" s="10" t="s">
        <v>186</v>
      </c>
      <c r="D7" s="10" t="s">
        <v>628</v>
      </c>
      <c r="E7" s="10" t="s">
        <v>629</v>
      </c>
    </row>
    <row r="8" spans="1:5" ht="14.25" x14ac:dyDescent="0.15">
      <c r="A8" s="6" t="s">
        <v>59</v>
      </c>
      <c r="B8" s="6" t="e">
        <f>MODE(B9:B965)</f>
        <v>#N/A</v>
      </c>
      <c r="C8" s="10"/>
      <c r="D8" s="10"/>
      <c r="E8" s="10"/>
    </row>
    <row r="9" spans="1:5" ht="14.25" x14ac:dyDescent="0.15">
      <c r="A9" s="17" t="s">
        <v>41</v>
      </c>
      <c r="B9" s="37">
        <v>1</v>
      </c>
      <c r="C9" s="35">
        <v>10</v>
      </c>
      <c r="D9" s="35">
        <v>180</v>
      </c>
      <c r="E9" s="36"/>
    </row>
    <row r="10" spans="1:5" ht="14.25" x14ac:dyDescent="0.15">
      <c r="A10" s="17" t="s">
        <v>41</v>
      </c>
      <c r="B10" s="37">
        <v>2</v>
      </c>
      <c r="C10" s="35">
        <v>20</v>
      </c>
      <c r="D10" s="35">
        <v>1200</v>
      </c>
      <c r="E10" s="36" t="s">
        <v>64</v>
      </c>
    </row>
    <row r="11" spans="1:5" ht="14.25" x14ac:dyDescent="0.15">
      <c r="A11" s="17" t="s">
        <v>41</v>
      </c>
      <c r="B11" s="37">
        <v>3</v>
      </c>
      <c r="C11" s="35">
        <v>40</v>
      </c>
      <c r="D11" s="35">
        <v>1800</v>
      </c>
      <c r="E11" s="36" t="s">
        <v>69</v>
      </c>
    </row>
    <row r="12" spans="1:5" ht="14.25" x14ac:dyDescent="0.15">
      <c r="A12" s="17" t="s">
        <v>41</v>
      </c>
      <c r="B12" s="37">
        <v>4</v>
      </c>
      <c r="C12" s="35">
        <v>120</v>
      </c>
      <c r="D12" s="35">
        <v>3600</v>
      </c>
      <c r="E12" s="36" t="s">
        <v>74</v>
      </c>
    </row>
    <row r="13" spans="1:5" ht="14.25" x14ac:dyDescent="0.15">
      <c r="A13" s="17" t="s">
        <v>41</v>
      </c>
      <c r="B13" s="37">
        <v>5</v>
      </c>
      <c r="C13" s="35">
        <v>300</v>
      </c>
      <c r="D13" s="35">
        <v>5400</v>
      </c>
      <c r="E13" s="36" t="s">
        <v>89</v>
      </c>
    </row>
    <row r="14" spans="1:5" ht="14.25" x14ac:dyDescent="0.15">
      <c r="A14" s="17" t="s">
        <v>41</v>
      </c>
      <c r="B14" s="37">
        <v>6</v>
      </c>
      <c r="C14" s="35">
        <v>600</v>
      </c>
      <c r="D14" s="35">
        <v>7200</v>
      </c>
      <c r="E14" s="36" t="s">
        <v>109</v>
      </c>
    </row>
    <row r="15" spans="1:5" ht="14.25" x14ac:dyDescent="0.15">
      <c r="A15" s="17" t="s">
        <v>41</v>
      </c>
      <c r="B15" s="37">
        <v>7</v>
      </c>
      <c r="C15" s="35">
        <v>1080</v>
      </c>
      <c r="D15" s="35">
        <v>10800</v>
      </c>
      <c r="E15" s="36" t="s">
        <v>139</v>
      </c>
    </row>
    <row r="16" spans="1:5" ht="14.25" x14ac:dyDescent="0.15">
      <c r="A16" s="17" t="s">
        <v>41</v>
      </c>
      <c r="B16" s="37">
        <v>8</v>
      </c>
      <c r="C16" s="35">
        <v>1440</v>
      </c>
      <c r="D16" s="35">
        <v>14400</v>
      </c>
      <c r="E16" s="36" t="s">
        <v>179</v>
      </c>
    </row>
    <row r="17" spans="1:5" ht="14.25" x14ac:dyDescent="0.15">
      <c r="A17" s="17" t="s">
        <v>41</v>
      </c>
      <c r="B17" s="37">
        <v>9</v>
      </c>
      <c r="C17" s="35">
        <v>2250</v>
      </c>
      <c r="D17" s="35">
        <v>18000</v>
      </c>
      <c r="E17" s="36" t="s">
        <v>630</v>
      </c>
    </row>
    <row r="18" spans="1:5" ht="14.25" x14ac:dyDescent="0.15">
      <c r="A18" s="17" t="s">
        <v>41</v>
      </c>
      <c r="B18" s="37">
        <v>10</v>
      </c>
      <c r="C18" s="35">
        <v>2700</v>
      </c>
      <c r="D18" s="35">
        <v>21600</v>
      </c>
      <c r="E18" s="36" t="s">
        <v>631</v>
      </c>
    </row>
  </sheetData>
  <phoneticPr fontId="34" type="noConversion"/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"/>
  <sheetViews>
    <sheetView workbookViewId="0">
      <selection activeCell="F3" sqref="F3"/>
    </sheetView>
  </sheetViews>
  <sheetFormatPr defaultColWidth="9" defaultRowHeight="13.5" x14ac:dyDescent="0.15"/>
  <cols>
    <col min="8" max="8" width="11.875" customWidth="1"/>
    <col min="9" max="9" width="21" customWidth="1"/>
  </cols>
  <sheetData>
    <row r="1" spans="1:9" x14ac:dyDescent="0.15">
      <c r="A1" s="26" t="s">
        <v>40</v>
      </c>
      <c r="B1" s="5" t="s">
        <v>41</v>
      </c>
      <c r="C1" s="5"/>
      <c r="D1" s="5" t="s">
        <v>41</v>
      </c>
      <c r="E1" s="5" t="s">
        <v>41</v>
      </c>
      <c r="F1" s="5" t="s">
        <v>41</v>
      </c>
      <c r="G1" s="5" t="s">
        <v>41</v>
      </c>
      <c r="H1" s="5" t="s">
        <v>41</v>
      </c>
      <c r="I1" s="5" t="s">
        <v>41</v>
      </c>
    </row>
    <row r="2" spans="1:9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</row>
    <row r="3" spans="1:9" ht="14.25" x14ac:dyDescent="0.15">
      <c r="A3" s="6" t="s">
        <v>41</v>
      </c>
      <c r="B3" s="6" t="s">
        <v>43</v>
      </c>
      <c r="C3" s="6" t="s">
        <v>44</v>
      </c>
      <c r="D3" s="19" t="s">
        <v>43</v>
      </c>
      <c r="E3" s="19" t="s">
        <v>43</v>
      </c>
      <c r="F3" s="19" t="s">
        <v>44</v>
      </c>
      <c r="G3" s="19" t="s">
        <v>43</v>
      </c>
      <c r="H3" s="19" t="s">
        <v>43</v>
      </c>
      <c r="I3" s="19" t="s">
        <v>44</v>
      </c>
    </row>
    <row r="4" spans="1:9" ht="14.25" x14ac:dyDescent="0.15">
      <c r="A4" s="6"/>
      <c r="B4" s="6" t="s">
        <v>45</v>
      </c>
      <c r="C4" s="6" t="s">
        <v>50</v>
      </c>
      <c r="D4" s="19" t="s">
        <v>182</v>
      </c>
      <c r="E4" s="19" t="s">
        <v>625</v>
      </c>
      <c r="F4" s="19" t="s">
        <v>621</v>
      </c>
      <c r="G4" s="19" t="s">
        <v>632</v>
      </c>
      <c r="H4" s="19" t="s">
        <v>633</v>
      </c>
      <c r="I4" s="19" t="s">
        <v>634</v>
      </c>
    </row>
    <row r="5" spans="1:9" ht="14.25" x14ac:dyDescent="0.15">
      <c r="A5" s="6"/>
      <c r="B5" s="6" t="str">
        <f t="shared" ref="B5:C5" si="0">IF(B3="","",IF(B3="INT","i",IF(B3="FLOAT","f",IF(B3="STRING","s"))))</f>
        <v>i</v>
      </c>
      <c r="C5" s="6" t="str">
        <f t="shared" si="0"/>
        <v>s</v>
      </c>
      <c r="D5" s="19" t="s">
        <v>307</v>
      </c>
      <c r="E5" s="19" t="s">
        <v>307</v>
      </c>
      <c r="F5" s="19" t="s">
        <v>240</v>
      </c>
      <c r="G5" s="19" t="s">
        <v>307</v>
      </c>
      <c r="H5" s="19" t="s">
        <v>307</v>
      </c>
      <c r="I5" s="19" t="s">
        <v>240</v>
      </c>
    </row>
    <row r="6" spans="1:9" ht="14.25" x14ac:dyDescent="0.15">
      <c r="A6" s="6" t="s">
        <v>41</v>
      </c>
      <c r="B6" s="6" t="str">
        <f t="shared" ref="B6:C6" si="1">B5&amp;B4</f>
        <v>iID</v>
      </c>
      <c r="C6" s="6" t="str">
        <f t="shared" si="1"/>
        <v>sName</v>
      </c>
      <c r="D6" s="19" t="str">
        <f t="shared" ref="D6:I6" si="2">D5&amp;D4</f>
        <v>iCapacity</v>
      </c>
      <c r="E6" s="19" t="str">
        <f t="shared" si="2"/>
        <v>iNavigateTime</v>
      </c>
      <c r="F6" s="19" t="str">
        <f t="shared" si="2"/>
        <v>sPrice</v>
      </c>
      <c r="G6" s="19" t="str">
        <f t="shared" si="2"/>
        <v>iReduceTime</v>
      </c>
      <c r="H6" s="19" t="str">
        <f t="shared" si="2"/>
        <v>iextraCapacity</v>
      </c>
      <c r="I6" s="19" t="str">
        <f t="shared" si="2"/>
        <v>sdescription</v>
      </c>
    </row>
    <row r="7" spans="1:9" ht="14.25" x14ac:dyDescent="0.15">
      <c r="A7" s="6"/>
      <c r="B7" s="6" t="s">
        <v>635</v>
      </c>
      <c r="C7" s="6" t="s">
        <v>636</v>
      </c>
      <c r="D7" s="10" t="s">
        <v>186</v>
      </c>
      <c r="E7" s="10" t="s">
        <v>628</v>
      </c>
      <c r="F7" s="10" t="s">
        <v>637</v>
      </c>
      <c r="G7" s="10" t="s">
        <v>638</v>
      </c>
      <c r="H7" s="10" t="s">
        <v>639</v>
      </c>
      <c r="I7" s="10" t="s">
        <v>640</v>
      </c>
    </row>
    <row r="8" spans="1:9" ht="14.25" x14ac:dyDescent="0.15">
      <c r="A8" s="6" t="s">
        <v>59</v>
      </c>
      <c r="B8" s="6" t="e">
        <f>MODE(B9:B959)</f>
        <v>#N/A</v>
      </c>
      <c r="C8" s="6"/>
      <c r="D8" s="10"/>
      <c r="E8" s="10"/>
      <c r="F8" s="10"/>
      <c r="G8" s="10"/>
      <c r="H8" s="10"/>
      <c r="I8" s="10"/>
    </row>
    <row r="9" spans="1:9" ht="28.5" customHeight="1" x14ac:dyDescent="0.15">
      <c r="A9" s="17" t="s">
        <v>41</v>
      </c>
      <c r="B9" s="35">
        <v>104001</v>
      </c>
      <c r="C9" s="35" t="s">
        <v>641</v>
      </c>
      <c r="D9" s="35">
        <v>20</v>
      </c>
      <c r="E9" s="35">
        <v>300</v>
      </c>
      <c r="F9" s="36"/>
      <c r="G9" s="35">
        <v>0</v>
      </c>
      <c r="H9" s="35">
        <v>0</v>
      </c>
      <c r="I9" s="35" t="s">
        <v>642</v>
      </c>
    </row>
    <row r="10" spans="1:9" ht="28.5" customHeight="1" x14ac:dyDescent="0.15">
      <c r="A10" s="17" t="s">
        <v>41</v>
      </c>
      <c r="B10" s="35">
        <v>104002</v>
      </c>
      <c r="C10" s="35" t="s">
        <v>643</v>
      </c>
      <c r="D10" s="35">
        <v>40</v>
      </c>
      <c r="E10" s="35">
        <v>600</v>
      </c>
      <c r="F10" s="36" t="s">
        <v>79</v>
      </c>
      <c r="G10" s="35">
        <v>0</v>
      </c>
      <c r="H10" s="35">
        <v>10</v>
      </c>
      <c r="I10" s="35" t="s">
        <v>644</v>
      </c>
    </row>
    <row r="11" spans="1:9" ht="28.5" customHeight="1" x14ac:dyDescent="0.15">
      <c r="A11" s="17" t="s">
        <v>41</v>
      </c>
      <c r="B11" s="35">
        <v>104003</v>
      </c>
      <c r="C11" s="35" t="s">
        <v>645</v>
      </c>
      <c r="D11" s="35">
        <v>60</v>
      </c>
      <c r="E11" s="35">
        <v>900</v>
      </c>
      <c r="F11" s="36" t="s">
        <v>99</v>
      </c>
      <c r="G11" s="35">
        <v>0</v>
      </c>
      <c r="H11" s="35">
        <v>20</v>
      </c>
      <c r="I11" s="35" t="s">
        <v>646</v>
      </c>
    </row>
    <row r="12" spans="1:9" ht="28.5" customHeight="1" x14ac:dyDescent="0.15">
      <c r="A12" s="17" t="s">
        <v>41</v>
      </c>
      <c r="B12" s="35">
        <v>104004</v>
      </c>
      <c r="C12" s="35" t="s">
        <v>647</v>
      </c>
      <c r="D12" s="35">
        <v>80</v>
      </c>
      <c r="E12" s="35">
        <v>1200</v>
      </c>
      <c r="F12" s="36" t="s">
        <v>119</v>
      </c>
      <c r="G12" s="35">
        <v>60</v>
      </c>
      <c r="H12" s="35">
        <v>30</v>
      </c>
      <c r="I12" s="35" t="s">
        <v>648</v>
      </c>
    </row>
  </sheetData>
  <phoneticPr fontId="34" type="noConversion"/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4"/>
  <sheetViews>
    <sheetView zoomScaleNormal="100" workbookViewId="0">
      <selection activeCell="K13" sqref="K13"/>
    </sheetView>
  </sheetViews>
  <sheetFormatPr defaultColWidth="9" defaultRowHeight="13.5" x14ac:dyDescent="0.15"/>
  <cols>
    <col min="5" max="5" width="21.5" customWidth="1"/>
    <col min="6" max="6" width="27.625" customWidth="1"/>
    <col min="8" max="8" width="13.5" customWidth="1"/>
    <col min="9" max="9" width="14" customWidth="1"/>
    <col min="10" max="10" width="9.5" customWidth="1"/>
    <col min="11" max="11" width="59.625" customWidth="1"/>
  </cols>
  <sheetData>
    <row r="1" spans="1:11" x14ac:dyDescent="0.15">
      <c r="A1" s="26" t="s">
        <v>40</v>
      </c>
      <c r="B1" s="5"/>
      <c r="C1" s="5"/>
      <c r="D1" s="5"/>
      <c r="G1" s="5"/>
      <c r="H1" s="5"/>
      <c r="K1" s="5"/>
    </row>
    <row r="2" spans="1:11" x14ac:dyDescent="0.15">
      <c r="A2" s="26" t="s">
        <v>42</v>
      </c>
      <c r="B2" s="5" t="s">
        <v>41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</row>
    <row r="3" spans="1:11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27" t="s">
        <v>44</v>
      </c>
      <c r="F3" s="27" t="s">
        <v>44</v>
      </c>
      <c r="G3" s="6" t="s">
        <v>43</v>
      </c>
      <c r="H3" s="6" t="s">
        <v>44</v>
      </c>
      <c r="I3" s="27" t="s">
        <v>44</v>
      </c>
      <c r="J3" s="27" t="s">
        <v>44</v>
      </c>
      <c r="K3" s="6" t="s">
        <v>44</v>
      </c>
    </row>
    <row r="4" spans="1:11" ht="14.25" x14ac:dyDescent="0.15">
      <c r="A4" s="6"/>
      <c r="B4" s="6" t="s">
        <v>45</v>
      </c>
      <c r="C4" s="6" t="s">
        <v>46</v>
      </c>
      <c r="D4" s="6" t="s">
        <v>47</v>
      </c>
      <c r="E4" s="28" t="s">
        <v>50</v>
      </c>
      <c r="F4" s="28" t="s">
        <v>649</v>
      </c>
      <c r="G4" s="6" t="s">
        <v>650</v>
      </c>
      <c r="H4" s="6" t="s">
        <v>651</v>
      </c>
      <c r="I4" s="28" t="s">
        <v>652</v>
      </c>
      <c r="J4" s="6" t="s">
        <v>238</v>
      </c>
      <c r="K4" s="6" t="s">
        <v>340</v>
      </c>
    </row>
    <row r="5" spans="1:11" ht="14.25" x14ac:dyDescent="0.15">
      <c r="A5" s="6"/>
      <c r="B5" s="6" t="str">
        <f t="shared" ref="B5:F5" si="0">IF(B3="","",IF(B3="INT","i",IF(B3="FLOAT","f",IF(B3="STRING","s"))))</f>
        <v>i</v>
      </c>
      <c r="C5" s="6" t="str">
        <f t="shared" si="0"/>
        <v>i</v>
      </c>
      <c r="D5" s="6" t="str">
        <f t="shared" si="0"/>
        <v>i</v>
      </c>
      <c r="E5" s="27" t="str">
        <f t="shared" si="0"/>
        <v>s</v>
      </c>
      <c r="F5" s="27" t="str">
        <f t="shared" si="0"/>
        <v>s</v>
      </c>
      <c r="G5" s="6" t="s">
        <v>307</v>
      </c>
      <c r="H5" s="6" t="s">
        <v>240</v>
      </c>
      <c r="I5" s="27" t="str">
        <f>IF(I3="","",IF(I3="INT","i",IF(I3="FLOAT","f",IF(I3="STRING","s"))))</f>
        <v>s</v>
      </c>
      <c r="J5" s="27" t="str">
        <f>IF(J3="","",IF(J3="INT","i",IF(J3="FLOAT","f",IF(J3="STRING","s"))))</f>
        <v>s</v>
      </c>
      <c r="K5" s="6" t="str">
        <f>IF(K3="","",IF(K3="INT","i",IF(K3="FLOAT","f",IF(K3="STRING","s"))))</f>
        <v>s</v>
      </c>
    </row>
    <row r="6" spans="1:11" ht="14.25" x14ac:dyDescent="0.15">
      <c r="A6" s="6" t="s">
        <v>41</v>
      </c>
      <c r="B6" s="6" t="str">
        <f t="shared" ref="B6:F6" si="1">B5&amp;B4</f>
        <v>iID</v>
      </c>
      <c r="C6" s="6" t="str">
        <f t="shared" si="1"/>
        <v>iBuildingID</v>
      </c>
      <c r="D6" s="6" t="str">
        <f t="shared" si="1"/>
        <v>iBuildingType</v>
      </c>
      <c r="E6" s="6" t="str">
        <f t="shared" si="1"/>
        <v>sName</v>
      </c>
      <c r="F6" s="6" t="str">
        <f t="shared" si="1"/>
        <v>sPosition</v>
      </c>
      <c r="G6" s="6" t="s">
        <v>653</v>
      </c>
      <c r="H6" s="6" t="s">
        <v>654</v>
      </c>
      <c r="I6" s="6" t="str">
        <f t="shared" ref="I6:K6" si="2">I5&amp;I4</f>
        <v>sOffset</v>
      </c>
      <c r="J6" s="19" t="str">
        <f t="shared" si="2"/>
        <v>sScreenID</v>
      </c>
      <c r="K6" s="6" t="str">
        <f t="shared" si="2"/>
        <v>sIcon</v>
      </c>
    </row>
    <row r="7" spans="1:11" ht="14.25" x14ac:dyDescent="0.15">
      <c r="A7" s="6"/>
      <c r="B7" s="6" t="s">
        <v>52</v>
      </c>
      <c r="C7" s="6" t="s">
        <v>53</v>
      </c>
      <c r="D7" s="6" t="s">
        <v>54</v>
      </c>
      <c r="E7" s="28" t="s">
        <v>195</v>
      </c>
      <c r="F7" s="28" t="s">
        <v>655</v>
      </c>
      <c r="G7" s="6" t="s">
        <v>656</v>
      </c>
      <c r="H7" s="6" t="s">
        <v>657</v>
      </c>
      <c r="I7" s="28" t="s">
        <v>655</v>
      </c>
      <c r="J7" s="28" t="s">
        <v>251</v>
      </c>
      <c r="K7" s="6" t="s">
        <v>658</v>
      </c>
    </row>
    <row r="8" spans="1:11" ht="14.25" x14ac:dyDescent="0.15">
      <c r="A8" s="6" t="s">
        <v>59</v>
      </c>
      <c r="B8" s="6" t="e">
        <f>MODE(B9:B985)</f>
        <v>#N/A</v>
      </c>
      <c r="C8" s="6"/>
      <c r="D8" s="6"/>
      <c r="E8" s="6"/>
      <c r="F8" s="6"/>
      <c r="G8" s="6"/>
      <c r="H8" s="6"/>
      <c r="I8" s="6"/>
      <c r="J8" s="6"/>
      <c r="K8" s="6" t="s">
        <v>659</v>
      </c>
    </row>
    <row r="9" spans="1:11" ht="14.25" x14ac:dyDescent="0.15">
      <c r="A9" s="25" t="s">
        <v>41</v>
      </c>
      <c r="B9" s="25">
        <v>1</v>
      </c>
      <c r="C9" s="25">
        <v>90001</v>
      </c>
      <c r="D9" s="25">
        <v>1</v>
      </c>
      <c r="E9" s="29" t="s">
        <v>660</v>
      </c>
      <c r="F9" s="29" t="s">
        <v>661</v>
      </c>
      <c r="G9" s="25">
        <v>0</v>
      </c>
      <c r="H9" s="25"/>
      <c r="I9" s="29" t="s">
        <v>1178</v>
      </c>
      <c r="J9" s="25"/>
      <c r="K9" s="34" t="s">
        <v>659</v>
      </c>
    </row>
    <row r="10" spans="1:11" ht="14.25" x14ac:dyDescent="0.15">
      <c r="A10" s="30" t="s">
        <v>41</v>
      </c>
      <c r="B10" s="30">
        <v>2</v>
      </c>
      <c r="C10" s="30">
        <v>90002</v>
      </c>
      <c r="D10" s="30">
        <v>2</v>
      </c>
      <c r="E10" s="29" t="s">
        <v>662</v>
      </c>
      <c r="F10" s="29" t="s">
        <v>1201</v>
      </c>
      <c r="G10" s="30">
        <v>2</v>
      </c>
      <c r="H10" s="30" t="s">
        <v>663</v>
      </c>
      <c r="I10" s="29" t="s">
        <v>664</v>
      </c>
      <c r="J10" s="25" t="s">
        <v>665</v>
      </c>
      <c r="K10" s="34" t="s">
        <v>666</v>
      </c>
    </row>
    <row r="11" spans="1:11" ht="14.25" x14ac:dyDescent="0.15">
      <c r="A11" s="25" t="s">
        <v>41</v>
      </c>
      <c r="B11" s="25">
        <v>3</v>
      </c>
      <c r="C11" s="25">
        <v>90003</v>
      </c>
      <c r="D11" s="25">
        <v>3</v>
      </c>
      <c r="E11" s="29" t="s">
        <v>1219</v>
      </c>
      <c r="F11" s="29" t="s">
        <v>667</v>
      </c>
      <c r="G11" s="25">
        <v>3</v>
      </c>
      <c r="H11" s="25"/>
      <c r="I11" s="29" t="s">
        <v>668</v>
      </c>
      <c r="J11" s="25">
        <v>3</v>
      </c>
      <c r="K11" s="34" t="s">
        <v>669</v>
      </c>
    </row>
    <row r="12" spans="1:11" ht="14.25" x14ac:dyDescent="0.15">
      <c r="A12" s="30" t="s">
        <v>41</v>
      </c>
      <c r="B12" s="30">
        <v>4</v>
      </c>
      <c r="C12" s="30">
        <v>90004</v>
      </c>
      <c r="D12" s="30">
        <v>4</v>
      </c>
      <c r="E12" s="29" t="s">
        <v>670</v>
      </c>
      <c r="F12" s="29" t="s">
        <v>671</v>
      </c>
      <c r="G12" s="30">
        <v>3</v>
      </c>
      <c r="H12" s="30"/>
      <c r="I12" s="29" t="s">
        <v>672</v>
      </c>
      <c r="J12" s="25">
        <v>4</v>
      </c>
      <c r="K12" s="34" t="s">
        <v>673</v>
      </c>
    </row>
    <row r="13" spans="1:11" ht="14.25" x14ac:dyDescent="0.15">
      <c r="A13" s="25" t="s">
        <v>41</v>
      </c>
      <c r="B13" s="25">
        <v>5</v>
      </c>
      <c r="C13" s="25">
        <v>90005</v>
      </c>
      <c r="D13" s="25">
        <v>5</v>
      </c>
      <c r="E13" s="31" t="s">
        <v>674</v>
      </c>
      <c r="F13" s="29" t="s">
        <v>675</v>
      </c>
      <c r="G13" s="25">
        <v>3</v>
      </c>
      <c r="H13" s="25"/>
      <c r="I13" s="29" t="s">
        <v>676</v>
      </c>
      <c r="J13" s="25">
        <v>5</v>
      </c>
      <c r="K13" s="34" t="s">
        <v>1231</v>
      </c>
    </row>
    <row r="14" spans="1:11" ht="14.25" x14ac:dyDescent="0.15">
      <c r="A14" s="30" t="s">
        <v>41</v>
      </c>
      <c r="B14" s="30">
        <v>6</v>
      </c>
      <c r="C14" s="30">
        <v>90006</v>
      </c>
      <c r="D14" s="30">
        <v>6</v>
      </c>
      <c r="E14" s="29" t="s">
        <v>1220</v>
      </c>
      <c r="F14" s="29" t="s">
        <v>677</v>
      </c>
      <c r="G14" s="30">
        <v>0</v>
      </c>
      <c r="H14" s="30"/>
      <c r="I14" s="29" t="s">
        <v>678</v>
      </c>
      <c r="J14" s="25"/>
      <c r="K14" s="34" t="s">
        <v>659</v>
      </c>
    </row>
    <row r="15" spans="1:11" ht="14.25" x14ac:dyDescent="0.15">
      <c r="A15" s="25" t="s">
        <v>41</v>
      </c>
      <c r="B15" s="25">
        <v>7</v>
      </c>
      <c r="C15" s="25">
        <v>90007</v>
      </c>
      <c r="D15" s="25">
        <v>7</v>
      </c>
      <c r="E15" s="31" t="s">
        <v>225</v>
      </c>
      <c r="F15" s="29" t="s">
        <v>679</v>
      </c>
      <c r="G15" s="25">
        <v>1</v>
      </c>
      <c r="H15" s="25"/>
      <c r="I15" s="29" t="s">
        <v>680</v>
      </c>
      <c r="J15" s="25">
        <v>2</v>
      </c>
      <c r="K15" s="34" t="s">
        <v>659</v>
      </c>
    </row>
    <row r="16" spans="1:11" ht="14.25" x14ac:dyDescent="0.15">
      <c r="A16" s="30" t="s">
        <v>41</v>
      </c>
      <c r="B16" s="30">
        <v>8</v>
      </c>
      <c r="C16" s="30">
        <v>90008</v>
      </c>
      <c r="D16" s="30">
        <v>8</v>
      </c>
      <c r="E16" s="31" t="s">
        <v>681</v>
      </c>
      <c r="F16" s="29" t="s">
        <v>682</v>
      </c>
      <c r="G16" s="30">
        <v>0</v>
      </c>
      <c r="H16" s="30"/>
      <c r="I16" s="29" t="s">
        <v>683</v>
      </c>
      <c r="J16" s="25"/>
      <c r="K16" s="34" t="s">
        <v>1229</v>
      </c>
    </row>
    <row r="17" spans="1:15" ht="14.25" x14ac:dyDescent="0.15">
      <c r="A17" s="25" t="s">
        <v>41</v>
      </c>
      <c r="B17" s="25">
        <v>9</v>
      </c>
      <c r="C17" s="25">
        <v>90009</v>
      </c>
      <c r="D17" s="25">
        <v>10</v>
      </c>
      <c r="E17" s="29" t="s">
        <v>1217</v>
      </c>
      <c r="F17" s="29" t="s">
        <v>684</v>
      </c>
      <c r="G17" s="25">
        <v>1</v>
      </c>
      <c r="H17" s="25"/>
      <c r="I17" s="29" t="s">
        <v>685</v>
      </c>
      <c r="J17" s="25">
        <v>1</v>
      </c>
      <c r="K17" s="34" t="s">
        <v>659</v>
      </c>
    </row>
    <row r="18" spans="1:15" ht="14.25" x14ac:dyDescent="0.15">
      <c r="A18" s="30" t="s">
        <v>41</v>
      </c>
      <c r="B18" s="30">
        <v>10</v>
      </c>
      <c r="C18" s="30">
        <v>90010</v>
      </c>
      <c r="D18" s="30">
        <v>11</v>
      </c>
      <c r="E18" s="29" t="s">
        <v>228</v>
      </c>
      <c r="F18" s="29" t="s">
        <v>686</v>
      </c>
      <c r="G18" s="30">
        <v>1</v>
      </c>
      <c r="H18" s="30"/>
      <c r="I18" s="29" t="s">
        <v>687</v>
      </c>
      <c r="J18" s="25">
        <v>2</v>
      </c>
      <c r="K18" s="34" t="s">
        <v>659</v>
      </c>
    </row>
    <row r="19" spans="1:15" ht="14.25" x14ac:dyDescent="0.15">
      <c r="A19" s="25" t="s">
        <v>41</v>
      </c>
      <c r="B19" s="25">
        <v>11</v>
      </c>
      <c r="C19" s="25">
        <v>90011</v>
      </c>
      <c r="D19" s="25">
        <v>12</v>
      </c>
      <c r="E19" s="29" t="s">
        <v>226</v>
      </c>
      <c r="F19" s="29" t="s">
        <v>1200</v>
      </c>
      <c r="G19" s="25">
        <v>1</v>
      </c>
      <c r="H19" s="25"/>
      <c r="I19" s="29" t="s">
        <v>688</v>
      </c>
      <c r="J19" s="25">
        <v>2</v>
      </c>
      <c r="K19" s="34" t="s">
        <v>1230</v>
      </c>
    </row>
    <row r="20" spans="1:15" ht="14.25" x14ac:dyDescent="0.15">
      <c r="A20" s="25" t="s">
        <v>41</v>
      </c>
      <c r="B20" s="30">
        <v>12</v>
      </c>
      <c r="C20" s="30">
        <v>90012</v>
      </c>
      <c r="D20" s="30">
        <v>13</v>
      </c>
      <c r="E20" s="29" t="s">
        <v>689</v>
      </c>
      <c r="F20" s="29" t="s">
        <v>690</v>
      </c>
      <c r="G20" s="30">
        <v>0</v>
      </c>
      <c r="H20" s="30"/>
      <c r="I20" s="29" t="s">
        <v>683</v>
      </c>
      <c r="J20" s="25"/>
      <c r="K20" s="34" t="s">
        <v>659</v>
      </c>
    </row>
    <row r="21" spans="1:15" ht="14.25" x14ac:dyDescent="0.15">
      <c r="A21" s="25" t="s">
        <v>41</v>
      </c>
      <c r="B21" s="25">
        <v>13</v>
      </c>
      <c r="C21" s="25">
        <v>80100</v>
      </c>
      <c r="D21" s="25">
        <v>9</v>
      </c>
      <c r="E21" s="32" t="s">
        <v>317</v>
      </c>
      <c r="G21" s="25">
        <v>4</v>
      </c>
      <c r="H21" s="25"/>
      <c r="K21" s="34" t="s">
        <v>659</v>
      </c>
    </row>
    <row r="22" spans="1:15" ht="14.25" x14ac:dyDescent="0.15">
      <c r="A22" s="30" t="s">
        <v>41</v>
      </c>
      <c r="B22" s="30">
        <v>14</v>
      </c>
      <c r="C22" s="30">
        <v>80101</v>
      </c>
      <c r="D22" s="30">
        <v>9</v>
      </c>
      <c r="E22" s="33" t="s">
        <v>318</v>
      </c>
      <c r="G22" s="30">
        <v>4</v>
      </c>
      <c r="H22" s="30"/>
      <c r="K22" s="34" t="s">
        <v>659</v>
      </c>
    </row>
    <row r="23" spans="1:15" ht="14.25" x14ac:dyDescent="0.15">
      <c r="A23" s="25" t="s">
        <v>41</v>
      </c>
      <c r="B23" s="25">
        <v>15</v>
      </c>
      <c r="C23" s="25">
        <v>80102</v>
      </c>
      <c r="D23" s="25">
        <v>9</v>
      </c>
      <c r="E23" s="32" t="s">
        <v>319</v>
      </c>
      <c r="G23" s="25">
        <v>4</v>
      </c>
      <c r="H23" s="25"/>
      <c r="K23" s="34" t="s">
        <v>659</v>
      </c>
    </row>
    <row r="24" spans="1:15" ht="14.25" x14ac:dyDescent="0.15">
      <c r="A24" s="30" t="s">
        <v>41</v>
      </c>
      <c r="B24" s="30">
        <v>16</v>
      </c>
      <c r="C24" s="30">
        <v>80103</v>
      </c>
      <c r="D24" s="30">
        <v>9</v>
      </c>
      <c r="E24" s="33" t="s">
        <v>320</v>
      </c>
      <c r="G24" s="30">
        <v>4</v>
      </c>
      <c r="H24" s="30"/>
      <c r="K24" s="34" t="s">
        <v>659</v>
      </c>
      <c r="O24" s="30"/>
    </row>
  </sheetData>
  <phoneticPr fontId="34" type="noConversion"/>
  <conditionalFormatting sqref="B1:B10">
    <cfRule type="duplicateValues" dxfId="3" priority="4"/>
  </conditionalFormatting>
  <conditionalFormatting sqref="B11:B24">
    <cfRule type="duplicateValues" dxfId="2" priority="3"/>
  </conditionalFormatting>
  <conditionalFormatting sqref="B21:B22">
    <cfRule type="duplicateValues" dxfId="1" priority="2"/>
  </conditionalFormatting>
  <conditionalFormatting sqref="B23:B24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6"/>
  <sheetViews>
    <sheetView workbookViewId="0">
      <selection activeCell="H16" sqref="H16"/>
    </sheetView>
  </sheetViews>
  <sheetFormatPr defaultColWidth="9" defaultRowHeight="13.5" x14ac:dyDescent="0.15"/>
  <cols>
    <col min="1" max="1" width="9" style="23" customWidth="1"/>
    <col min="2" max="2" width="14.25" style="23" customWidth="1"/>
    <col min="3" max="3" width="23" style="23" customWidth="1"/>
    <col min="4" max="4" width="53.5" style="23" customWidth="1"/>
    <col min="5" max="5" width="12.625" style="23" customWidth="1"/>
    <col min="6" max="6" width="10.25" style="23" customWidth="1"/>
    <col min="7" max="7" width="16.875" style="23" customWidth="1"/>
    <col min="8" max="16384" width="9" style="23"/>
  </cols>
  <sheetData>
    <row r="1" spans="1:7" s="3" customFormat="1" x14ac:dyDescent="0.15">
      <c r="A1" s="4" t="s">
        <v>40</v>
      </c>
    </row>
    <row r="2" spans="1:7" s="3" customFormat="1" x14ac:dyDescent="0.15">
      <c r="A2" s="4" t="s">
        <v>42</v>
      </c>
      <c r="B2" s="3" t="s">
        <v>41</v>
      </c>
      <c r="C2" s="3" t="s">
        <v>41</v>
      </c>
      <c r="D2" s="3" t="s">
        <v>41</v>
      </c>
    </row>
    <row r="3" spans="1:7" s="7" customFormat="1" ht="14.25" x14ac:dyDescent="0.15">
      <c r="A3" s="24" t="s">
        <v>41</v>
      </c>
      <c r="B3" s="24" t="s">
        <v>43</v>
      </c>
      <c r="C3" s="24" t="s">
        <v>43</v>
      </c>
      <c r="D3" s="24" t="s">
        <v>44</v>
      </c>
      <c r="E3" s="24"/>
      <c r="F3" s="24"/>
      <c r="G3" s="24"/>
    </row>
    <row r="4" spans="1:7" s="7" customFormat="1" ht="14.25" x14ac:dyDescent="0.15">
      <c r="A4" s="24"/>
      <c r="B4" s="24" t="s">
        <v>45</v>
      </c>
      <c r="C4" s="24" t="s">
        <v>691</v>
      </c>
      <c r="D4" s="24" t="s">
        <v>692</v>
      </c>
      <c r="E4" s="24"/>
      <c r="F4" s="24"/>
      <c r="G4" s="24"/>
    </row>
    <row r="5" spans="1:7" s="7" customFormat="1" ht="14.25" x14ac:dyDescent="0.15">
      <c r="A5" s="24"/>
      <c r="B5" s="24" t="str">
        <f>IF(B3="","",IF(B3="INT","i",IF(B3="FLOAT","f",IF(B3="STRING","s"))))</f>
        <v>i</v>
      </c>
      <c r="C5" s="24" t="s">
        <v>307</v>
      </c>
      <c r="D5" s="24" t="str">
        <f>IF(D3="","",IF(D3="INT","i",IF(D3="FLOAT","f",IF(D3="STRING","s"))))</f>
        <v>s</v>
      </c>
      <c r="E5" s="24"/>
      <c r="F5" s="24"/>
      <c r="G5" s="24"/>
    </row>
    <row r="6" spans="1:7" s="7" customFormat="1" ht="14.25" x14ac:dyDescent="0.15">
      <c r="A6" s="24" t="s">
        <v>41</v>
      </c>
      <c r="B6" s="24" t="str">
        <f>B5&amp;B4</f>
        <v>iID</v>
      </c>
      <c r="C6" s="24" t="str">
        <f>C5&amp;C4</f>
        <v>iLogType</v>
      </c>
      <c r="D6" s="24" t="str">
        <f t="shared" ref="D6" si="0">D5&amp;D4</f>
        <v>sLogContent</v>
      </c>
      <c r="E6" s="24"/>
      <c r="F6" s="24"/>
      <c r="G6" s="24"/>
    </row>
    <row r="7" spans="1:7" s="11" customFormat="1" ht="14.25" x14ac:dyDescent="0.15">
      <c r="A7" s="24"/>
      <c r="B7" s="24" t="s">
        <v>45</v>
      </c>
      <c r="C7" s="24" t="s">
        <v>693</v>
      </c>
      <c r="D7" s="24" t="s">
        <v>694</v>
      </c>
      <c r="E7" s="24"/>
      <c r="F7" s="24"/>
      <c r="G7" s="24"/>
    </row>
    <row r="8" spans="1:7" s="11" customFormat="1" ht="14.25" x14ac:dyDescent="0.15">
      <c r="A8" s="24" t="s">
        <v>59</v>
      </c>
      <c r="B8" s="24" t="e">
        <f>MODE(B9:B511)</f>
        <v>#N/A</v>
      </c>
      <c r="C8" s="24"/>
      <c r="D8" s="24"/>
      <c r="E8" s="24"/>
      <c r="F8" s="24"/>
      <c r="G8" s="24"/>
    </row>
    <row r="9" spans="1:7" x14ac:dyDescent="0.15">
      <c r="A9" s="23" t="s">
        <v>41</v>
      </c>
      <c r="B9" s="23">
        <v>1</v>
      </c>
      <c r="C9" s="23">
        <v>0</v>
      </c>
      <c r="D9" s="23" t="s">
        <v>695</v>
      </c>
    </row>
    <row r="10" spans="1:7" s="22" customFormat="1" x14ac:dyDescent="0.15">
      <c r="A10" s="22" t="s">
        <v>41</v>
      </c>
      <c r="B10" s="22">
        <v>2</v>
      </c>
      <c r="C10" s="23">
        <v>1</v>
      </c>
      <c r="D10" s="22" t="s">
        <v>696</v>
      </c>
    </row>
    <row r="11" spans="1:7" x14ac:dyDescent="0.15">
      <c r="A11" s="23" t="s">
        <v>41</v>
      </c>
      <c r="B11" s="23">
        <v>3</v>
      </c>
      <c r="C11" s="23">
        <v>2</v>
      </c>
      <c r="D11" s="23" t="s">
        <v>697</v>
      </c>
    </row>
    <row r="12" spans="1:7" s="22" customFormat="1" x14ac:dyDescent="0.15">
      <c r="A12" s="22" t="s">
        <v>41</v>
      </c>
      <c r="B12" s="22">
        <v>4</v>
      </c>
      <c r="C12" s="23">
        <v>3</v>
      </c>
      <c r="D12" s="22" t="s">
        <v>698</v>
      </c>
    </row>
    <row r="13" spans="1:7" x14ac:dyDescent="0.15">
      <c r="A13" s="23" t="s">
        <v>41</v>
      </c>
      <c r="B13" s="23">
        <v>5</v>
      </c>
      <c r="C13" s="23">
        <v>4</v>
      </c>
      <c r="D13" s="23" t="s">
        <v>699</v>
      </c>
    </row>
    <row r="14" spans="1:7" s="22" customFormat="1" x14ac:dyDescent="0.15">
      <c r="A14" s="22" t="s">
        <v>41</v>
      </c>
      <c r="B14" s="22">
        <v>6</v>
      </c>
      <c r="C14" s="23">
        <v>5</v>
      </c>
      <c r="D14" s="22" t="s">
        <v>700</v>
      </c>
    </row>
    <row r="15" spans="1:7" x14ac:dyDescent="0.15">
      <c r="A15" s="23" t="s">
        <v>41</v>
      </c>
      <c r="B15" s="23">
        <v>7</v>
      </c>
      <c r="C15" s="23">
        <v>6</v>
      </c>
      <c r="D15" s="23" t="s">
        <v>701</v>
      </c>
    </row>
    <row r="16" spans="1:7" s="22" customFormat="1" x14ac:dyDescent="0.15">
      <c r="A16" s="23" t="s">
        <v>41</v>
      </c>
      <c r="B16" s="23">
        <v>8</v>
      </c>
      <c r="C16" s="23">
        <v>7</v>
      </c>
      <c r="D16" s="23" t="s">
        <v>702</v>
      </c>
    </row>
    <row r="18" spans="4:6" x14ac:dyDescent="0.15">
      <c r="D18" s="22"/>
      <c r="E18" s="23" t="s">
        <v>693</v>
      </c>
    </row>
    <row r="19" spans="4:6" x14ac:dyDescent="0.15">
      <c r="E19" s="23">
        <v>0</v>
      </c>
      <c r="F19" s="23" t="s">
        <v>703</v>
      </c>
    </row>
    <row r="20" spans="4:6" x14ac:dyDescent="0.15">
      <c r="D20" s="22"/>
      <c r="E20" s="23">
        <v>1</v>
      </c>
      <c r="F20" s="23" t="s">
        <v>704</v>
      </c>
    </row>
    <row r="21" spans="4:6" x14ac:dyDescent="0.15">
      <c r="E21" s="23">
        <v>2</v>
      </c>
      <c r="F21" s="23" t="s">
        <v>705</v>
      </c>
    </row>
    <row r="22" spans="4:6" x14ac:dyDescent="0.15">
      <c r="D22" s="22"/>
      <c r="E22" s="23">
        <v>3</v>
      </c>
      <c r="F22" s="23" t="s">
        <v>706</v>
      </c>
    </row>
    <row r="23" spans="4:6" x14ac:dyDescent="0.15">
      <c r="E23" s="23">
        <v>4</v>
      </c>
      <c r="F23" s="23" t="s">
        <v>707</v>
      </c>
    </row>
    <row r="24" spans="4:6" x14ac:dyDescent="0.15">
      <c r="D24" s="22"/>
      <c r="E24" s="23">
        <v>5</v>
      </c>
      <c r="F24" s="23" t="s">
        <v>708</v>
      </c>
    </row>
    <row r="25" spans="4:6" x14ac:dyDescent="0.15">
      <c r="E25" s="23">
        <v>6</v>
      </c>
      <c r="F25" s="23" t="s">
        <v>709</v>
      </c>
    </row>
    <row r="26" spans="4:6" x14ac:dyDescent="0.15">
      <c r="D26" s="22"/>
      <c r="E26" s="23">
        <v>7</v>
      </c>
      <c r="F26" s="23" t="s">
        <v>710</v>
      </c>
    </row>
    <row r="28" spans="4:6" x14ac:dyDescent="0.15">
      <c r="D28" s="22"/>
    </row>
    <row r="30" spans="4:6" x14ac:dyDescent="0.15">
      <c r="D30" s="22"/>
    </row>
    <row r="32" spans="4:6" x14ac:dyDescent="0.15">
      <c r="D32" s="22"/>
    </row>
    <row r="34" spans="1:2" ht="14.25" x14ac:dyDescent="0.15">
      <c r="A34" s="25"/>
      <c r="B34" s="25"/>
    </row>
    <row r="35" spans="1:2" ht="14.25" x14ac:dyDescent="0.15">
      <c r="A35" s="25"/>
      <c r="B35" s="25"/>
    </row>
    <row r="36" spans="1:2" ht="14.25" x14ac:dyDescent="0.15">
      <c r="A36" s="25"/>
      <c r="B36" s="25"/>
    </row>
    <row r="37" spans="1:2" ht="14.25" x14ac:dyDescent="0.15">
      <c r="A37" s="25"/>
      <c r="B37" s="25"/>
    </row>
    <row r="38" spans="1:2" ht="14.25" x14ac:dyDescent="0.15">
      <c r="A38" s="25"/>
      <c r="B38" s="25"/>
    </row>
    <row r="39" spans="1:2" ht="14.25" x14ac:dyDescent="0.15">
      <c r="A39" s="25"/>
      <c r="B39" s="25"/>
    </row>
    <row r="40" spans="1:2" ht="14.25" x14ac:dyDescent="0.15">
      <c r="A40" s="25"/>
      <c r="B40" s="25"/>
    </row>
    <row r="41" spans="1:2" ht="14.25" x14ac:dyDescent="0.15">
      <c r="A41" s="25"/>
      <c r="B41" s="25"/>
    </row>
    <row r="42" spans="1:2" ht="14.25" x14ac:dyDescent="0.15">
      <c r="A42" s="25"/>
      <c r="B42" s="25"/>
    </row>
    <row r="43" spans="1:2" ht="14.25" x14ac:dyDescent="0.15">
      <c r="A43" s="25"/>
      <c r="B43" s="25"/>
    </row>
    <row r="44" spans="1:2" ht="14.25" x14ac:dyDescent="0.15">
      <c r="A44" s="25"/>
      <c r="B44" s="25"/>
    </row>
    <row r="45" spans="1:2" ht="14.25" x14ac:dyDescent="0.15">
      <c r="A45" s="25"/>
      <c r="B45" s="25"/>
    </row>
    <row r="46" spans="1:2" ht="14.25" x14ac:dyDescent="0.15">
      <c r="A46" s="25"/>
      <c r="B46" s="25"/>
    </row>
    <row r="47" spans="1:2" ht="14.25" x14ac:dyDescent="0.15">
      <c r="A47" s="25"/>
      <c r="B47" s="25"/>
    </row>
    <row r="48" spans="1:2" ht="14.25" x14ac:dyDescent="0.15">
      <c r="A48" s="25"/>
      <c r="B48" s="25"/>
    </row>
    <row r="49" spans="1:2" ht="14.25" x14ac:dyDescent="0.15">
      <c r="A49" s="25"/>
      <c r="B49" s="25"/>
    </row>
    <row r="50" spans="1:2" ht="14.25" x14ac:dyDescent="0.15">
      <c r="A50" s="25"/>
      <c r="B50" s="25"/>
    </row>
    <row r="51" spans="1:2" ht="14.25" x14ac:dyDescent="0.15">
      <c r="A51" s="25"/>
      <c r="B51" s="25"/>
    </row>
    <row r="52" spans="1:2" ht="14.25" x14ac:dyDescent="0.15">
      <c r="A52" s="25"/>
      <c r="B52" s="25"/>
    </row>
    <row r="53" spans="1:2" ht="14.25" x14ac:dyDescent="0.15">
      <c r="A53" s="25"/>
      <c r="B53" s="25"/>
    </row>
    <row r="54" spans="1:2" ht="14.25" x14ac:dyDescent="0.15">
      <c r="A54" s="25"/>
      <c r="B54" s="25"/>
    </row>
    <row r="55" spans="1:2" ht="14.25" x14ac:dyDescent="0.15">
      <c r="A55" s="25"/>
      <c r="B55" s="25"/>
    </row>
    <row r="56" spans="1:2" ht="14.25" x14ac:dyDescent="0.15">
      <c r="A56" s="25"/>
      <c r="B56" s="25"/>
    </row>
    <row r="57" spans="1:2" ht="14.25" x14ac:dyDescent="0.15">
      <c r="A57" s="25"/>
      <c r="B57" s="25"/>
    </row>
    <row r="58" spans="1:2" ht="14.25" x14ac:dyDescent="0.15">
      <c r="A58" s="25"/>
      <c r="B58" s="25"/>
    </row>
    <row r="59" spans="1:2" ht="14.25" x14ac:dyDescent="0.15">
      <c r="A59" s="25"/>
      <c r="B59" s="25"/>
    </row>
    <row r="60" spans="1:2" ht="14.25" x14ac:dyDescent="0.15">
      <c r="A60" s="25"/>
      <c r="B60" s="25"/>
    </row>
    <row r="61" spans="1:2" ht="14.25" x14ac:dyDescent="0.15">
      <c r="A61" s="25"/>
      <c r="B61" s="25"/>
    </row>
    <row r="62" spans="1:2" ht="14.25" x14ac:dyDescent="0.15">
      <c r="A62" s="25"/>
      <c r="B62" s="25"/>
    </row>
    <row r="63" spans="1:2" ht="14.25" x14ac:dyDescent="0.15">
      <c r="A63" s="25"/>
      <c r="B63" s="25"/>
    </row>
    <row r="64" spans="1:2" ht="14.25" x14ac:dyDescent="0.15">
      <c r="A64" s="25"/>
      <c r="B64" s="25"/>
    </row>
    <row r="65" spans="1:2" ht="14.25" x14ac:dyDescent="0.15">
      <c r="A65" s="25"/>
      <c r="B65" s="25"/>
    </row>
    <row r="66" spans="1:2" ht="14.25" x14ac:dyDescent="0.15">
      <c r="A66" s="25"/>
      <c r="B66" s="25"/>
    </row>
  </sheetData>
  <phoneticPr fontId="3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selection activeCell="I11" sqref="I11"/>
    </sheetView>
  </sheetViews>
  <sheetFormatPr defaultColWidth="9" defaultRowHeight="13.5" x14ac:dyDescent="0.15"/>
  <cols>
    <col min="1" max="2" width="9" style="21"/>
    <col min="3" max="3" width="18" style="21" customWidth="1"/>
    <col min="4" max="4" width="12.625" style="21" customWidth="1"/>
    <col min="5" max="5" width="21.375" customWidth="1"/>
    <col min="6" max="6" width="22" style="21" customWidth="1"/>
    <col min="7" max="16384" width="9" style="21"/>
  </cols>
  <sheetData>
    <row r="1" spans="1:6" x14ac:dyDescent="0.15">
      <c r="A1" s="4" t="s">
        <v>40</v>
      </c>
      <c r="B1" s="3" t="s">
        <v>41</v>
      </c>
      <c r="C1" s="3" t="s">
        <v>41</v>
      </c>
      <c r="D1" s="3" t="s">
        <v>41</v>
      </c>
      <c r="E1" s="3"/>
      <c r="F1" s="3"/>
    </row>
    <row r="2" spans="1:6" x14ac:dyDescent="0.15">
      <c r="A2" s="4" t="s">
        <v>42</v>
      </c>
      <c r="B2" s="3" t="s">
        <v>41</v>
      </c>
      <c r="C2" s="3" t="s">
        <v>41</v>
      </c>
      <c r="D2" s="3" t="s">
        <v>41</v>
      </c>
      <c r="E2" s="3" t="s">
        <v>41</v>
      </c>
      <c r="F2" s="3" t="s">
        <v>41</v>
      </c>
    </row>
    <row r="3" spans="1:6" ht="14.25" x14ac:dyDescent="0.15">
      <c r="A3" s="6" t="s">
        <v>41</v>
      </c>
      <c r="B3" s="6" t="s">
        <v>43</v>
      </c>
      <c r="C3" s="6" t="s">
        <v>43</v>
      </c>
      <c r="D3" s="7" t="s">
        <v>43</v>
      </c>
      <c r="E3" s="6" t="s">
        <v>44</v>
      </c>
      <c r="F3" s="7" t="s">
        <v>43</v>
      </c>
    </row>
    <row r="4" spans="1:6" ht="14.25" x14ac:dyDescent="0.15">
      <c r="A4" s="6"/>
      <c r="B4" s="6" t="s">
        <v>45</v>
      </c>
      <c r="C4" s="6" t="s">
        <v>711</v>
      </c>
      <c r="D4" s="7" t="s">
        <v>712</v>
      </c>
      <c r="E4" s="6" t="s">
        <v>713</v>
      </c>
      <c r="F4" s="7" t="s">
        <v>714</v>
      </c>
    </row>
    <row r="5" spans="1:6" ht="14.25" x14ac:dyDescent="0.15">
      <c r="A5" s="6"/>
      <c r="B5" s="6" t="str">
        <f t="shared" ref="B5:C5" si="0">IF(B3="","",IF(B3="INT","i",IF(B3="FLOAT","f",IF(B3="STRING","s"))))</f>
        <v>i</v>
      </c>
      <c r="C5" s="6" t="str">
        <f t="shared" si="0"/>
        <v>i</v>
      </c>
      <c r="D5" s="7" t="s">
        <v>307</v>
      </c>
      <c r="E5" s="6" t="str">
        <f t="shared" ref="E5" si="1">IF(E3="","",IF(E3="INT","i",IF(E3="FLOAT","f",IF(E3="STRING","s"))))</f>
        <v>s</v>
      </c>
      <c r="F5" s="7" t="s">
        <v>307</v>
      </c>
    </row>
    <row r="6" spans="1:6" ht="14.25" x14ac:dyDescent="0.15">
      <c r="A6" s="6" t="s">
        <v>41</v>
      </c>
      <c r="B6" s="6" t="str">
        <f t="shared" ref="B6:D6" si="2">B5&amp;B4</f>
        <v>iID</v>
      </c>
      <c r="C6" s="6" t="str">
        <f t="shared" si="2"/>
        <v>icurrencyID</v>
      </c>
      <c r="D6" s="7" t="str">
        <f t="shared" si="2"/>
        <v>ibuyPrice</v>
      </c>
      <c r="E6" s="6" t="str">
        <f t="shared" ref="E6:F6" si="3">E5&amp;E4</f>
        <v>sItemTypeMark</v>
      </c>
      <c r="F6" s="7" t="str">
        <f t="shared" si="3"/>
        <v>iItemType</v>
      </c>
    </row>
    <row r="7" spans="1:6" ht="14.25" x14ac:dyDescent="0.15">
      <c r="A7" s="6"/>
      <c r="B7" s="6" t="s">
        <v>622</v>
      </c>
      <c r="C7" s="6" t="s">
        <v>715</v>
      </c>
      <c r="D7" s="11" t="s">
        <v>716</v>
      </c>
      <c r="E7" s="6" t="s">
        <v>717</v>
      </c>
      <c r="F7" s="11" t="s">
        <v>718</v>
      </c>
    </row>
    <row r="8" spans="1:6" ht="14.25" x14ac:dyDescent="0.15">
      <c r="A8" s="6" t="s">
        <v>59</v>
      </c>
      <c r="B8" s="6" t="e">
        <f>MODE(B9:B958)</f>
        <v>#N/A</v>
      </c>
      <c r="C8" s="6"/>
      <c r="D8" s="11"/>
      <c r="E8" s="6"/>
      <c r="F8" s="11"/>
    </row>
    <row r="9" spans="1:6" ht="14.25" x14ac:dyDescent="0.15">
      <c r="A9" s="17" t="s">
        <v>41</v>
      </c>
      <c r="B9" s="18">
        <v>209</v>
      </c>
      <c r="C9" s="18">
        <v>1</v>
      </c>
      <c r="D9" s="18">
        <v>100000</v>
      </c>
      <c r="E9" s="18" t="s">
        <v>719</v>
      </c>
      <c r="F9" s="18">
        <v>1</v>
      </c>
    </row>
    <row r="10" spans="1:6" ht="14.25" x14ac:dyDescent="0.15">
      <c r="A10" s="17" t="s">
        <v>41</v>
      </c>
      <c r="B10" s="18">
        <v>210</v>
      </c>
      <c r="C10" s="18">
        <v>1</v>
      </c>
      <c r="D10" s="18">
        <v>200000</v>
      </c>
      <c r="E10" s="18" t="s">
        <v>720</v>
      </c>
      <c r="F10" s="18">
        <v>2</v>
      </c>
    </row>
    <row r="11" spans="1:6" ht="14.25" x14ac:dyDescent="0.15">
      <c r="A11" s="17" t="s">
        <v>41</v>
      </c>
      <c r="B11" s="18">
        <v>211</v>
      </c>
      <c r="C11" s="18">
        <v>1</v>
      </c>
      <c r="D11" s="18">
        <v>300000</v>
      </c>
      <c r="E11" s="18" t="s">
        <v>721</v>
      </c>
      <c r="F11" s="18">
        <v>3</v>
      </c>
    </row>
  </sheetData>
  <phoneticPr fontId="34" type="noConversion"/>
  <pageMargins left="0.7" right="0.7" top="0.75" bottom="0.75" header="0.3" footer="0.3"/>
  <pageSetup paperSize="9" orientation="portrait" horizontalDpi="300" verticalDpi="300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14"/>
  <sheetViews>
    <sheetView tabSelected="1" workbookViewId="0">
      <selection activeCell="G20" sqref="G20"/>
    </sheetView>
  </sheetViews>
  <sheetFormatPr defaultColWidth="9" defaultRowHeight="13.5" x14ac:dyDescent="0.15"/>
  <cols>
    <col min="4" max="4" width="10.5" customWidth="1"/>
    <col min="5" max="5" width="17.5" customWidth="1"/>
    <col min="6" max="6" width="26.5" customWidth="1"/>
    <col min="7" max="7" width="19.25" customWidth="1"/>
    <col min="8" max="8" width="26.375" customWidth="1"/>
    <col min="9" max="9" width="22.375" customWidth="1"/>
  </cols>
  <sheetData>
    <row r="1" spans="1:9" x14ac:dyDescent="0.15">
      <c r="A1" s="4" t="s">
        <v>40</v>
      </c>
      <c r="B1" s="3"/>
      <c r="C1" s="3"/>
      <c r="D1" s="3"/>
      <c r="E1" s="3"/>
      <c r="F1" s="3"/>
    </row>
    <row r="2" spans="1:9" x14ac:dyDescent="0.15">
      <c r="A2" s="4" t="s">
        <v>42</v>
      </c>
      <c r="B2" s="3" t="s">
        <v>41</v>
      </c>
      <c r="C2" s="3" t="s">
        <v>41</v>
      </c>
      <c r="D2" s="3" t="s">
        <v>41</v>
      </c>
      <c r="E2" s="3" t="s">
        <v>41</v>
      </c>
      <c r="F2" s="3" t="s">
        <v>41</v>
      </c>
      <c r="G2" s="5" t="s">
        <v>41</v>
      </c>
      <c r="H2" s="3" t="s">
        <v>41</v>
      </c>
      <c r="I2" s="3" t="s">
        <v>41</v>
      </c>
    </row>
    <row r="3" spans="1:9" ht="14.25" x14ac:dyDescent="0.15">
      <c r="A3" s="6" t="s">
        <v>41</v>
      </c>
      <c r="B3" s="6" t="s">
        <v>43</v>
      </c>
      <c r="C3" s="6" t="s">
        <v>43</v>
      </c>
      <c r="D3" s="7" t="s">
        <v>43</v>
      </c>
      <c r="E3" s="19" t="s">
        <v>44</v>
      </c>
      <c r="F3" s="19" t="s">
        <v>44</v>
      </c>
      <c r="G3" s="6" t="s">
        <v>43</v>
      </c>
      <c r="H3" s="19" t="s">
        <v>44</v>
      </c>
      <c r="I3" s="19" t="s">
        <v>44</v>
      </c>
    </row>
    <row r="4" spans="1:9" ht="14.25" x14ac:dyDescent="0.15">
      <c r="A4" s="6"/>
      <c r="B4" s="6" t="s">
        <v>45</v>
      </c>
      <c r="C4" s="6" t="s">
        <v>722</v>
      </c>
      <c r="D4" s="7" t="s">
        <v>723</v>
      </c>
      <c r="E4" s="7" t="s">
        <v>724</v>
      </c>
      <c r="F4" s="7" t="s">
        <v>725</v>
      </c>
      <c r="G4" s="6" t="s">
        <v>190</v>
      </c>
      <c r="H4" s="7" t="s">
        <v>1208</v>
      </c>
      <c r="I4" s="7" t="s">
        <v>1210</v>
      </c>
    </row>
    <row r="5" spans="1:9" ht="14.25" x14ac:dyDescent="0.15">
      <c r="A5" s="6"/>
      <c r="B5" s="6" t="str">
        <f t="shared" ref="B5:C5" si="0">IF(B3="","",IF(B3="INT","i",IF(B3="FLOAT","f",IF(B3="STRING","s"))))</f>
        <v>i</v>
      </c>
      <c r="C5" s="6" t="str">
        <f t="shared" si="0"/>
        <v>i</v>
      </c>
      <c r="D5" s="7" t="s">
        <v>307</v>
      </c>
      <c r="E5" s="7" t="s">
        <v>240</v>
      </c>
      <c r="F5" s="7" t="s">
        <v>240</v>
      </c>
      <c r="G5" s="6" t="str">
        <f t="shared" ref="G5" si="1">IF(G3="","",IF(G3="INT","i",IF(G3="FLOAT","f",IF(G3="STRING","s"))))</f>
        <v>i</v>
      </c>
      <c r="H5" s="7" t="s">
        <v>240</v>
      </c>
      <c r="I5" s="7" t="s">
        <v>240</v>
      </c>
    </row>
    <row r="6" spans="1:9" ht="14.25" x14ac:dyDescent="0.15">
      <c r="A6" s="6" t="s">
        <v>41</v>
      </c>
      <c r="B6" s="6" t="str">
        <f t="shared" ref="B6:F6" si="2">B5&amp;B4</f>
        <v>iID</v>
      </c>
      <c r="C6" s="6" t="str">
        <f t="shared" si="2"/>
        <v>iMapID</v>
      </c>
      <c r="D6" s="7" t="str">
        <f t="shared" si="2"/>
        <v>iUnlockLev</v>
      </c>
      <c r="E6" s="7" t="str">
        <f t="shared" si="2"/>
        <v>sTabName</v>
      </c>
      <c r="F6" s="7" t="str">
        <f t="shared" si="2"/>
        <v>sEventTriggerType</v>
      </c>
      <c r="G6" s="6" t="str">
        <f t="shared" ref="G6:H6" si="3">G5&amp;G4</f>
        <v>iUnLockItemType</v>
      </c>
      <c r="H6" s="7" t="str">
        <f t="shared" si="3"/>
        <v>sTabDefultIcon</v>
      </c>
      <c r="I6" s="7" t="str">
        <f t="shared" ref="I6" si="4">I5&amp;I4</f>
        <v>sTabSelectIcon</v>
      </c>
    </row>
    <row r="7" spans="1:9" ht="14.25" x14ac:dyDescent="0.15">
      <c r="A7" s="6"/>
      <c r="B7" s="6" t="s">
        <v>45</v>
      </c>
      <c r="C7" s="6" t="s">
        <v>726</v>
      </c>
      <c r="D7" s="11" t="s">
        <v>243</v>
      </c>
      <c r="E7" s="11" t="s">
        <v>727</v>
      </c>
      <c r="F7" s="11" t="s">
        <v>728</v>
      </c>
      <c r="G7" s="6" t="s">
        <v>196</v>
      </c>
      <c r="H7" s="11" t="s">
        <v>1203</v>
      </c>
      <c r="I7" s="11" t="s">
        <v>1211</v>
      </c>
    </row>
    <row r="8" spans="1:9" ht="14.25" x14ac:dyDescent="0.15">
      <c r="A8" s="6" t="s">
        <v>59</v>
      </c>
      <c r="B8" s="6" t="e">
        <f>MODE(B9:B958)</f>
        <v>#N/A</v>
      </c>
      <c r="C8" s="6"/>
      <c r="D8" s="11"/>
      <c r="E8" s="11"/>
      <c r="F8" s="11"/>
      <c r="G8" s="11"/>
      <c r="H8" s="11"/>
      <c r="I8" s="11"/>
    </row>
    <row r="9" spans="1:9" ht="14.25" x14ac:dyDescent="0.15">
      <c r="A9" s="17" t="s">
        <v>41</v>
      </c>
      <c r="B9" s="18">
        <v>1</v>
      </c>
      <c r="C9" s="18">
        <v>1</v>
      </c>
      <c r="D9" s="18">
        <v>20</v>
      </c>
      <c r="E9" s="18" t="s">
        <v>227</v>
      </c>
      <c r="F9" s="18"/>
      <c r="G9" s="20">
        <v>3</v>
      </c>
      <c r="H9" s="18" t="s">
        <v>1209</v>
      </c>
      <c r="I9" s="18" t="s">
        <v>1212</v>
      </c>
    </row>
    <row r="10" spans="1:9" ht="14.25" x14ac:dyDescent="0.15">
      <c r="A10" s="17" t="s">
        <v>41</v>
      </c>
      <c r="B10" s="18">
        <v>2</v>
      </c>
      <c r="C10" s="18">
        <v>2</v>
      </c>
      <c r="D10" s="18">
        <v>8</v>
      </c>
      <c r="E10" s="18" t="s">
        <v>729</v>
      </c>
      <c r="F10" s="18" t="s">
        <v>1232</v>
      </c>
      <c r="G10" s="20">
        <v>3</v>
      </c>
      <c r="H10" s="18" t="s">
        <v>1204</v>
      </c>
      <c r="I10" s="18" t="s">
        <v>1213</v>
      </c>
    </row>
    <row r="11" spans="1:9" ht="14.25" x14ac:dyDescent="0.15">
      <c r="A11" s="17" t="s">
        <v>41</v>
      </c>
      <c r="B11" s="18">
        <v>3</v>
      </c>
      <c r="C11" s="18">
        <v>3</v>
      </c>
      <c r="D11" s="18">
        <v>1</v>
      </c>
      <c r="E11" s="18" t="s">
        <v>1218</v>
      </c>
      <c r="F11" s="18" t="s">
        <v>730</v>
      </c>
      <c r="G11" s="20">
        <v>3</v>
      </c>
      <c r="H11" s="18" t="s">
        <v>1206</v>
      </c>
      <c r="I11" s="18" t="s">
        <v>1214</v>
      </c>
    </row>
    <row r="12" spans="1:9" ht="14.25" x14ac:dyDescent="0.15">
      <c r="A12" s="17" t="s">
        <v>41</v>
      </c>
      <c r="B12" s="18">
        <v>4</v>
      </c>
      <c r="C12" s="18">
        <v>4</v>
      </c>
      <c r="D12" s="20">
        <v>16</v>
      </c>
      <c r="E12" s="20" t="s">
        <v>1227</v>
      </c>
      <c r="F12" s="18" t="s">
        <v>730</v>
      </c>
      <c r="G12" s="20">
        <v>3</v>
      </c>
      <c r="H12" s="20" t="s">
        <v>1205</v>
      </c>
      <c r="I12" s="20" t="s">
        <v>1215</v>
      </c>
    </row>
    <row r="13" spans="1:9" ht="14.25" x14ac:dyDescent="0.15">
      <c r="A13" s="17" t="s">
        <v>41</v>
      </c>
      <c r="B13" s="18">
        <v>5</v>
      </c>
      <c r="C13" s="18">
        <v>5</v>
      </c>
      <c r="D13" s="20">
        <v>26</v>
      </c>
      <c r="E13" s="20" t="s">
        <v>1228</v>
      </c>
      <c r="F13" s="18" t="s">
        <v>730</v>
      </c>
      <c r="G13" s="20">
        <v>3</v>
      </c>
      <c r="H13" s="20" t="s">
        <v>1207</v>
      </c>
      <c r="I13" s="20" t="s">
        <v>1216</v>
      </c>
    </row>
    <row r="14" spans="1:9" ht="14.25" x14ac:dyDescent="0.15">
      <c r="A14" s="17"/>
      <c r="B14" s="18"/>
      <c r="C14" s="18"/>
      <c r="D14" s="20"/>
      <c r="E14" s="20"/>
      <c r="F14" s="20"/>
    </row>
  </sheetData>
  <phoneticPr fontId="34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workbookViewId="0">
      <selection activeCell="G15" sqref="G15"/>
    </sheetView>
  </sheetViews>
  <sheetFormatPr defaultColWidth="9" defaultRowHeight="13.5" x14ac:dyDescent="0.15"/>
  <cols>
    <col min="6" max="6" width="10.5" customWidth="1"/>
    <col min="7" max="7" width="12.375" customWidth="1"/>
  </cols>
  <sheetData>
    <row r="1" spans="1:8" ht="19.5" x14ac:dyDescent="0.15">
      <c r="A1" s="2" t="s">
        <v>731</v>
      </c>
      <c r="B1" s="3" t="s">
        <v>41</v>
      </c>
      <c r="C1" s="3" t="s">
        <v>41</v>
      </c>
      <c r="D1" s="3" t="s">
        <v>41</v>
      </c>
      <c r="E1" s="3" t="s">
        <v>41</v>
      </c>
      <c r="F1" s="3" t="s">
        <v>41</v>
      </c>
      <c r="G1" s="3"/>
    </row>
    <row r="2" spans="1:8" x14ac:dyDescent="0.15">
      <c r="A2" s="4" t="s">
        <v>42</v>
      </c>
      <c r="B2" s="3" t="s">
        <v>41</v>
      </c>
      <c r="C2" s="3" t="s">
        <v>41</v>
      </c>
      <c r="D2" s="3" t="s">
        <v>41</v>
      </c>
      <c r="E2" s="3" t="s">
        <v>41</v>
      </c>
      <c r="F2" s="3" t="s">
        <v>41</v>
      </c>
      <c r="G2" s="3" t="s">
        <v>41</v>
      </c>
      <c r="H2" s="5" t="s">
        <v>41</v>
      </c>
    </row>
    <row r="3" spans="1:8" ht="14.25" x14ac:dyDescent="0.15">
      <c r="A3" s="6" t="s">
        <v>41</v>
      </c>
      <c r="B3" s="6" t="s">
        <v>43</v>
      </c>
      <c r="C3" s="6" t="s">
        <v>43</v>
      </c>
      <c r="D3" s="6" t="s">
        <v>43</v>
      </c>
      <c r="E3" s="6" t="s">
        <v>43</v>
      </c>
      <c r="F3" s="7" t="s">
        <v>43</v>
      </c>
      <c r="G3" s="6" t="s">
        <v>44</v>
      </c>
      <c r="H3" s="6" t="s">
        <v>43</v>
      </c>
    </row>
    <row r="4" spans="1:8" ht="14.25" x14ac:dyDescent="0.15">
      <c r="A4" s="6"/>
      <c r="B4" s="6" t="s">
        <v>45</v>
      </c>
      <c r="C4" s="6" t="s">
        <v>732</v>
      </c>
      <c r="D4" s="6" t="s">
        <v>733</v>
      </c>
      <c r="E4" s="6" t="s">
        <v>734</v>
      </c>
      <c r="F4" s="7" t="s">
        <v>735</v>
      </c>
      <c r="G4" s="6" t="s">
        <v>736</v>
      </c>
      <c r="H4" s="6" t="s">
        <v>191</v>
      </c>
    </row>
    <row r="5" spans="1:8" ht="14.25" x14ac:dyDescent="0.15">
      <c r="A5" s="6"/>
      <c r="B5" s="6" t="str">
        <f t="shared" ref="B5:C5" si="0">IF(B3="","",IF(B3="INT","i",IF(B3="FLOAT","f",IF(B3="STRING","s"))))</f>
        <v>i</v>
      </c>
      <c r="C5" s="6" t="str">
        <f t="shared" si="0"/>
        <v>i</v>
      </c>
      <c r="D5" s="6" t="str">
        <f t="shared" ref="D5" si="1">IF(D3="","",IF(D3="INT","i",IF(D3="FLOAT","f",IF(D3="STRING","s"))))</f>
        <v>i</v>
      </c>
      <c r="E5" s="6" t="str">
        <f t="shared" ref="E5:H5" si="2">IF(E3="","",IF(E3="INT","i",IF(E3="FLOAT","f",IF(E3="STRING","s"))))</f>
        <v>i</v>
      </c>
      <c r="F5" s="7" t="s">
        <v>307</v>
      </c>
      <c r="G5" s="6" t="str">
        <f t="shared" si="2"/>
        <v>s</v>
      </c>
      <c r="H5" s="6" t="str">
        <f t="shared" si="2"/>
        <v>i</v>
      </c>
    </row>
    <row r="6" spans="1:8" ht="14.25" x14ac:dyDescent="0.15">
      <c r="A6" s="6" t="s">
        <v>41</v>
      </c>
      <c r="B6" s="6" t="str">
        <f t="shared" ref="B6:C6" si="3">B5&amp;B4</f>
        <v>iID</v>
      </c>
      <c r="C6" s="6" t="str">
        <f t="shared" si="3"/>
        <v>iBuildID</v>
      </c>
      <c r="D6" s="6" t="str">
        <f t="shared" ref="D6" si="4">D5&amp;D4</f>
        <v>iSubBuildID</v>
      </c>
      <c r="E6" s="6" t="str">
        <f t="shared" ref="E6:F6" si="5">E5&amp;E4</f>
        <v>iAttrType</v>
      </c>
      <c r="F6" s="6" t="str">
        <f t="shared" si="5"/>
        <v>iAttrValue</v>
      </c>
      <c r="G6" s="6" t="str">
        <f t="shared" ref="G6:H6" si="6">G5&amp;G4</f>
        <v>sBuildIcon</v>
      </c>
      <c r="H6" s="6" t="str">
        <f t="shared" si="6"/>
        <v>iTypeSort</v>
      </c>
    </row>
    <row r="7" spans="1:8" ht="19.5" x14ac:dyDescent="0.15">
      <c r="A7" s="6"/>
      <c r="B7" s="6" t="s">
        <v>45</v>
      </c>
      <c r="C7" s="8" t="s">
        <v>737</v>
      </c>
      <c r="D7" s="8" t="s">
        <v>738</v>
      </c>
      <c r="E7" s="8" t="s">
        <v>739</v>
      </c>
      <c r="F7" s="9" t="s">
        <v>740</v>
      </c>
      <c r="G7" s="8" t="s">
        <v>741</v>
      </c>
      <c r="H7" s="10"/>
    </row>
    <row r="8" spans="1:8" ht="19.5" x14ac:dyDescent="0.15">
      <c r="A8" s="8" t="s">
        <v>59</v>
      </c>
      <c r="B8" s="6" t="e">
        <f>MODE(B10:B956)</f>
        <v>#N/A</v>
      </c>
      <c r="C8" s="6"/>
      <c r="D8" s="6"/>
      <c r="E8" s="6"/>
      <c r="F8" s="11"/>
      <c r="G8" s="6"/>
      <c r="H8" s="10">
        <v>0</v>
      </c>
    </row>
    <row r="9" spans="1:8" s="1" customFormat="1" ht="12" customHeight="1" x14ac:dyDescent="0.15">
      <c r="A9" s="12"/>
      <c r="B9" s="13"/>
      <c r="C9" s="13"/>
      <c r="D9" s="13"/>
      <c r="E9" s="14" t="s">
        <v>742</v>
      </c>
      <c r="F9" s="15"/>
      <c r="G9" s="14"/>
      <c r="H9" s="16">
        <v>1</v>
      </c>
    </row>
    <row r="10" spans="1:8" ht="14.25" x14ac:dyDescent="0.15">
      <c r="A10" s="17" t="s">
        <v>41</v>
      </c>
      <c r="B10" s="18">
        <v>1</v>
      </c>
      <c r="C10" s="18">
        <v>90002</v>
      </c>
      <c r="D10" s="18">
        <v>1</v>
      </c>
      <c r="E10" s="18">
        <v>1</v>
      </c>
      <c r="F10" s="18">
        <v>20</v>
      </c>
      <c r="G10" s="18" t="s">
        <v>743</v>
      </c>
      <c r="H10" s="16">
        <v>2</v>
      </c>
    </row>
    <row r="11" spans="1:8" ht="14.25" x14ac:dyDescent="0.15">
      <c r="A11" s="17" t="s">
        <v>41</v>
      </c>
      <c r="B11" s="18">
        <v>2</v>
      </c>
      <c r="C11" s="18">
        <v>90002</v>
      </c>
      <c r="D11" s="18">
        <v>2</v>
      </c>
      <c r="E11" s="18">
        <v>2</v>
      </c>
      <c r="F11" s="18">
        <v>20</v>
      </c>
      <c r="G11" s="18" t="s">
        <v>744</v>
      </c>
      <c r="H11" s="16">
        <v>3</v>
      </c>
    </row>
    <row r="12" spans="1:8" ht="14.25" x14ac:dyDescent="0.15">
      <c r="A12" s="17" t="s">
        <v>41</v>
      </c>
      <c r="B12" s="18">
        <v>3</v>
      </c>
      <c r="C12" s="18">
        <v>90002</v>
      </c>
      <c r="D12" s="18">
        <v>3</v>
      </c>
      <c r="E12" s="18">
        <v>3</v>
      </c>
      <c r="F12" s="18">
        <v>20</v>
      </c>
      <c r="G12" s="18" t="s">
        <v>745</v>
      </c>
      <c r="H12" s="16">
        <v>4</v>
      </c>
    </row>
    <row r="13" spans="1:8" x14ac:dyDescent="0.15">
      <c r="H13" s="16"/>
    </row>
  </sheetData>
  <phoneticPr fontId="34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Storage</vt:lpstr>
      <vt:lpstr>ProductCapacity</vt:lpstr>
      <vt:lpstr>BuildingUnlock</vt:lpstr>
      <vt:lpstr>ProductBuild</vt:lpstr>
      <vt:lpstr>Decorated</vt:lpstr>
      <vt:lpstr>WorkListDilatation</vt:lpstr>
      <vt:lpstr>Formulation</vt:lpstr>
      <vt:lpstr>PetShopCfg</vt:lpstr>
      <vt:lpstr>WharfLvl</vt:lpstr>
      <vt:lpstr>Ship</vt:lpstr>
      <vt:lpstr>BuildBaseCfg</vt:lpstr>
      <vt:lpstr>ProductLog</vt:lpstr>
      <vt:lpstr>BuyItemCfg</vt:lpstr>
      <vt:lpstr>MapLock</vt:lpstr>
      <vt:lpstr>WorkPlantCfg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zouyang</cp:lastModifiedBy>
  <dcterms:created xsi:type="dcterms:W3CDTF">2015-12-31T17:39:00Z</dcterms:created>
  <dcterms:modified xsi:type="dcterms:W3CDTF">2020-03-16T05:59:36Z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