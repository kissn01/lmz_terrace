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svn\Doc\Dev\DataConfig\China\"/>
    </mc:Choice>
  </mc:AlternateContent>
  <bookViews>
    <workbookView xWindow="29610" yWindow="-120" windowWidth="29040" windowHeight="15840" tabRatio="484" activeTab="2"/>
  </bookViews>
  <sheets>
    <sheet name="INDEX" sheetId="1" r:id="rId1"/>
    <sheet name="MainTaskInfo" sheetId="3" r:id="rId2"/>
    <sheet name="MainTaskDesire" sheetId="12" r:id="rId3"/>
    <sheet name="MainTaskAward" sheetId="11" r:id="rId4"/>
    <sheet name="MainTaskAcceptLimit" sheetId="6" r:id="rId5"/>
    <sheet name="任务相关说明" sheetId="10" r:id="rId6"/>
  </sheets>
  <functionGroups builtInGroupCount="18"/>
  <definedNames>
    <definedName name="_xlnm._FilterDatabase" localSheetId="0" hidden="1">INDEX!$A$2:$F$4</definedName>
    <definedName name="_xlnm._FilterDatabase" localSheetId="2" hidden="1">MainTaskDesire!$A$9:$W$128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7" i="3" l="1"/>
  <c r="D96" i="3" s="1"/>
  <c r="C61" i="3"/>
  <c r="D60" i="3" s="1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C25" i="3" l="1"/>
  <c r="D24" i="3" s="1"/>
  <c r="B10" i="12" l="1"/>
  <c r="B11" i="12" s="1"/>
  <c r="T97" i="3"/>
  <c r="C98" i="3"/>
  <c r="D97" i="3" s="1"/>
  <c r="T61" i="3"/>
  <c r="T62" i="3" s="1"/>
  <c r="C62" i="3"/>
  <c r="D61" i="3" s="1"/>
  <c r="T25" i="3"/>
  <c r="T26" i="3" s="1"/>
  <c r="C26" i="3"/>
  <c r="T10" i="3"/>
  <c r="C10" i="3"/>
  <c r="C11" i="3" s="1"/>
  <c r="C99" i="3" l="1"/>
  <c r="C63" i="3"/>
  <c r="D62" i="3" s="1"/>
  <c r="C27" i="3"/>
  <c r="D26" i="3" s="1"/>
  <c r="D25" i="3"/>
  <c r="D10" i="3"/>
  <c r="C12" i="3"/>
  <c r="T27" i="3"/>
  <c r="U26" i="3" s="1"/>
  <c r="T63" i="3"/>
  <c r="U25" i="3"/>
  <c r="T11" i="3"/>
  <c r="U10" i="3" s="1"/>
  <c r="U61" i="3"/>
  <c r="T98" i="3"/>
  <c r="U97" i="3" s="1"/>
  <c r="C100" i="3" l="1"/>
  <c r="D98" i="3"/>
  <c r="C64" i="3"/>
  <c r="D63" i="3" s="1"/>
  <c r="C28" i="3"/>
  <c r="D27" i="3" s="1"/>
  <c r="T12" i="3"/>
  <c r="T64" i="3"/>
  <c r="U62" i="3"/>
  <c r="D11" i="3"/>
  <c r="C13" i="3"/>
  <c r="T99" i="3"/>
  <c r="U98" i="3" s="1"/>
  <c r="T28" i="3"/>
  <c r="U27" i="3" s="1"/>
  <c r="C29" i="3"/>
  <c r="C101" i="3" l="1"/>
  <c r="D99" i="3"/>
  <c r="C65" i="3"/>
  <c r="D64" i="3" s="1"/>
  <c r="T65" i="3"/>
  <c r="T100" i="3"/>
  <c r="U63" i="3"/>
  <c r="C66" i="3"/>
  <c r="T13" i="3"/>
  <c r="U12" i="3" s="1"/>
  <c r="C30" i="3"/>
  <c r="D28" i="3"/>
  <c r="T29" i="3"/>
  <c r="U28" i="3" s="1"/>
  <c r="D12" i="3"/>
  <c r="C14" i="3"/>
  <c r="U11" i="3"/>
  <c r="C102" i="3" l="1"/>
  <c r="D100" i="3"/>
  <c r="T101" i="3"/>
  <c r="D13" i="3"/>
  <c r="C15" i="3"/>
  <c r="C67" i="3"/>
  <c r="D65" i="3"/>
  <c r="U99" i="3"/>
  <c r="C31" i="3"/>
  <c r="D29" i="3"/>
  <c r="T66" i="3"/>
  <c r="T30" i="3"/>
  <c r="U29" i="3" s="1"/>
  <c r="T14" i="3"/>
  <c r="U64" i="3"/>
  <c r="C103" i="3" l="1"/>
  <c r="D101" i="3"/>
  <c r="T15" i="3"/>
  <c r="D30" i="3"/>
  <c r="C32" i="3"/>
  <c r="U13" i="3"/>
  <c r="T102" i="3"/>
  <c r="D14" i="3"/>
  <c r="C16" i="3"/>
  <c r="T67" i="3"/>
  <c r="U65" i="3"/>
  <c r="T31" i="3"/>
  <c r="C68" i="3"/>
  <c r="D66" i="3"/>
  <c r="U100" i="3"/>
  <c r="C104" i="3" l="1"/>
  <c r="D102" i="3"/>
  <c r="C33" i="3"/>
  <c r="D31" i="3"/>
  <c r="C69" i="3"/>
  <c r="D67" i="3"/>
  <c r="T68" i="3"/>
  <c r="T103" i="3"/>
  <c r="U102" i="3" s="1"/>
  <c r="T32" i="3"/>
  <c r="U66" i="3"/>
  <c r="U101" i="3"/>
  <c r="T16" i="3"/>
  <c r="U30" i="3"/>
  <c r="D15" i="3"/>
  <c r="C17" i="3"/>
  <c r="C18" i="3" s="1"/>
  <c r="C19" i="3" s="1"/>
  <c r="U14" i="3"/>
  <c r="C105" i="3" l="1"/>
  <c r="D103" i="3"/>
  <c r="C20" i="3"/>
  <c r="D18" i="3"/>
  <c r="D68" i="3"/>
  <c r="C70" i="3"/>
  <c r="T104" i="3"/>
  <c r="U103" i="3" s="1"/>
  <c r="T33" i="3"/>
  <c r="T69" i="3"/>
  <c r="U68" i="3" s="1"/>
  <c r="T17" i="3"/>
  <c r="D16" i="3"/>
  <c r="U15" i="3"/>
  <c r="U31" i="3"/>
  <c r="U67" i="3"/>
  <c r="C34" i="3"/>
  <c r="D32" i="3"/>
  <c r="C106" i="3" l="1"/>
  <c r="D104" i="3"/>
  <c r="C21" i="3"/>
  <c r="D19" i="3"/>
  <c r="C35" i="3"/>
  <c r="D33" i="3"/>
  <c r="D17" i="3"/>
  <c r="T105" i="3"/>
  <c r="T18" i="3"/>
  <c r="T19" i="3" s="1"/>
  <c r="T34" i="3"/>
  <c r="C71" i="3"/>
  <c r="D69" i="3"/>
  <c r="T70" i="3"/>
  <c r="U16" i="3"/>
  <c r="U32" i="3"/>
  <c r="C107" i="3" l="1"/>
  <c r="D105" i="3"/>
  <c r="C22" i="3"/>
  <c r="D20" i="3"/>
  <c r="T20" i="3"/>
  <c r="C72" i="3"/>
  <c r="D70" i="3"/>
  <c r="U17" i="3"/>
  <c r="T71" i="3"/>
  <c r="T106" i="3"/>
  <c r="U105" i="3" s="1"/>
  <c r="T35" i="3"/>
  <c r="U34" i="3" s="1"/>
  <c r="U69" i="3"/>
  <c r="U33" i="3"/>
  <c r="U104" i="3"/>
  <c r="D34" i="3"/>
  <c r="C36" i="3"/>
  <c r="E6" i="12"/>
  <c r="C108" i="3" l="1"/>
  <c r="D106" i="3"/>
  <c r="C23" i="3"/>
  <c r="D21" i="3"/>
  <c r="T72" i="3"/>
  <c r="U71" i="3" s="1"/>
  <c r="D71" i="3"/>
  <c r="C73" i="3"/>
  <c r="U70" i="3"/>
  <c r="T21" i="3"/>
  <c r="U20" i="3" s="1"/>
  <c r="C37" i="3"/>
  <c r="D35" i="3"/>
  <c r="T36" i="3"/>
  <c r="U35" i="3" s="1"/>
  <c r="T107" i="3"/>
  <c r="U106" i="3" s="1"/>
  <c r="U18" i="3"/>
  <c r="P136" i="12"/>
  <c r="P137" i="12"/>
  <c r="P138" i="12"/>
  <c r="P141" i="12"/>
  <c r="P142" i="12"/>
  <c r="P143" i="12"/>
  <c r="P146" i="12"/>
  <c r="P147" i="12"/>
  <c r="P148" i="12"/>
  <c r="P151" i="12"/>
  <c r="C109" i="3" l="1"/>
  <c r="D107" i="3"/>
  <c r="C24" i="3"/>
  <c r="D23" i="3" s="1"/>
  <c r="D22" i="3"/>
  <c r="T73" i="3"/>
  <c r="C38" i="3"/>
  <c r="D36" i="3"/>
  <c r="D72" i="3"/>
  <c r="C74" i="3"/>
  <c r="T108" i="3"/>
  <c r="T37" i="3"/>
  <c r="U36" i="3" s="1"/>
  <c r="T22" i="3"/>
  <c r="D144" i="3"/>
  <c r="C110" i="3" l="1"/>
  <c r="D108" i="3"/>
  <c r="C39" i="3"/>
  <c r="D37" i="3"/>
  <c r="T23" i="3"/>
  <c r="T74" i="3"/>
  <c r="U73" i="3" s="1"/>
  <c r="T38" i="3"/>
  <c r="T109" i="3"/>
  <c r="U108" i="3" s="1"/>
  <c r="C75" i="3"/>
  <c r="D73" i="3"/>
  <c r="U21" i="3"/>
  <c r="U107" i="3"/>
  <c r="U72" i="3"/>
  <c r="B134" i="12"/>
  <c r="B135" i="12" s="1"/>
  <c r="B136" i="12"/>
  <c r="B137" i="12" s="1"/>
  <c r="B138" i="12" s="1"/>
  <c r="B139" i="12"/>
  <c r="B140" i="12" s="1"/>
  <c r="B141" i="12"/>
  <c r="B142" i="12" s="1"/>
  <c r="B143" i="12" s="1"/>
  <c r="B144" i="12"/>
  <c r="B145" i="12" s="1"/>
  <c r="B146" i="12"/>
  <c r="B147" i="12" s="1"/>
  <c r="B148" i="12" s="1"/>
  <c r="B149" i="12"/>
  <c r="B150" i="12" s="1"/>
  <c r="B151" i="12"/>
  <c r="B152" i="12"/>
  <c r="B153" i="12" s="1"/>
  <c r="B154" i="12"/>
  <c r="B155" i="12" s="1"/>
  <c r="B156" i="12" s="1"/>
  <c r="B157" i="12" s="1"/>
  <c r="B158" i="12"/>
  <c r="B159" i="12" s="1"/>
  <c r="B160" i="12"/>
  <c r="C111" i="3" l="1"/>
  <c r="D109" i="3"/>
  <c r="D38" i="3"/>
  <c r="C40" i="3"/>
  <c r="T75" i="3"/>
  <c r="T39" i="3"/>
  <c r="U38" i="3" s="1"/>
  <c r="T24" i="3"/>
  <c r="U24" i="3" s="1"/>
  <c r="T110" i="3"/>
  <c r="U109" i="3" s="1"/>
  <c r="C76" i="3"/>
  <c r="D74" i="3"/>
  <c r="U37" i="3"/>
  <c r="U22" i="3"/>
  <c r="P154" i="12"/>
  <c r="P155" i="12"/>
  <c r="P156" i="12"/>
  <c r="P157" i="12"/>
  <c r="P160" i="12"/>
  <c r="P5" i="12"/>
  <c r="P6" i="12" s="1"/>
  <c r="C112" i="3" l="1"/>
  <c r="D110" i="3"/>
  <c r="T76" i="3"/>
  <c r="C77" i="3"/>
  <c r="D76" i="3" s="1"/>
  <c r="D75" i="3"/>
  <c r="U23" i="3"/>
  <c r="U74" i="3"/>
  <c r="T111" i="3"/>
  <c r="T40" i="3"/>
  <c r="U39" i="3" s="1"/>
  <c r="C41" i="3"/>
  <c r="D39" i="3"/>
  <c r="O6" i="12"/>
  <c r="C113" i="3" l="1"/>
  <c r="D111" i="3"/>
  <c r="T112" i="3"/>
  <c r="C42" i="3"/>
  <c r="D40" i="3"/>
  <c r="U110" i="3"/>
  <c r="C78" i="3"/>
  <c r="D77" i="3" s="1"/>
  <c r="T41" i="3"/>
  <c r="U40" i="3" s="1"/>
  <c r="T77" i="3"/>
  <c r="U75" i="3"/>
  <c r="C114" i="3" l="1"/>
  <c r="D112" i="3"/>
  <c r="T78" i="3"/>
  <c r="C79" i="3"/>
  <c r="D78" i="3" s="1"/>
  <c r="C43" i="3"/>
  <c r="D42" i="3" s="1"/>
  <c r="D41" i="3"/>
  <c r="U76" i="3"/>
  <c r="T113" i="3"/>
  <c r="U112" i="3" s="1"/>
  <c r="T42" i="3"/>
  <c r="U111" i="3"/>
  <c r="Z6" i="3"/>
  <c r="Y6" i="3"/>
  <c r="N6" i="12"/>
  <c r="M6" i="12"/>
  <c r="L6" i="12"/>
  <c r="W6" i="3"/>
  <c r="V6" i="3"/>
  <c r="K6" i="12"/>
  <c r="B8" i="6"/>
  <c r="L6" i="6"/>
  <c r="K6" i="6"/>
  <c r="J6" i="6"/>
  <c r="G6" i="6"/>
  <c r="F6" i="6"/>
  <c r="I5" i="6"/>
  <c r="I6" i="6" s="1"/>
  <c r="D5" i="6"/>
  <c r="D6" i="6" s="1"/>
  <c r="C5" i="6"/>
  <c r="C6" i="6" s="1"/>
  <c r="B5" i="6"/>
  <c r="B6" i="6" s="1"/>
  <c r="B8" i="11"/>
  <c r="F6" i="11"/>
  <c r="E6" i="11"/>
  <c r="D6" i="11"/>
  <c r="G5" i="11"/>
  <c r="G6" i="11" s="1"/>
  <c r="C5" i="11"/>
  <c r="C6" i="11" s="1"/>
  <c r="B5" i="11"/>
  <c r="B6" i="11" s="1"/>
  <c r="B8" i="12"/>
  <c r="I6" i="12"/>
  <c r="H6" i="12"/>
  <c r="G6" i="12"/>
  <c r="F5" i="12"/>
  <c r="F6" i="12" s="1"/>
  <c r="D5" i="12"/>
  <c r="D6" i="12" s="1"/>
  <c r="C5" i="12"/>
  <c r="B5" i="12"/>
  <c r="B6" i="12" s="1"/>
  <c r="U6" i="3"/>
  <c r="T6" i="3"/>
  <c r="S6" i="3"/>
  <c r="R6" i="3"/>
  <c r="Q6" i="3"/>
  <c r="P6" i="3"/>
  <c r="O6" i="3"/>
  <c r="N6" i="3"/>
  <c r="M6" i="3"/>
  <c r="L6" i="3"/>
  <c r="K6" i="3"/>
  <c r="J6" i="3"/>
  <c r="G6" i="3"/>
  <c r="E6" i="3"/>
  <c r="I5" i="3"/>
  <c r="I6" i="3" s="1"/>
  <c r="H5" i="3"/>
  <c r="H6" i="3" s="1"/>
  <c r="D5" i="3"/>
  <c r="D6" i="3" s="1"/>
  <c r="C5" i="3"/>
  <c r="C6" i="3" s="1"/>
  <c r="B5" i="3"/>
  <c r="B6" i="3" s="1"/>
  <c r="C115" i="3" l="1"/>
  <c r="D113" i="3"/>
  <c r="T43" i="3"/>
  <c r="C80" i="3"/>
  <c r="D79" i="3" s="1"/>
  <c r="U41" i="3"/>
  <c r="T79" i="3"/>
  <c r="T114" i="3"/>
  <c r="U113" i="3" s="1"/>
  <c r="C44" i="3"/>
  <c r="D43" i="3" s="1"/>
  <c r="U77" i="3"/>
  <c r="C6" i="12"/>
  <c r="C116" i="3" l="1"/>
  <c r="D114" i="3"/>
  <c r="C45" i="3"/>
  <c r="D44" i="3" s="1"/>
  <c r="T80" i="3"/>
  <c r="C81" i="3"/>
  <c r="D80" i="3" s="1"/>
  <c r="U78" i="3"/>
  <c r="T44" i="3"/>
  <c r="U43" i="3" s="1"/>
  <c r="T115" i="3"/>
  <c r="U42" i="3"/>
  <c r="C132" i="3"/>
  <c r="C117" i="3" l="1"/>
  <c r="D115" i="3"/>
  <c r="T81" i="3"/>
  <c r="T116" i="3"/>
  <c r="U115" i="3" s="1"/>
  <c r="U79" i="3"/>
  <c r="U114" i="3"/>
  <c r="C82" i="3"/>
  <c r="D81" i="3" s="1"/>
  <c r="T45" i="3"/>
  <c r="C46" i="3"/>
  <c r="D45" i="3" s="1"/>
  <c r="C133" i="3"/>
  <c r="C118" i="3" l="1"/>
  <c r="D116" i="3"/>
  <c r="C47" i="3"/>
  <c r="D46" i="3" s="1"/>
  <c r="T46" i="3"/>
  <c r="T82" i="3"/>
  <c r="U44" i="3"/>
  <c r="U80" i="3"/>
  <c r="C83" i="3"/>
  <c r="D82" i="3" s="1"/>
  <c r="T117" i="3"/>
  <c r="D132" i="3"/>
  <c r="C134" i="3"/>
  <c r="C119" i="3" l="1"/>
  <c r="D117" i="3"/>
  <c r="T83" i="3"/>
  <c r="C48" i="3"/>
  <c r="D47" i="3" s="1"/>
  <c r="C84" i="3"/>
  <c r="D83" i="3" s="1"/>
  <c r="U81" i="3"/>
  <c r="T118" i="3"/>
  <c r="U117" i="3" s="1"/>
  <c r="T47" i="3"/>
  <c r="U116" i="3"/>
  <c r="U45" i="3"/>
  <c r="C135" i="3"/>
  <c r="D133" i="3"/>
  <c r="C120" i="3" l="1"/>
  <c r="D118" i="3"/>
  <c r="C49" i="3"/>
  <c r="D48" i="3" s="1"/>
  <c r="T48" i="3"/>
  <c r="U46" i="3"/>
  <c r="T84" i="3"/>
  <c r="T127" i="3"/>
  <c r="U127" i="3" s="1"/>
  <c r="T119" i="3"/>
  <c r="T120" i="3" s="1"/>
  <c r="T121" i="3" s="1"/>
  <c r="T122" i="3" s="1"/>
  <c r="T123" i="3" s="1"/>
  <c r="T124" i="3" s="1"/>
  <c r="T125" i="3" s="1"/>
  <c r="T126" i="3" s="1"/>
  <c r="C85" i="3"/>
  <c r="D84" i="3" s="1"/>
  <c r="U82" i="3"/>
  <c r="C136" i="3"/>
  <c r="D134" i="3"/>
  <c r="D119" i="3" l="1"/>
  <c r="C121" i="3"/>
  <c r="C86" i="3"/>
  <c r="D85" i="3" s="1"/>
  <c r="T49" i="3"/>
  <c r="U48" i="3" s="1"/>
  <c r="T85" i="3"/>
  <c r="U47" i="3"/>
  <c r="U83" i="3"/>
  <c r="U118" i="3"/>
  <c r="C50" i="3"/>
  <c r="D49" i="3" s="1"/>
  <c r="C137" i="3"/>
  <c r="D135" i="3"/>
  <c r="C122" i="3" l="1"/>
  <c r="D120" i="3"/>
  <c r="C51" i="3"/>
  <c r="D50" i="3" s="1"/>
  <c r="T86" i="3"/>
  <c r="C87" i="3"/>
  <c r="D86" i="3" s="1"/>
  <c r="U84" i="3"/>
  <c r="T50" i="3"/>
  <c r="C138" i="3"/>
  <c r="D136" i="3"/>
  <c r="D121" i="3" l="1"/>
  <c r="C123" i="3"/>
  <c r="C52" i="3"/>
  <c r="D51" i="3" s="1"/>
  <c r="T51" i="3"/>
  <c r="C88" i="3"/>
  <c r="D87" i="3" s="1"/>
  <c r="U49" i="3"/>
  <c r="T87" i="3"/>
  <c r="U86" i="3" s="1"/>
  <c r="U85" i="3"/>
  <c r="C139" i="3"/>
  <c r="D137" i="3"/>
  <c r="D122" i="3" l="1"/>
  <c r="C124" i="3"/>
  <c r="T52" i="3"/>
  <c r="C53" i="3"/>
  <c r="D52" i="3" s="1"/>
  <c r="U50" i="3"/>
  <c r="T88" i="3"/>
  <c r="C89" i="3"/>
  <c r="D88" i="3" s="1"/>
  <c r="C140" i="3"/>
  <c r="D138" i="3"/>
  <c r="C125" i="3" l="1"/>
  <c r="D123" i="3"/>
  <c r="C90" i="3"/>
  <c r="T89" i="3"/>
  <c r="C54" i="3"/>
  <c r="U87" i="3"/>
  <c r="T53" i="3"/>
  <c r="U52" i="3" s="1"/>
  <c r="U51" i="3"/>
  <c r="C141" i="3"/>
  <c r="D139" i="3"/>
  <c r="D124" i="3" l="1"/>
  <c r="C126" i="3"/>
  <c r="C91" i="3"/>
  <c r="D89" i="3"/>
  <c r="C55" i="3"/>
  <c r="D53" i="3"/>
  <c r="T90" i="3"/>
  <c r="T91" i="3" s="1"/>
  <c r="T92" i="3" s="1"/>
  <c r="T93" i="3" s="1"/>
  <c r="T94" i="3" s="1"/>
  <c r="T95" i="3" s="1"/>
  <c r="T96" i="3" s="1"/>
  <c r="U88" i="3"/>
  <c r="T54" i="3"/>
  <c r="T55" i="3" s="1"/>
  <c r="T56" i="3" s="1"/>
  <c r="T57" i="3" s="1"/>
  <c r="T58" i="3" s="1"/>
  <c r="T59" i="3" s="1"/>
  <c r="T60" i="3" s="1"/>
  <c r="C142" i="3"/>
  <c r="D140" i="3"/>
  <c r="D125" i="3" l="1"/>
  <c r="C127" i="3"/>
  <c r="D126" i="3" s="1"/>
  <c r="D90" i="3"/>
  <c r="C92" i="3"/>
  <c r="C56" i="3"/>
  <c r="D54" i="3"/>
  <c r="U53" i="3"/>
  <c r="U89" i="3"/>
  <c r="C143" i="3"/>
  <c r="D141" i="3"/>
  <c r="C93" i="3" l="1"/>
  <c r="D91" i="3"/>
  <c r="C57" i="3"/>
  <c r="D55" i="3"/>
  <c r="C144" i="3"/>
  <c r="D143" i="3" s="1"/>
  <c r="D142" i="3"/>
  <c r="D92" i="3" l="1"/>
  <c r="C94" i="3"/>
  <c r="C58" i="3"/>
  <c r="D56" i="3"/>
  <c r="C95" i="3" l="1"/>
  <c r="D93" i="3"/>
  <c r="C59" i="3"/>
  <c r="D57" i="3"/>
  <c r="D94" i="3" l="1"/>
  <c r="C96" i="3"/>
  <c r="D95" i="3" s="1"/>
  <c r="C60" i="3"/>
  <c r="D59" i="3" s="1"/>
  <c r="D58" i="3"/>
</calcChain>
</file>

<file path=xl/sharedStrings.xml><?xml version="1.0" encoding="utf-8"?>
<sst xmlns="http://schemas.openxmlformats.org/spreadsheetml/2006/main" count="1667" uniqueCount="835">
  <si>
    <t>导出/server</t>
  </si>
  <si>
    <t>*</t>
  </si>
  <si>
    <t>client</t>
  </si>
  <si>
    <t>INT</t>
  </si>
  <si>
    <t>ID</t>
  </si>
  <si>
    <t>TaskId</t>
  </si>
  <si>
    <t>AwardType</t>
  </si>
  <si>
    <t>ItemId</t>
  </si>
  <si>
    <t>ItemNum</t>
  </si>
  <si>
    <t>CalcRate</t>
  </si>
  <si>
    <t>i</t>
  </si>
  <si>
    <t>任务条件表ID</t>
  </si>
  <si>
    <t>任务ID</t>
  </si>
  <si>
    <t>奖励类型</t>
  </si>
  <si>
    <t>物品id</t>
  </si>
  <si>
    <t>物品个数</t>
  </si>
  <si>
    <t>物品概率</t>
  </si>
  <si>
    <t>默认值</t>
  </si>
  <si>
    <t>STRING</t>
  </si>
  <si>
    <t>DesireDesc</t>
  </si>
  <si>
    <t>DesireValue</t>
  </si>
  <si>
    <t>JumpTo</t>
  </si>
  <si>
    <t>s</t>
  </si>
  <si>
    <t>目标描述</t>
  </si>
  <si>
    <t>条件值</t>
  </si>
  <si>
    <t>动作ID</t>
  </si>
  <si>
    <t>关联场景</t>
  </si>
  <si>
    <t>找NPC1谈话</t>
  </si>
  <si>
    <t>找NPC2谈话</t>
  </si>
  <si>
    <t>NextTaskId</t>
  </si>
  <si>
    <t>TaskType</t>
  </si>
  <si>
    <t>TaskSubType</t>
  </si>
  <si>
    <t>TaskName</t>
  </si>
  <si>
    <t>TaskDesc</t>
  </si>
  <si>
    <t>Icon</t>
  </si>
  <si>
    <t>AcceptLimitDesc</t>
  </si>
  <si>
    <t>AwardDesc</t>
  </si>
  <si>
    <t>FinishDesc</t>
  </si>
  <si>
    <t>DateStart</t>
  </si>
  <si>
    <t>DateEnd</t>
  </si>
  <si>
    <t>GuideObjectID</t>
  </si>
  <si>
    <t>Chapter</t>
  </si>
  <si>
    <t>FinalChapter</t>
  </si>
  <si>
    <t>任务的id</t>
  </si>
  <si>
    <t>下一个关联任务的id</t>
  </si>
  <si>
    <t>任务类型</t>
  </si>
  <si>
    <t>任务子类型</t>
  </si>
  <si>
    <t>任务标题</t>
  </si>
  <si>
    <t>任务内容</t>
  </si>
  <si>
    <t>前往界面</t>
  </si>
  <si>
    <t>任务图标</t>
  </si>
  <si>
    <t>完成条件描述</t>
  </si>
  <si>
    <t>接受任务前置条件描述</t>
  </si>
  <si>
    <t>奖励描述</t>
  </si>
  <si>
    <t>完成时描述</t>
  </si>
  <si>
    <t>任务有效开始时间</t>
  </si>
  <si>
    <t>任务有效终止时间</t>
  </si>
  <si>
    <t>引导对象ID</t>
  </si>
  <si>
    <t>所属章节</t>
  </si>
  <si>
    <t>终章节</t>
  </si>
  <si>
    <t>1至100之和：</t>
  </si>
  <si>
    <t>全部导出</t>
  </si>
  <si>
    <t>导出者</t>
  </si>
  <si>
    <t>Count</t>
  </si>
  <si>
    <t>SheetName</t>
  </si>
  <si>
    <t>TargetDIR</t>
  </si>
  <si>
    <t>StringDIR</t>
  </si>
  <si>
    <t>注释</t>
  </si>
  <si>
    <r>
      <rPr>
        <sz val="11"/>
        <color indexed="8"/>
        <rFont val="微软雅黑"/>
        <family val="2"/>
        <charset val="134"/>
      </rPr>
      <t>D</t>
    </r>
    <r>
      <rPr>
        <sz val="11"/>
        <color indexed="8"/>
        <rFont val="微软雅黑"/>
        <family val="2"/>
        <charset val="134"/>
      </rPr>
      <t>efault</t>
    </r>
  </si>
  <si>
    <t>MainTaskInfo</t>
  </si>
  <si>
    <t>..\..\DataServer\China\</t>
  </si>
  <si>
    <t>MainTaskAward</t>
  </si>
  <si>
    <t>主线任务奖励</t>
  </si>
  <si>
    <t>MainTaskDesire</t>
  </si>
  <si>
    <t>主线任务目标</t>
  </si>
  <si>
    <t>MainTaskAcceptLimit</t>
  </si>
  <si>
    <t>主线任务接受条件</t>
  </si>
  <si>
    <t>LimitType</t>
  </si>
  <si>
    <t>LimitSubType</t>
  </si>
  <si>
    <t>JudgeType</t>
  </si>
  <si>
    <t>LimitValue</t>
  </si>
  <si>
    <t>Param1</t>
  </si>
  <si>
    <t>Param2</t>
  </si>
  <si>
    <t>Necessary</t>
  </si>
  <si>
    <t>限制类型</t>
  </si>
  <si>
    <t>限制类型说明</t>
  </si>
  <si>
    <t>限制子类型</t>
  </si>
  <si>
    <t>判断类型</t>
  </si>
  <si>
    <t>判断类型说明</t>
  </si>
  <si>
    <t>参数1</t>
  </si>
  <si>
    <t>参数2</t>
  </si>
  <si>
    <t>必要条件</t>
  </si>
  <si>
    <t>必要条件说明</t>
  </si>
  <si>
    <t>101 剧情通关</t>
  </si>
  <si>
    <t>1 等于</t>
  </si>
  <si>
    <t>1 逻辑与 &amp;</t>
  </si>
  <si>
    <t>102 好感度</t>
  </si>
  <si>
    <t>2 大于</t>
  </si>
  <si>
    <t>0 逻辑或 |</t>
  </si>
  <si>
    <r>
      <t>通过剧情3-1，</t>
    </r>
    <r>
      <rPr>
        <sz val="9"/>
        <color rgb="FFFF0000"/>
        <rFont val="微软雅黑"/>
        <family val="2"/>
        <charset val="134"/>
      </rPr>
      <t>条件值</t>
    </r>
    <r>
      <rPr>
        <sz val="9"/>
        <rFont val="微软雅黑"/>
        <family val="2"/>
        <charset val="134"/>
      </rPr>
      <t>1代表通关，</t>
    </r>
    <r>
      <rPr>
        <sz val="9"/>
        <color rgb="FFFF0000"/>
        <rFont val="微软雅黑"/>
        <family val="2"/>
        <charset val="134"/>
      </rPr>
      <t>参数1</t>
    </r>
    <r>
      <rPr>
        <sz val="9"/>
        <rFont val="微软雅黑"/>
        <family val="2"/>
        <charset val="134"/>
      </rPr>
      <t>代表章节，</t>
    </r>
    <r>
      <rPr>
        <sz val="9"/>
        <color rgb="FFFF0000"/>
        <rFont val="微软雅黑"/>
        <family val="2"/>
        <charset val="134"/>
      </rPr>
      <t>参数2</t>
    </r>
    <r>
      <rPr>
        <sz val="9"/>
        <rFont val="微软雅黑"/>
        <family val="2"/>
        <charset val="134"/>
      </rPr>
      <t>代表小节</t>
    </r>
    <phoneticPr fontId="26" type="noConversion"/>
  </si>
  <si>
    <t>103 指导任务</t>
  </si>
  <si>
    <t>3 小于</t>
  </si>
  <si>
    <r>
      <t>男主1，</t>
    </r>
    <r>
      <rPr>
        <sz val="9"/>
        <color rgb="FFFF0000"/>
        <rFont val="微软雅黑"/>
        <family val="2"/>
        <charset val="134"/>
      </rPr>
      <t>条件值</t>
    </r>
    <r>
      <rPr>
        <sz val="9"/>
        <rFont val="微软雅黑"/>
        <family val="2"/>
        <charset val="134"/>
      </rPr>
      <t>(好感度)30达到以上，</t>
    </r>
    <r>
      <rPr>
        <sz val="9"/>
        <color rgb="FFFF0000"/>
        <rFont val="微软雅黑"/>
        <family val="2"/>
        <charset val="134"/>
      </rPr>
      <t>参数1</t>
    </r>
    <r>
      <rPr>
        <sz val="9"/>
        <rFont val="微软雅黑"/>
        <family val="2"/>
        <charset val="134"/>
      </rPr>
      <t>代表男主ID</t>
    </r>
    <phoneticPr fontId="26" type="noConversion"/>
  </si>
  <si>
    <t>104 男主剧情</t>
  </si>
  <si>
    <t>4 大于等于</t>
  </si>
  <si>
    <r>
      <t>指导任务1已完成，</t>
    </r>
    <r>
      <rPr>
        <sz val="9"/>
        <color rgb="FFFF0000"/>
        <rFont val="微软雅黑"/>
        <family val="2"/>
        <charset val="134"/>
      </rPr>
      <t>条件值</t>
    </r>
    <r>
      <rPr>
        <sz val="9"/>
        <rFont val="微软雅黑"/>
        <family val="2"/>
        <charset val="134"/>
      </rPr>
      <t>2代表完成状态，</t>
    </r>
    <r>
      <rPr>
        <sz val="9"/>
        <color rgb="FFFF0000"/>
        <rFont val="微软雅黑"/>
        <family val="2"/>
        <charset val="134"/>
      </rPr>
      <t>参数1</t>
    </r>
    <r>
      <rPr>
        <sz val="9"/>
        <rFont val="微软雅黑"/>
        <family val="2"/>
        <charset val="134"/>
      </rPr>
      <t>代表任务ID；任务条件值 0 未解锁 1 已解锁 2 已完成 3 已领取奖励</t>
    </r>
    <phoneticPr fontId="26" type="noConversion"/>
  </si>
  <si>
    <t>105 繁星阁繁荣度属性</t>
  </si>
  <si>
    <t>5 小于等于</t>
  </si>
  <si>
    <r>
      <t>通过剧情3-2，</t>
    </r>
    <r>
      <rPr>
        <sz val="9"/>
        <color rgb="FFFF0000"/>
        <rFont val="微软雅黑"/>
        <family val="2"/>
        <charset val="134"/>
      </rPr>
      <t>条件值</t>
    </r>
    <r>
      <rPr>
        <sz val="9"/>
        <rFont val="微软雅黑"/>
        <family val="2"/>
        <charset val="134"/>
      </rPr>
      <t>1代表通关，</t>
    </r>
    <r>
      <rPr>
        <sz val="9"/>
        <color rgb="FFFF0000"/>
        <rFont val="微软雅黑"/>
        <family val="2"/>
        <charset val="134"/>
      </rPr>
      <t>参数1</t>
    </r>
    <r>
      <rPr>
        <sz val="9"/>
        <rFont val="微软雅黑"/>
        <family val="2"/>
        <charset val="134"/>
      </rPr>
      <t>代表章节，</t>
    </r>
    <r>
      <rPr>
        <sz val="9"/>
        <color rgb="FFFF0000"/>
        <rFont val="微软雅黑"/>
        <family val="2"/>
        <charset val="134"/>
      </rPr>
      <t>参数2</t>
    </r>
    <r>
      <rPr>
        <sz val="9"/>
        <rFont val="微软雅黑"/>
        <family val="2"/>
        <charset val="134"/>
      </rPr>
      <t>代表小节</t>
    </r>
    <phoneticPr fontId="26" type="noConversion"/>
  </si>
  <si>
    <t>106 消耗物品</t>
  </si>
  <si>
    <t>6 不等于</t>
  </si>
  <si>
    <r>
      <t>繁星阁属性值&gt;=100,</t>
    </r>
    <r>
      <rPr>
        <sz val="8"/>
        <color rgb="FFFF0000"/>
        <rFont val="微软雅黑"/>
        <family val="2"/>
        <charset val="134"/>
      </rPr>
      <t>条件值</t>
    </r>
    <r>
      <rPr>
        <sz val="8"/>
        <color indexed="8"/>
        <rFont val="微软雅黑"/>
        <family val="2"/>
        <charset val="134"/>
      </rPr>
      <t>100代表繁星阁属性大于100</t>
    </r>
    <phoneticPr fontId="26" type="noConversion"/>
  </si>
  <si>
    <t>7 必定成功</t>
  </si>
  <si>
    <r>
      <t>消耗1000金币，</t>
    </r>
    <r>
      <rPr>
        <sz val="8"/>
        <color rgb="FFFF0000"/>
        <rFont val="微软雅黑"/>
        <family val="2"/>
        <charset val="134"/>
      </rPr>
      <t>条件值</t>
    </r>
    <r>
      <rPr>
        <sz val="8"/>
        <color indexed="8"/>
        <rFont val="微软雅黑"/>
        <family val="2"/>
        <charset val="134"/>
      </rPr>
      <t>1000代表消耗1000金币，</t>
    </r>
    <r>
      <rPr>
        <sz val="8"/>
        <color rgb="FFFF0000"/>
        <rFont val="微软雅黑"/>
        <family val="2"/>
        <charset val="134"/>
      </rPr>
      <t>参数1</t>
    </r>
    <r>
      <rPr>
        <sz val="8"/>
        <color indexed="8"/>
        <rFont val="微软雅黑"/>
        <family val="2"/>
        <charset val="134"/>
      </rPr>
      <t>代表金币的物品ID</t>
    </r>
    <phoneticPr fontId="26" type="noConversion"/>
  </si>
  <si>
    <t>任务条件ID</t>
  </si>
  <si>
    <t>任务条件ID说明</t>
  </si>
  <si>
    <t>完成任务事件</t>
  </si>
  <si>
    <t>完成任务事件说明</t>
  </si>
  <si>
    <t>条件判断类型</t>
  </si>
  <si>
    <t>条件判断类型说明</t>
  </si>
  <si>
    <t>条件配置</t>
  </si>
  <si>
    <t>条件配置说明</t>
  </si>
  <si>
    <t>建造或升级建筑,上报建筑id和等级</t>
  </si>
  <si>
    <t>等于</t>
  </si>
  <si>
    <t>2001&amp;1&amp;2</t>
  </si>
  <si>
    <t>建造建筑id为2</t>
  </si>
  <si>
    <t>购买物品，上报物品id和数量</t>
  </si>
  <si>
    <t>大于</t>
  </si>
  <si>
    <t>售卖物品，上报物品id和数量</t>
  </si>
  <si>
    <t>小于</t>
  </si>
  <si>
    <t>2001&amp;1&amp;2-2002&amp;2&amp;2</t>
  </si>
  <si>
    <t>建造建筑id为2，建筑等级大于等于2</t>
  </si>
  <si>
    <t>大于等于</t>
  </si>
  <si>
    <t>完成主线剧情节，上报章和节id</t>
  </si>
  <si>
    <t>小于等于</t>
  </si>
  <si>
    <t>完成男主剧情节，上报男主、章和节id</t>
  </si>
  <si>
    <t>不等于</t>
  </si>
  <si>
    <t>必定成功</t>
  </si>
  <si>
    <t>玩家操作行为，上报玩家操作id</t>
  </si>
  <si>
    <t>完成事件，上报事件ID</t>
  </si>
  <si>
    <t>通过剧情3-1，条件值1代表通关，参数1代表章节，参数2代表小节</t>
  </si>
  <si>
    <t>男主1，好感度30达到以上，参数1代表男主ID</t>
  </si>
  <si>
    <t>任务1已完成，条件值2代表完成状态，参数1代表任务ID；任务条件值 0 未解锁 1 已解锁 2 已完成 3 已领取奖励</t>
  </si>
  <si>
    <t>通过剧情3-2，条件值1代表通关，参数1代表章节，参数2代表小节</t>
  </si>
  <si>
    <t>NpcSectionID</t>
    <phoneticPr fontId="26" type="noConversion"/>
  </si>
  <si>
    <t>npc对应节</t>
    <phoneticPr fontId="26" type="noConversion"/>
  </si>
  <si>
    <t>*</t>
    <phoneticPr fontId="26" type="noConversion"/>
  </si>
  <si>
    <t>*</t>
    <phoneticPr fontId="26" type="noConversion"/>
  </si>
  <si>
    <t>INT</t>
    <phoneticPr fontId="26" type="noConversion"/>
  </si>
  <si>
    <t>DesireType</t>
    <phoneticPr fontId="26" type="noConversion"/>
  </si>
  <si>
    <t>i</t>
    <phoneticPr fontId="26" type="noConversion"/>
  </si>
  <si>
    <t>任务子类型</t>
    <phoneticPr fontId="26" type="noConversion"/>
  </si>
  <si>
    <t>*</t>
    <phoneticPr fontId="35" type="noConversion"/>
  </si>
  <si>
    <t>s</t>
    <phoneticPr fontId="35" type="noConversion"/>
  </si>
  <si>
    <t>i</t>
    <phoneticPr fontId="35" type="noConversion"/>
  </si>
  <si>
    <t>*</t>
    <phoneticPr fontId="35" type="noConversion"/>
  </si>
  <si>
    <t>INT</t>
    <phoneticPr fontId="35" type="noConversion"/>
  </si>
  <si>
    <t>STRING</t>
    <phoneticPr fontId="35" type="noConversion"/>
  </si>
  <si>
    <t>CalcRate</t>
    <phoneticPr fontId="35" type="noConversion"/>
  </si>
  <si>
    <t>TaskDesireNum</t>
    <phoneticPr fontId="35" type="noConversion"/>
  </si>
  <si>
    <t>概率</t>
    <phoneticPr fontId="35" type="noConversion"/>
  </si>
  <si>
    <t>任务数</t>
    <phoneticPr fontId="35" type="noConversion"/>
  </si>
  <si>
    <t>1:1</t>
    <phoneticPr fontId="26" type="noConversion"/>
  </si>
  <si>
    <t>主线任务/逛街任务/探索任务</t>
    <phoneticPr fontId="26" type="noConversion"/>
  </si>
  <si>
    <t>TaskLvl</t>
  </si>
  <si>
    <t>iTaskLvl</t>
  </si>
  <si>
    <t>任务等级</t>
  </si>
  <si>
    <t>ContentType</t>
  </si>
  <si>
    <t>iContentType</t>
  </si>
  <si>
    <t>内容类型</t>
  </si>
  <si>
    <t>Comment</t>
  </si>
  <si>
    <t>sComment</t>
  </si>
  <si>
    <t>完成后评论</t>
  </si>
  <si>
    <t>评论3</t>
  </si>
  <si>
    <t>评论4</t>
  </si>
  <si>
    <t xml:space="preserve"> </t>
    <phoneticPr fontId="26" type="noConversion"/>
  </si>
  <si>
    <t>client</t>
    <phoneticPr fontId="26" type="noConversion"/>
  </si>
  <si>
    <t>领取本章宝箱</t>
  </si>
  <si>
    <t>NPCid</t>
    <phoneticPr fontId="26" type="noConversion"/>
  </si>
  <si>
    <t>NPC对话id</t>
    <phoneticPr fontId="26" type="noConversion"/>
  </si>
  <si>
    <t>道具数量</t>
    <phoneticPr fontId="26" type="noConversion"/>
  </si>
  <si>
    <t>道具id</t>
    <phoneticPr fontId="26" type="noConversion"/>
  </si>
  <si>
    <t>阅读剧情1-2</t>
  </si>
  <si>
    <t>阅读剧情1-3</t>
  </si>
  <si>
    <t>生产1个小米粥</t>
  </si>
  <si>
    <t>生产3个杂粮煎饼</t>
  </si>
  <si>
    <t>制作3件粗麻布衣</t>
  </si>
  <si>
    <t>制作3件精致编制帽</t>
  </si>
  <si>
    <t>剧情对话id</t>
  </si>
  <si>
    <t>NPC对话id</t>
  </si>
  <si>
    <t>猫ID</t>
    <phoneticPr fontId="35" type="noConversion"/>
  </si>
  <si>
    <t>完成NPC对话</t>
    <phoneticPr fontId="35" type="noConversion"/>
  </si>
  <si>
    <t>招募猫</t>
    <phoneticPr fontId="35" type="noConversion"/>
  </si>
  <si>
    <t>阅读剧情1-1</t>
  </si>
  <si>
    <t>阅读剧情1-4</t>
  </si>
  <si>
    <t>制作3把剪刀</t>
  </si>
  <si>
    <t>剧情任务5</t>
  </si>
  <si>
    <t>剧情任务6</t>
  </si>
  <si>
    <t>充值</t>
    <phoneticPr fontId="35" type="noConversion"/>
  </si>
  <si>
    <t>领取宝箱奖励</t>
    <phoneticPr fontId="35" type="noConversion"/>
  </si>
  <si>
    <t>解锁建筑</t>
    <phoneticPr fontId="35" type="noConversion"/>
  </si>
  <si>
    <t>完成八卦任务</t>
  </si>
  <si>
    <t>收获制作物品，上报物品id和数量</t>
  </si>
  <si>
    <t>把猫放入建筑</t>
    <phoneticPr fontId="35" type="noConversion"/>
  </si>
  <si>
    <t>凡星阁升级</t>
    <phoneticPr fontId="35" type="noConversion"/>
  </si>
  <si>
    <t>使用船售卖</t>
    <phoneticPr fontId="35" type="noConversion"/>
  </si>
  <si>
    <t>制作3把剪刀</t>
    <phoneticPr fontId="26" type="noConversion"/>
  </si>
  <si>
    <t>制作3件粗麻布衣</t>
    <phoneticPr fontId="26" type="noConversion"/>
  </si>
  <si>
    <t>制作3件笠帽</t>
    <phoneticPr fontId="26" type="noConversion"/>
  </si>
  <si>
    <t>生产获得1个肉蛋</t>
    <phoneticPr fontId="26" type="noConversion"/>
  </si>
  <si>
    <t>生产获得1个小米粥</t>
    <phoneticPr fontId="26" type="noConversion"/>
  </si>
  <si>
    <t>生产获得1个铜铁</t>
    <phoneticPr fontId="26" type="noConversion"/>
  </si>
  <si>
    <t>制作3个杂粮煎饼</t>
    <phoneticPr fontId="26" type="noConversion"/>
  </si>
  <si>
    <t>Conditions</t>
    <phoneticPr fontId="35" type="noConversion"/>
  </si>
  <si>
    <t>完成任务需要的条件</t>
    <phoneticPr fontId="35" type="noConversion"/>
  </si>
  <si>
    <t>优先级ID</t>
    <phoneticPr fontId="26" type="noConversion"/>
  </si>
  <si>
    <t>GuideObjectID</t>
    <phoneticPr fontId="26" type="noConversion"/>
  </si>
  <si>
    <t>Priority</t>
    <phoneticPr fontId="26" type="noConversion"/>
  </si>
  <si>
    <t>PreDialog</t>
    <phoneticPr fontId="26" type="noConversion"/>
  </si>
  <si>
    <t>领取奖励后对白</t>
    <phoneticPr fontId="26" type="noConversion"/>
  </si>
  <si>
    <t>AcceptDialog</t>
    <phoneticPr fontId="26" type="noConversion"/>
  </si>
  <si>
    <t>接受任务后对白</t>
    <phoneticPr fontId="26" type="noConversion"/>
  </si>
  <si>
    <t>导出/server</t>
    <phoneticPr fontId="26" type="noConversion"/>
  </si>
  <si>
    <t>剧情3-7</t>
  </si>
  <si>
    <t>剧情3-8</t>
  </si>
  <si>
    <t>剧情3-9</t>
  </si>
  <si>
    <t>剧情3-10</t>
  </si>
  <si>
    <t>剧情3-11</t>
  </si>
  <si>
    <t>剧情3-12</t>
  </si>
  <si>
    <t>剧情3-13</t>
  </si>
  <si>
    <t>剧情3-14</t>
  </si>
  <si>
    <t>剧情3-15</t>
  </si>
  <si>
    <t>剧情3-16</t>
  </si>
  <si>
    <t>剧情3-17</t>
  </si>
  <si>
    <t>剧情3-18</t>
  </si>
  <si>
    <t>剧情3-19</t>
  </si>
  <si>
    <t>剧情3-20</t>
  </si>
  <si>
    <t>CommonId</t>
    <phoneticPr fontId="26" type="noConversion"/>
  </si>
  <si>
    <t>动作ID/引导事件ID</t>
    <phoneticPr fontId="26" type="noConversion"/>
  </si>
  <si>
    <t>生产任务</t>
    <phoneticPr fontId="26" type="noConversion"/>
  </si>
  <si>
    <t>剧情3-5</t>
    <phoneticPr fontId="26" type="noConversion"/>
  </si>
  <si>
    <t>章节</t>
    <phoneticPr fontId="26" type="noConversion"/>
  </si>
  <si>
    <t>剧情3-6~8</t>
    <phoneticPr fontId="26" type="noConversion"/>
  </si>
  <si>
    <t>剧情3-9~11</t>
    <phoneticPr fontId="26" type="noConversion"/>
  </si>
  <si>
    <t>剧情3-12~14</t>
    <phoneticPr fontId="26" type="noConversion"/>
  </si>
  <si>
    <t>剧情3-15</t>
    <phoneticPr fontId="26" type="noConversion"/>
  </si>
  <si>
    <t>剧情3-16~19</t>
    <phoneticPr fontId="26" type="noConversion"/>
  </si>
  <si>
    <t>剧情3-20</t>
    <phoneticPr fontId="26" type="noConversion"/>
  </si>
  <si>
    <t>*</t>
    <phoneticPr fontId="26" type="noConversion"/>
  </si>
  <si>
    <t>*</t>
    <phoneticPr fontId="26" type="noConversion"/>
  </si>
  <si>
    <t>找小二聊聊天</t>
    <phoneticPr fontId="26" type="noConversion"/>
  </si>
  <si>
    <t>找裁缝聊聊天</t>
    <phoneticPr fontId="26" type="noConversion"/>
  </si>
  <si>
    <t>找掌厨聊聊天</t>
    <phoneticPr fontId="26" type="noConversion"/>
  </si>
  <si>
    <t>掌厨需要一百金币买菜</t>
    <phoneticPr fontId="26" type="noConversion"/>
  </si>
  <si>
    <t>消耗5万金币解锁</t>
    <phoneticPr fontId="26" type="noConversion"/>
  </si>
  <si>
    <t>0 阅读剧情任务;
1 动作类型任务;
2 生产物品类任务;
3 属性类型;
4 小游戏类型;
5 消耗物品类型;
6 指导任务类型</t>
    <phoneticPr fontId="26" type="noConversion"/>
  </si>
  <si>
    <t>打开建筑队列</t>
    <phoneticPr fontId="35" type="noConversion"/>
  </si>
  <si>
    <t>物品有变化</t>
    <phoneticPr fontId="35" type="noConversion"/>
  </si>
  <si>
    <t>完成委托任务</t>
    <phoneticPr fontId="35" type="noConversion"/>
  </si>
  <si>
    <t>商铺上架零售</t>
    <phoneticPr fontId="35" type="noConversion"/>
  </si>
  <si>
    <t>完成结束订单</t>
    <phoneticPr fontId="35" type="noConversion"/>
  </si>
  <si>
    <t>1 热
2 沸
3 爆
999 八卦子任务</t>
    <phoneticPr fontId="26" type="noConversion"/>
  </si>
  <si>
    <t>任务跳转类型</t>
    <phoneticPr fontId="26" type="noConversion"/>
  </si>
  <si>
    <t>类型名称</t>
    <phoneticPr fontId="26" type="noConversion"/>
  </si>
  <si>
    <t>农田</t>
    <phoneticPr fontId="26" type="noConversion"/>
  </si>
  <si>
    <t>牧场</t>
    <phoneticPr fontId="26" type="noConversion"/>
  </si>
  <si>
    <t>矿洞</t>
    <phoneticPr fontId="26" type="noConversion"/>
  </si>
  <si>
    <t>工作台</t>
    <phoneticPr fontId="26" type="noConversion"/>
  </si>
  <si>
    <t>码头</t>
    <phoneticPr fontId="26" type="noConversion"/>
  </si>
  <si>
    <t>小花园</t>
    <phoneticPr fontId="26" type="noConversion"/>
  </si>
  <si>
    <t>凡星阁升级界面</t>
    <phoneticPr fontId="26" type="noConversion"/>
  </si>
  <si>
    <t>喂食</t>
    <phoneticPr fontId="26" type="noConversion"/>
  </si>
  <si>
    <t>示例</t>
    <phoneticPr fontId="26" type="noConversion"/>
  </si>
  <si>
    <t>跳到农田2号位置  1|2</t>
    <phoneticPr fontId="26" type="noConversion"/>
  </si>
  <si>
    <t>跳到牧场3号位置  2|3</t>
    <phoneticPr fontId="26" type="noConversion"/>
  </si>
  <si>
    <t>跳到矿洞1号位置  3|1</t>
    <phoneticPr fontId="26" type="noConversion"/>
  </si>
  <si>
    <t>跳到工作台2号位置  4|2</t>
    <phoneticPr fontId="26" type="noConversion"/>
  </si>
  <si>
    <t>（工作台三个子类分别代表 1 2 3）</t>
    <phoneticPr fontId="26" type="noConversion"/>
  </si>
  <si>
    <t>生产建筑子类分别代表 1 2 3 4 5 6</t>
    <phoneticPr fontId="26" type="noConversion"/>
  </si>
  <si>
    <t>跳到码头 5</t>
    <phoneticPr fontId="26" type="noConversion"/>
  </si>
  <si>
    <t>跳到小花园 6</t>
    <phoneticPr fontId="26" type="noConversion"/>
  </si>
  <si>
    <t>跳到凡星阁 7</t>
    <phoneticPr fontId="26" type="noConversion"/>
  </si>
  <si>
    <t>跳到喂食 9</t>
    <phoneticPr fontId="26" type="noConversion"/>
  </si>
  <si>
    <t>跳到剧情大地图 8</t>
    <phoneticPr fontId="26" type="noConversion"/>
  </si>
  <si>
    <t>剧情大地图</t>
    <phoneticPr fontId="26" type="noConversion"/>
  </si>
  <si>
    <t>JumpToSceneType</t>
    <phoneticPr fontId="26" type="noConversion"/>
  </si>
  <si>
    <t>跳转场景类型</t>
    <phoneticPr fontId="26" type="noConversion"/>
  </si>
  <si>
    <t>4|1</t>
    <phoneticPr fontId="26" type="noConversion"/>
  </si>
  <si>
    <t>s</t>
    <phoneticPr fontId="26" type="noConversion"/>
  </si>
  <si>
    <t>剧情标题</t>
    <phoneticPr fontId="26" type="noConversion"/>
  </si>
  <si>
    <t>DesireTitle</t>
    <phoneticPr fontId="26" type="noConversion"/>
  </si>
  <si>
    <t>1 物品
2 好感度(物品ID为男主ID)
3 店铺威望</t>
    <phoneticPr fontId="26" type="noConversion"/>
  </si>
  <si>
    <t>物品数量</t>
    <phoneticPr fontId="35" type="noConversion"/>
  </si>
  <si>
    <t>客户端动作行为id待定</t>
  </si>
  <si>
    <t>八卦任务目标值</t>
    <phoneticPr fontId="35" type="noConversion"/>
  </si>
  <si>
    <t>建筑ID</t>
    <phoneticPr fontId="35" type="noConversion"/>
  </si>
  <si>
    <t>建筑等级</t>
    <phoneticPr fontId="35" type="noConversion"/>
  </si>
  <si>
    <t>物品ID</t>
    <phoneticPr fontId="35" type="noConversion"/>
  </si>
  <si>
    <t>剧情章ID</t>
    <phoneticPr fontId="35" type="noConversion"/>
  </si>
  <si>
    <t>剧情节ID</t>
    <phoneticPr fontId="35" type="noConversion"/>
  </si>
  <si>
    <t>剧情男主ID</t>
    <phoneticPr fontId="35" type="noConversion"/>
  </si>
  <si>
    <t>物品类型</t>
    <phoneticPr fontId="35" type="noConversion"/>
  </si>
  <si>
    <t>猫等级</t>
    <phoneticPr fontId="35" type="noConversion"/>
  </si>
  <si>
    <t>猫星级</t>
    <phoneticPr fontId="35" type="noConversion"/>
  </si>
  <si>
    <t>猫战力</t>
    <phoneticPr fontId="35" type="noConversion"/>
  </si>
  <si>
    <t>所有猫战力</t>
    <phoneticPr fontId="35" type="noConversion"/>
  </si>
  <si>
    <t>建筑数量或工作台队列数量</t>
    <phoneticPr fontId="35" type="noConversion"/>
  </si>
  <si>
    <t>凡星阁等级</t>
    <phoneticPr fontId="35" type="noConversion"/>
  </si>
  <si>
    <t>子建筑ID</t>
    <phoneticPr fontId="35" type="noConversion"/>
  </si>
  <si>
    <t>道具星级</t>
    <phoneticPr fontId="35" type="noConversion"/>
  </si>
  <si>
    <t>后台事件id待定</t>
    <phoneticPr fontId="35" type="noConversion"/>
  </si>
  <si>
    <t>八卦任务id</t>
    <phoneticPr fontId="35" type="noConversion"/>
  </si>
  <si>
    <t>八卦任务目标id</t>
    <phoneticPr fontId="35" type="noConversion"/>
  </si>
  <si>
    <t>限制类型</t>
    <phoneticPr fontId="35" type="noConversion"/>
  </si>
  <si>
    <t>限制类型说明</t>
    <phoneticPr fontId="35" type="noConversion"/>
  </si>
  <si>
    <t>主线通关</t>
    <phoneticPr fontId="35" type="noConversion"/>
  </si>
  <si>
    <t>好感度</t>
    <phoneticPr fontId="35" type="noConversion"/>
  </si>
  <si>
    <t>指导任务</t>
    <phoneticPr fontId="35" type="noConversion"/>
  </si>
  <si>
    <t>男主剧情</t>
    <phoneticPr fontId="35" type="noConversion"/>
  </si>
  <si>
    <t>所有猫的数量</t>
    <phoneticPr fontId="26" type="noConversion"/>
  </si>
  <si>
    <t>达到等级猫的数量</t>
    <phoneticPr fontId="26" type="noConversion"/>
  </si>
  <si>
    <t>3 剧情任务
4 NPC任务</t>
    <phoneticPr fontId="26" type="noConversion"/>
  </si>
  <si>
    <t>0 阅读剧情任务
1 动作类型任务
2 生产物品类型任务
3 属性类型</t>
    <phoneticPr fontId="26" type="noConversion"/>
  </si>
  <si>
    <t>1 直接发送所有物品
2 采用物品单个独立随机的规则
3 组合随机，也就是圆桌随机</t>
    <phoneticPr fontId="26" type="noConversion"/>
  </si>
  <si>
    <t>1 全场热议
2 小道消息</t>
    <phoneticPr fontId="26" type="noConversion"/>
  </si>
  <si>
    <t>累计店铺零售收益</t>
    <phoneticPr fontId="26" type="noConversion"/>
  </si>
  <si>
    <t>生产柔云织10个</t>
    <phoneticPr fontId="26" type="noConversion"/>
  </si>
  <si>
    <t>2003&amp;1&amp;31021</t>
    <phoneticPr fontId="26" type="noConversion"/>
  </si>
  <si>
    <t>店铺上货</t>
    <phoneticPr fontId="26" type="noConversion"/>
  </si>
  <si>
    <t>2003&amp;1&amp;31031</t>
    <phoneticPr fontId="26" type="noConversion"/>
  </si>
  <si>
    <t>生产清凉纱10个</t>
    <phoneticPr fontId="26" type="noConversion"/>
  </si>
  <si>
    <t>29 阅读剧情</t>
  </si>
  <si>
    <t>30 临行订单</t>
  </si>
  <si>
    <t>31 阅读剧情</t>
  </si>
  <si>
    <t>32 临行订单</t>
  </si>
  <si>
    <t>33 阅读剧情</t>
  </si>
  <si>
    <t>34 临行订单</t>
  </si>
  <si>
    <t>35 阅读剧情</t>
  </si>
  <si>
    <t>36 临行订单</t>
  </si>
  <si>
    <t>37 阅读剧情</t>
  </si>
  <si>
    <t>38 临行订单</t>
  </si>
  <si>
    <t>39 阅读剧情</t>
  </si>
  <si>
    <t>40 临行订单</t>
  </si>
  <si>
    <t>41 阅读剧情</t>
  </si>
  <si>
    <t>等级达到10级</t>
    <phoneticPr fontId="26" type="noConversion"/>
  </si>
  <si>
    <t>家中遇刺</t>
  </si>
  <si>
    <t>浴池初见</t>
  </si>
  <si>
    <t>迷糊公子</t>
  </si>
  <si>
    <t>花朝佳节</t>
  </si>
  <si>
    <t>重题牌匾</t>
  </si>
  <si>
    <t>价高者得</t>
  </si>
  <si>
    <t>店铺售卖收益</t>
    <phoneticPr fontId="35" type="noConversion"/>
  </si>
  <si>
    <t>去访-送礼</t>
    <phoneticPr fontId="35" type="noConversion"/>
  </si>
  <si>
    <t>使用话题</t>
    <phoneticPr fontId="35" type="noConversion"/>
  </si>
  <si>
    <t>分享NPC</t>
    <phoneticPr fontId="35" type="noConversion"/>
  </si>
  <si>
    <t>猫突破</t>
    <phoneticPr fontId="35" type="noConversion"/>
  </si>
  <si>
    <t>完成猫事件</t>
    <phoneticPr fontId="35" type="noConversion"/>
  </si>
  <si>
    <t>花笺卡突破</t>
    <phoneticPr fontId="35" type="noConversion"/>
  </si>
  <si>
    <t>拜访NPC</t>
    <phoneticPr fontId="35" type="noConversion"/>
  </si>
  <si>
    <t>男主数据变更</t>
    <phoneticPr fontId="35" type="noConversion"/>
  </si>
  <si>
    <t>喂猫</t>
    <phoneticPr fontId="35" type="noConversion"/>
  </si>
  <si>
    <t>花笺卡数据变更</t>
    <phoneticPr fontId="35" type="noConversion"/>
  </si>
  <si>
    <t>情报阁完成任务</t>
    <phoneticPr fontId="35" type="noConversion"/>
  </si>
  <si>
    <t>完成花笺卡支线</t>
    <phoneticPr fontId="35" type="noConversion"/>
  </si>
  <si>
    <t>获得小纸条</t>
    <phoneticPr fontId="35" type="noConversion"/>
  </si>
  <si>
    <t>男主好感度</t>
    <phoneticPr fontId="35" type="noConversion"/>
  </si>
  <si>
    <t>男主好感等级</t>
    <phoneticPr fontId="35" type="noConversion"/>
  </si>
  <si>
    <t>花笺卡等级</t>
    <phoneticPr fontId="35" type="noConversion"/>
  </si>
  <si>
    <t>花笺卡星级</t>
    <phoneticPr fontId="35" type="noConversion"/>
  </si>
  <si>
    <t>情报阁任务星级</t>
    <phoneticPr fontId="35" type="noConversion"/>
  </si>
  <si>
    <t>花笺卡章id</t>
    <phoneticPr fontId="35" type="noConversion"/>
  </si>
  <si>
    <t>情报阁等级</t>
    <phoneticPr fontId="35" type="noConversion"/>
  </si>
  <si>
    <t>情报阁总星数</t>
    <phoneticPr fontId="26" type="noConversion"/>
  </si>
  <si>
    <t>情报阁等级</t>
    <phoneticPr fontId="26" type="noConversion"/>
  </si>
  <si>
    <t>情报任务id</t>
    <phoneticPr fontId="26" type="noConversion"/>
  </si>
  <si>
    <t>战斗id</t>
    <phoneticPr fontId="26" type="noConversion"/>
  </si>
  <si>
    <t>2001&amp;1&amp;201001-2002&amp;4&amp;2</t>
  </si>
  <si>
    <t>2108&amp;4&amp;1</t>
    <phoneticPr fontId="26" type="noConversion"/>
  </si>
  <si>
    <t>汇报结果</t>
  </si>
  <si>
    <t>鉴宝风波</t>
  </si>
  <si>
    <t>2006&amp;1&amp;90202</t>
  </si>
  <si>
    <t>2006&amp;1&amp;90208</t>
  </si>
  <si>
    <t>2006&amp;1&amp;90103</t>
  </si>
  <si>
    <t>2006&amp;1&amp;90104</t>
  </si>
  <si>
    <t>2006&amp;1&amp;90105</t>
    <phoneticPr fontId="26" type="noConversion"/>
  </si>
  <si>
    <t>2006&amp;1&amp;90106</t>
    <phoneticPr fontId="26" type="noConversion"/>
  </si>
  <si>
    <t>2006&amp;1&amp;90108</t>
    <phoneticPr fontId="26" type="noConversion"/>
  </si>
  <si>
    <t>2006&amp;1&amp;90201</t>
    <phoneticPr fontId="26" type="noConversion"/>
  </si>
  <si>
    <t>2006&amp;1&amp;90203</t>
    <phoneticPr fontId="26" type="noConversion"/>
  </si>
  <si>
    <t>2006&amp;1&amp;90204</t>
    <phoneticPr fontId="26" type="noConversion"/>
  </si>
  <si>
    <t>2006&amp;1&amp;90205</t>
    <phoneticPr fontId="26" type="noConversion"/>
  </si>
  <si>
    <t>2006&amp;1&amp;90206</t>
    <phoneticPr fontId="26" type="noConversion"/>
  </si>
  <si>
    <t>2006&amp;1&amp;90207</t>
    <phoneticPr fontId="26" type="noConversion"/>
  </si>
  <si>
    <t>2006&amp;1&amp;90209</t>
    <phoneticPr fontId="26" type="noConversion"/>
  </si>
  <si>
    <t>2006&amp;1&amp;90210</t>
    <phoneticPr fontId="26" type="noConversion"/>
  </si>
  <si>
    <t>2006&amp;1&amp;90213</t>
  </si>
  <si>
    <t>2006&amp;1&amp;90211</t>
    <phoneticPr fontId="26" type="noConversion"/>
  </si>
  <si>
    <t>2006&amp;1&amp;90212</t>
    <phoneticPr fontId="26" type="noConversion"/>
  </si>
  <si>
    <t>2006&amp;1&amp;90302</t>
  </si>
  <si>
    <t>2006&amp;1&amp;90303</t>
  </si>
  <si>
    <t>2006&amp;1&amp;90304</t>
  </si>
  <si>
    <t>2006&amp;1&amp;90305</t>
  </si>
  <si>
    <t>2006&amp;1&amp;90306</t>
  </si>
  <si>
    <t>2006&amp;1&amp;90301</t>
    <phoneticPr fontId="26" type="noConversion"/>
  </si>
  <si>
    <t>2006&amp;1&amp;90308</t>
  </si>
  <si>
    <t>2006&amp;1&amp;90310</t>
  </si>
  <si>
    <t>云绣坊提升至2级</t>
  </si>
  <si>
    <t>猫升级</t>
    <phoneticPr fontId="35" type="noConversion"/>
  </si>
  <si>
    <t>2006&amp;1&amp;90311</t>
  </si>
  <si>
    <t>2006&amp;1&amp;90312</t>
  </si>
  <si>
    <t>2006&amp;1&amp;90313</t>
  </si>
  <si>
    <t>2006&amp;1&amp;90314</t>
  </si>
  <si>
    <t>2006&amp;1&amp;90315</t>
    <phoneticPr fontId="26" type="noConversion"/>
  </si>
  <si>
    <t>2006&amp;1&amp;90316</t>
    <phoneticPr fontId="26" type="noConversion"/>
  </si>
  <si>
    <t>2006&amp;1&amp;90317</t>
    <phoneticPr fontId="26" type="noConversion"/>
  </si>
  <si>
    <t>2006&amp;1&amp;90318</t>
    <phoneticPr fontId="26" type="noConversion"/>
  </si>
  <si>
    <t>2006&amp;1&amp;90319</t>
  </si>
  <si>
    <t>2006&amp;1&amp;90406</t>
  </si>
  <si>
    <t>2006&amp;1&amp;90407</t>
  </si>
  <si>
    <t>2006&amp;1&amp;90408</t>
  </si>
  <si>
    <t>2006&amp;1&amp;90409</t>
  </si>
  <si>
    <t>2006&amp;1&amp;90410</t>
  </si>
  <si>
    <t>2006&amp;1&amp;90411</t>
  </si>
  <si>
    <t>2006&amp;1&amp;90412</t>
  </si>
  <si>
    <t>2006&amp;1&amp;90413</t>
  </si>
  <si>
    <t>2006&amp;1&amp;90414</t>
  </si>
  <si>
    <t>情报战斗</t>
    <phoneticPr fontId="26" type="noConversion"/>
  </si>
  <si>
    <t>猫升星</t>
    <phoneticPr fontId="35" type="noConversion"/>
  </si>
  <si>
    <t>导出/server</t>
    <phoneticPr fontId="26" type="noConversion"/>
  </si>
  <si>
    <t>情报暗桩</t>
  </si>
  <si>
    <t>陆沉探望</t>
  </si>
  <si>
    <t>货不对板</t>
  </si>
  <si>
    <t>奇怪客人</t>
  </si>
  <si>
    <t>再见熟人</t>
  </si>
  <si>
    <t>险夺龙玉</t>
  </si>
  <si>
    <t>2001&amp;1&amp;201001-2002&amp;4&amp;4</t>
    <phoneticPr fontId="26" type="noConversion"/>
  </si>
  <si>
    <t>*</t>
    <phoneticPr fontId="26" type="noConversion"/>
  </si>
  <si>
    <t>云绣坊提升至4级</t>
    <phoneticPr fontId="26" type="noConversion"/>
  </si>
  <si>
    <t>云绣坊提升至6级</t>
    <phoneticPr fontId="26" type="noConversion"/>
  </si>
  <si>
    <t>2001&amp;1&amp;201001-2002&amp;4&amp;6</t>
    <phoneticPr fontId="26" type="noConversion"/>
  </si>
  <si>
    <t>2017&amp;4&amp;12</t>
    <phoneticPr fontId="26" type="noConversion"/>
  </si>
  <si>
    <t>灵猫后院</t>
  </si>
  <si>
    <t>第一桶金</t>
  </si>
  <si>
    <t>新货上架</t>
  </si>
  <si>
    <t>经营扩张</t>
  </si>
  <si>
    <t>情报探查</t>
  </si>
  <si>
    <t>恭喜通关</t>
  </si>
  <si>
    <t>落水迷失无神智，身在何处不可知。</t>
  </si>
  <si>
    <t>财力足为所欲为，遇大腿秒变鸡肋。</t>
  </si>
  <si>
    <t>骤雨前夕无事端 ，平静不过三炷香。</t>
  </si>
  <si>
    <t>锦衣华服斯文样，转眼变脸没商量。</t>
  </si>
  <si>
    <t>情报委托 花朝会疑云 3星完成</t>
    <phoneticPr fontId="26" type="noConversion"/>
  </si>
  <si>
    <t>2006&amp;1&amp;90216</t>
  </si>
  <si>
    <t>2006&amp;1&amp;90217</t>
  </si>
  <si>
    <t>2006&amp;1&amp;90218</t>
  </si>
  <si>
    <t>2006&amp;1&amp;90219</t>
  </si>
  <si>
    <t>2006&amp;1&amp;90320</t>
  </si>
  <si>
    <t>2006&amp;1&amp;90321</t>
  </si>
  <si>
    <t>2006&amp;1&amp;90322</t>
  </si>
  <si>
    <t>2006&amp;1&amp;90323</t>
  </si>
  <si>
    <t>店铺上架1次柔云织</t>
    <phoneticPr fontId="26" type="noConversion"/>
  </si>
  <si>
    <t>灵猫提升</t>
  </si>
  <si>
    <t>问缘解惑</t>
  </si>
  <si>
    <t>实力提升</t>
  </si>
  <si>
    <t>步步异常</t>
  </si>
  <si>
    <t>店铺走水</t>
  </si>
  <si>
    <t>探事轩</t>
  </si>
  <si>
    <t>父亲旧识</t>
  </si>
  <si>
    <t>灵猫招募</t>
  </si>
  <si>
    <t>宁北之托</t>
  </si>
  <si>
    <t>积威难犯</t>
  </si>
  <si>
    <t>玉壁图样</t>
  </si>
  <si>
    <t>掉包之人</t>
  </si>
  <si>
    <t>玉壁所在</t>
  </si>
  <si>
    <t>密室探查</t>
  </si>
  <si>
    <t>峰回路转</t>
  </si>
  <si>
    <t>水路追击</t>
  </si>
  <si>
    <t>春日寒冰</t>
  </si>
  <si>
    <t>仙人相救</t>
  </si>
  <si>
    <t>平安回京</t>
  </si>
  <si>
    <t>心头明月</t>
  </si>
  <si>
    <t>昔日恩怨</t>
  </si>
  <si>
    <t>绯合幽香</t>
  </si>
  <si>
    <t>神兵大会</t>
  </si>
  <si>
    <t>贴身监视</t>
  </si>
  <si>
    <t>闹市之人</t>
  </si>
  <si>
    <t>用材不匹</t>
  </si>
  <si>
    <t>鲜嫩野菜</t>
  </si>
  <si>
    <t>雁山少主</t>
  </si>
  <si>
    <t>银窟交易</t>
  </si>
  <si>
    <t>生辰礼物</t>
  </si>
  <si>
    <t>华锋失窃</t>
  </si>
  <si>
    <t>名动江湖</t>
  </si>
  <si>
    <t>故人重逢</t>
  </si>
  <si>
    <t>绝处逢生</t>
  </si>
  <si>
    <t>神秘灵玉</t>
  </si>
  <si>
    <t>信誉受损</t>
  </si>
  <si>
    <t>墙外风筝</t>
  </si>
  <si>
    <t>华锋线索</t>
  </si>
  <si>
    <t>瓮中捉鳖</t>
  </si>
  <si>
    <t>红杏往事</t>
  </si>
  <si>
    <t>波澜再起</t>
  </si>
  <si>
    <t>一夕间家业倾覆，亲自去探明究竟。</t>
    <phoneticPr fontId="26" type="noConversion"/>
  </si>
  <si>
    <t>前院内重逢陆沉，刺杀者线索未明。</t>
    <phoneticPr fontId="26" type="noConversion"/>
  </si>
  <si>
    <t>说订单货不对板，谁人知是真是假。</t>
    <phoneticPr fontId="26" type="noConversion"/>
  </si>
  <si>
    <t>街市店铺经营好，提升等级暴富早。</t>
    <phoneticPr fontId="26" type="noConversion"/>
  </si>
  <si>
    <t>经营获得新配方，趁早上架盈利多。</t>
    <phoneticPr fontId="26" type="noConversion"/>
  </si>
  <si>
    <t>实力提升</t>
    <phoneticPr fontId="26" type="noConversion"/>
  </si>
  <si>
    <t>步步独自出家门，前方和人在引诱？</t>
  </si>
  <si>
    <t>云绣纺隐隐火光，小东家飞奔前去！</t>
  </si>
  <si>
    <t>街市店铺经营好，提升等级暴富早。</t>
  </si>
  <si>
    <t>堂堂顶级凡星阁，稍有不慎将除名。</t>
  </si>
  <si>
    <t>新牌匾烧得磕碜，美少年出手相助。</t>
  </si>
  <si>
    <t>安府乐才情了的，与父亲早有往来。</t>
  </si>
  <si>
    <t>街坊市井皇城里，调查委托八卦多。</t>
  </si>
  <si>
    <t>定国公府有线索，宁北当我自己人。</t>
  </si>
  <si>
    <t>靖远侯一人之下，近一看气势非凡。</t>
  </si>
  <si>
    <t>一小张玉璧图纸，却暗藏何等玄机？</t>
  </si>
  <si>
    <t>唱卖会顶楼隔间，看富豪一掷千金。</t>
  </si>
  <si>
    <t>平平无奇玉蛟龙，一而再而价格起。</t>
  </si>
  <si>
    <t>清和哥哥手一挥，千金散去不觉悔。</t>
  </si>
  <si>
    <t>龙玉不慎被调包，陆沉出手把人找。</t>
  </si>
  <si>
    <t>为问出龙玉所在，小头目惨遭女装。</t>
  </si>
  <si>
    <t>玄门机关藏得深，解除一瞬迷烟起。</t>
  </si>
  <si>
    <t>峰回路转</t>
    <phoneticPr fontId="26" type="noConversion"/>
  </si>
  <si>
    <t>姚老大步步紧逼，身后剩悬崖峭壁。</t>
  </si>
  <si>
    <t>陆沉崖下遇友人，船上相识黑老八。</t>
  </si>
  <si>
    <t>不合时节的冰封，意料之外的遇见。</t>
  </si>
  <si>
    <t>波折后平安回京，小尾巴紧张兮兮。</t>
  </si>
  <si>
    <t>小阁主能力有限，不妨先自我提升。</t>
  </si>
  <si>
    <t>月光清幽人俊俏，少年心事上眉头。</t>
  </si>
  <si>
    <t>向宁北汇报此行，知家中真实业务。</t>
  </si>
  <si>
    <t>昔日恩怨</t>
    <phoneticPr fontId="26" type="noConversion"/>
  </si>
  <si>
    <t>再得仇家新情报，待时机剿灭玄门。</t>
  </si>
  <si>
    <t>为确保沟通隐蔽，约定彼此间暗号。</t>
  </si>
  <si>
    <t>神兵大会终将至，江湖传言渐渐起。</t>
  </si>
  <si>
    <t>提醒陆沉需谨慎，耍赖要贴身监视。</t>
  </si>
  <si>
    <t>银窟山当众闹事，祁清和气势不虚。</t>
  </si>
  <si>
    <t>男子认怂不敢言，清和当众烧账本。</t>
  </si>
  <si>
    <t>清和相邀东篱下，山林鲜蔬尽潇洒。</t>
  </si>
  <si>
    <t>雁山少主好身手，暗中人无处藏身。</t>
  </si>
  <si>
    <t>银窟山生意生变，交易方再指玄门。</t>
  </si>
  <si>
    <t>神兵大会如期至，小十六生辰同贺。</t>
  </si>
  <si>
    <t>雁山堂华锋失窃，师门内宾客喧闹。</t>
  </si>
  <si>
    <t>江湖各路皆挑衅，红衣少主来应战。</t>
  </si>
  <si>
    <t>窃刀之人踪迹露，相照面确是故人。</t>
  </si>
  <si>
    <t>昔日旧情随风去，马车疾驰撞山壁。</t>
  </si>
  <si>
    <t>仙人出言破玄机，华锋所在有蹊跷。</t>
  </si>
  <si>
    <t>陆沉一战动江湖，转身依旧少年郎。</t>
  </si>
  <si>
    <t>墙内风筝落梢头，墙外公子侯佳人。</t>
  </si>
  <si>
    <t>巧手拨弄手中线，纸鸢摇曳天高远。</t>
  </si>
  <si>
    <t>华锋出没南街巷，周密布局见旧人。</t>
  </si>
  <si>
    <t>小巷深处寂无声，故人唏嘘旧时情。</t>
  </si>
  <si>
    <t>心志坚定不动摇，尘埃落定再生变。</t>
  </si>
  <si>
    <t>2003&amp;1&amp;31021-2004&amp;4&amp;1</t>
    <phoneticPr fontId="26" type="noConversion"/>
  </si>
  <si>
    <t>我的等级达到12级</t>
    <phoneticPr fontId="26" type="noConversion"/>
  </si>
  <si>
    <t>制作凡星绢*5</t>
    <phoneticPr fontId="26" type="noConversion"/>
  </si>
  <si>
    <t>店铺上架5个凡星绢</t>
    <phoneticPr fontId="26" type="noConversion"/>
  </si>
  <si>
    <t>2003&amp;1&amp;31011-2004&amp;4&amp;1</t>
    <phoneticPr fontId="26" type="noConversion"/>
  </si>
  <si>
    <t>2012&amp;4&amp;2-2021&amp;4&amp;1</t>
    <phoneticPr fontId="26" type="noConversion"/>
  </si>
  <si>
    <t>一人一猫家中坐，谁知祸从天上来。</t>
    <phoneticPr fontId="26" type="noConversion"/>
  </si>
  <si>
    <t>凡星阁神秘后院，暗藏致富的秘密。</t>
    <phoneticPr fontId="26" type="noConversion"/>
  </si>
  <si>
    <t>云绣坊重新开张，零售赚第一桶金。</t>
    <phoneticPr fontId="26" type="noConversion"/>
  </si>
  <si>
    <t>奇怪客人</t>
    <phoneticPr fontId="26" type="noConversion"/>
  </si>
  <si>
    <t>公子哥风度翩翩，对货品动手动脚？</t>
    <phoneticPr fontId="26" type="noConversion"/>
  </si>
  <si>
    <t>经营扩张</t>
    <phoneticPr fontId="26" type="noConversion"/>
  </si>
  <si>
    <t>灵猫提升</t>
    <phoneticPr fontId="26" type="noConversion"/>
  </si>
  <si>
    <t>买猫粮提升灵猫，铲屎官第一要义。</t>
    <phoneticPr fontId="26" type="noConversion"/>
  </si>
  <si>
    <t>迷糊公子</t>
    <phoneticPr fontId="26" type="noConversion"/>
  </si>
  <si>
    <t>富家公子走错路，不是是否有隐情。</t>
    <phoneticPr fontId="26" type="noConversion"/>
  </si>
  <si>
    <t>新货上架</t>
    <phoneticPr fontId="26" type="noConversion"/>
  </si>
  <si>
    <t>花朝佳节</t>
    <phoneticPr fontId="26" type="noConversion"/>
  </si>
  <si>
    <t>花朝节如期而至，烟花会邀谁共赏？</t>
    <phoneticPr fontId="26" type="noConversion"/>
  </si>
  <si>
    <t>问缘解惑</t>
    <phoneticPr fontId="26" type="noConversion"/>
  </si>
  <si>
    <t>院中百年问缘树，玄学解尽心中惑。</t>
    <phoneticPr fontId="26" type="noConversion"/>
  </si>
  <si>
    <t>实力提升</t>
    <phoneticPr fontId="26" type="noConversion"/>
  </si>
  <si>
    <t>每日任务经验多，按部就班成长快。</t>
    <phoneticPr fontId="26" type="noConversion"/>
  </si>
  <si>
    <t>步步异常</t>
    <phoneticPr fontId="26" type="noConversion"/>
  </si>
  <si>
    <t>店铺走水</t>
    <phoneticPr fontId="26" type="noConversion"/>
  </si>
  <si>
    <t>探事轩</t>
    <phoneticPr fontId="26" type="noConversion"/>
  </si>
  <si>
    <t>重题牌匾</t>
    <phoneticPr fontId="26" type="noConversion"/>
  </si>
  <si>
    <t>父亲旧识</t>
    <phoneticPr fontId="26" type="noConversion"/>
  </si>
  <si>
    <t>后院一方小花园，撸猫掉毛有惊喜。</t>
    <phoneticPr fontId="26" type="noConversion"/>
  </si>
  <si>
    <t>宁北之托</t>
    <phoneticPr fontId="26" type="noConversion"/>
  </si>
  <si>
    <t>积威难犯</t>
    <phoneticPr fontId="26" type="noConversion"/>
  </si>
  <si>
    <t>情报探查</t>
    <phoneticPr fontId="26" type="noConversion"/>
  </si>
  <si>
    <t>玉壁图样</t>
    <phoneticPr fontId="26" type="noConversion"/>
  </si>
  <si>
    <t>再见熟人</t>
    <phoneticPr fontId="26" type="noConversion"/>
  </si>
  <si>
    <t>价高者得</t>
    <phoneticPr fontId="26" type="noConversion"/>
  </si>
  <si>
    <t>险夺龙玉</t>
    <phoneticPr fontId="26" type="noConversion"/>
  </si>
  <si>
    <t>掉包之人</t>
    <phoneticPr fontId="26" type="noConversion"/>
  </si>
  <si>
    <t>玉壁所在</t>
    <phoneticPr fontId="26" type="noConversion"/>
  </si>
  <si>
    <t>密室探查</t>
    <phoneticPr fontId="26" type="noConversion"/>
  </si>
  <si>
    <t>水路追击</t>
    <phoneticPr fontId="26" type="noConversion"/>
  </si>
  <si>
    <t>春日寒冰</t>
    <phoneticPr fontId="26" type="noConversion"/>
  </si>
  <si>
    <t>仙人相救</t>
    <phoneticPr fontId="26" type="noConversion"/>
  </si>
  <si>
    <t>平安回京</t>
    <phoneticPr fontId="26" type="noConversion"/>
  </si>
  <si>
    <t>心头明月</t>
    <phoneticPr fontId="26" type="noConversion"/>
  </si>
  <si>
    <t>汇报结果</t>
    <phoneticPr fontId="26" type="noConversion"/>
  </si>
  <si>
    <t>绯合幽香</t>
    <phoneticPr fontId="26" type="noConversion"/>
  </si>
  <si>
    <t>神兵大会</t>
    <phoneticPr fontId="26" type="noConversion"/>
  </si>
  <si>
    <t>贴身监视</t>
    <phoneticPr fontId="26" type="noConversion"/>
  </si>
  <si>
    <t>闹市之人</t>
    <phoneticPr fontId="26" type="noConversion"/>
  </si>
  <si>
    <t>用材不匹</t>
    <phoneticPr fontId="26" type="noConversion"/>
  </si>
  <si>
    <t>鲜嫩野菜</t>
    <phoneticPr fontId="26" type="noConversion"/>
  </si>
  <si>
    <t>雁山少主</t>
    <phoneticPr fontId="26" type="noConversion"/>
  </si>
  <si>
    <t>银窟交易</t>
    <phoneticPr fontId="26" type="noConversion"/>
  </si>
  <si>
    <t>生辰礼物</t>
    <phoneticPr fontId="26" type="noConversion"/>
  </si>
  <si>
    <t>华锋失窃</t>
    <phoneticPr fontId="26" type="noConversion"/>
  </si>
  <si>
    <t>名动江湖</t>
    <phoneticPr fontId="26" type="noConversion"/>
  </si>
  <si>
    <t>故人重逢</t>
    <phoneticPr fontId="26" type="noConversion"/>
  </si>
  <si>
    <t>绝处逢生</t>
    <phoneticPr fontId="26" type="noConversion"/>
  </si>
  <si>
    <t>神秘灵玉</t>
    <phoneticPr fontId="26" type="noConversion"/>
  </si>
  <si>
    <t>信誉受损</t>
    <phoneticPr fontId="26" type="noConversion"/>
  </si>
  <si>
    <t>墙外风筝</t>
    <phoneticPr fontId="26" type="noConversion"/>
  </si>
  <si>
    <t>华锋线索</t>
    <phoneticPr fontId="26" type="noConversion"/>
  </si>
  <si>
    <t>瓮中捉鳖</t>
    <phoneticPr fontId="26" type="noConversion"/>
  </si>
  <si>
    <t>红杏往事</t>
    <phoneticPr fontId="26" type="noConversion"/>
  </si>
  <si>
    <t>波澜再起</t>
    <phoneticPr fontId="26" type="noConversion"/>
  </si>
  <si>
    <t>父亲私库</t>
    <phoneticPr fontId="26" type="noConversion"/>
  </si>
  <si>
    <t>爹爹私库藏得深，欣然前往一场空。</t>
  </si>
  <si>
    <t>境外账单</t>
    <phoneticPr fontId="26" type="noConversion"/>
  </si>
  <si>
    <t>大额账单从天降，纨绔少爷逼还账。</t>
  </si>
  <si>
    <t>嚣张公子</t>
    <phoneticPr fontId="26" type="noConversion"/>
  </si>
  <si>
    <t>马车之内</t>
    <phoneticPr fontId="26" type="noConversion"/>
  </si>
  <si>
    <t>车帐内氛围微妙，祁东家意欲提亲。</t>
  </si>
  <si>
    <t>搭台布局</t>
    <phoneticPr fontId="26" type="noConversion"/>
  </si>
  <si>
    <t>定国公府茶香溢，联手设局捣玄门。</t>
  </si>
  <si>
    <t>茶香缥缈</t>
    <phoneticPr fontId="26" type="noConversion"/>
  </si>
  <si>
    <t>皇宫贵族兴茶艺，近身贴面学烹茶。</t>
  </si>
  <si>
    <t>登才大会</t>
    <phoneticPr fontId="26" type="noConversion"/>
  </si>
  <si>
    <t>画舫名贵难预定，诚心联手名才子。</t>
  </si>
  <si>
    <t>赏香之约</t>
    <phoneticPr fontId="26" type="noConversion"/>
  </si>
  <si>
    <t>明索香囊人调笑，笔下蔷薇香引蝶。</t>
    <phoneticPr fontId="26" type="noConversion"/>
  </si>
  <si>
    <t>异国奇香</t>
    <phoneticPr fontId="26" type="noConversion"/>
  </si>
  <si>
    <t>泠泠曲音庭下绕，袅袅青烟蓝伽罗。</t>
  </si>
  <si>
    <t>府乐馈赠</t>
    <phoneticPr fontId="26" type="noConversion"/>
  </si>
  <si>
    <t>鉴宝会加紧筹备，玉蛟龙鱼目混珠。</t>
  </si>
  <si>
    <t>以假乱真</t>
    <phoneticPr fontId="26" type="noConversion"/>
  </si>
  <si>
    <t>假玉改造乱真玉，玉石工匠技高超。</t>
  </si>
  <si>
    <t>不速之客</t>
    <phoneticPr fontId="26" type="noConversion"/>
  </si>
  <si>
    <t>鉴宝风波</t>
    <phoneticPr fontId="26" type="noConversion"/>
  </si>
  <si>
    <t>鹰策暗室</t>
    <phoneticPr fontId="26" type="noConversion"/>
  </si>
  <si>
    <t>玄门人畏缩指责，凡星阁旧事前尘。</t>
  </si>
  <si>
    <t>予君借条</t>
    <phoneticPr fontId="26" type="noConversion"/>
  </si>
  <si>
    <t>宁侯爷慷慨败家，还完帐转手赠鱼。</t>
  </si>
  <si>
    <t>清酒醉蟹</t>
    <phoneticPr fontId="26" type="noConversion"/>
  </si>
  <si>
    <t>青空美酒有醉蟹，青梅竹马半情结。</t>
  </si>
  <si>
    <t>玄门之眼</t>
    <phoneticPr fontId="26" type="noConversion"/>
  </si>
  <si>
    <t>高处远眺山间路，玄门大戏倒计时。</t>
  </si>
  <si>
    <t>红杏之死</t>
    <phoneticPr fontId="26" type="noConversion"/>
  </si>
  <si>
    <t>临终托付生前愿，火光一炬泯恩仇。</t>
  </si>
  <si>
    <t>2006&amp;1&amp;90101</t>
    <phoneticPr fontId="26" type="noConversion"/>
  </si>
  <si>
    <t>2006&amp;1&amp;90102</t>
    <phoneticPr fontId="26" type="noConversion"/>
  </si>
  <si>
    <t>2003&amp;1&amp;31011</t>
    <phoneticPr fontId="26" type="noConversion"/>
  </si>
  <si>
    <t>将一只猫升到2级</t>
    <phoneticPr fontId="26" type="noConversion"/>
  </si>
  <si>
    <t>2006&amp;1&amp;90107</t>
    <phoneticPr fontId="26" type="noConversion"/>
  </si>
  <si>
    <t>进行一次问缘10连</t>
    <phoneticPr fontId="26" type="noConversion"/>
  </si>
  <si>
    <t>2111&amp;1&amp;1-2108&amp;4&amp;3</t>
    <phoneticPr fontId="26" type="noConversion"/>
  </si>
  <si>
    <t>2006&amp;1&amp;90214</t>
    <phoneticPr fontId="26" type="noConversion"/>
  </si>
  <si>
    <t>2006&amp;1&amp;90215</t>
    <phoneticPr fontId="26" type="noConversion"/>
  </si>
  <si>
    <t>2108&amp;4&amp;1</t>
    <phoneticPr fontId="26" type="noConversion"/>
  </si>
  <si>
    <t>2006&amp;1&amp;90307</t>
    <phoneticPr fontId="26" type="noConversion"/>
  </si>
  <si>
    <t>2006&amp;1&amp;90309</t>
    <phoneticPr fontId="26" type="noConversion"/>
  </si>
  <si>
    <t>2006&amp;1&amp;90401</t>
    <phoneticPr fontId="26" type="noConversion"/>
  </si>
  <si>
    <t>2006&amp;1&amp;90402</t>
    <phoneticPr fontId="26" type="noConversion"/>
  </si>
  <si>
    <t>境外账单</t>
    <phoneticPr fontId="26" type="noConversion"/>
  </si>
  <si>
    <t>2006&amp;1&amp;90403</t>
    <phoneticPr fontId="26" type="noConversion"/>
  </si>
  <si>
    <t>2006&amp;1&amp;90404</t>
    <phoneticPr fontId="26" type="noConversion"/>
  </si>
  <si>
    <t>2006&amp;1&amp;90405</t>
    <phoneticPr fontId="26" type="noConversion"/>
  </si>
  <si>
    <t>赏香之约</t>
  </si>
  <si>
    <t>异国奇香</t>
  </si>
  <si>
    <t>府乐馈赠</t>
  </si>
  <si>
    <t>以假乱真</t>
  </si>
  <si>
    <t>不速之客</t>
  </si>
  <si>
    <t>鹰策暗室</t>
  </si>
  <si>
    <t>2006&amp;1&amp;90415</t>
    <phoneticPr fontId="26" type="noConversion"/>
  </si>
  <si>
    <t>予君借条</t>
  </si>
  <si>
    <t>2006&amp;1&amp;90416</t>
    <phoneticPr fontId="26" type="noConversion"/>
  </si>
  <si>
    <t>清酒醉蟹</t>
  </si>
  <si>
    <t>2006&amp;1&amp;90417</t>
    <phoneticPr fontId="26" type="noConversion"/>
  </si>
  <si>
    <t>玄门之眼</t>
  </si>
  <si>
    <t>2006&amp;1&amp;90418</t>
  </si>
  <si>
    <t>生死之间</t>
  </si>
  <si>
    <t>2006&amp;1&amp;90419</t>
  </si>
  <si>
    <t>红杏之死</t>
  </si>
  <si>
    <t>沙雕秃头策划组爱你</t>
    <phoneticPr fontId="26" type="noConversion"/>
  </si>
  <si>
    <t>2017&amp;4&amp;99</t>
    <phoneticPr fontId="26" type="noConversion"/>
  </si>
  <si>
    <t>我的等级达到15级</t>
    <phoneticPr fontId="26" type="noConversion"/>
  </si>
  <si>
    <t>2017&amp;4&amp;15</t>
    <phoneticPr fontId="26" type="noConversion"/>
  </si>
  <si>
    <t>抽奖</t>
    <phoneticPr fontId="35" type="noConversion"/>
  </si>
  <si>
    <t>获得孵化猫</t>
    <phoneticPr fontId="35" type="noConversion"/>
  </si>
  <si>
    <t>完成副本</t>
    <phoneticPr fontId="35" type="noConversion"/>
  </si>
  <si>
    <t>钓鱼</t>
    <phoneticPr fontId="35" type="noConversion"/>
  </si>
  <si>
    <t>男主副本id</t>
    <phoneticPr fontId="35" type="noConversion"/>
  </si>
  <si>
    <t>我的等级达到18级</t>
    <phoneticPr fontId="26" type="noConversion"/>
  </si>
  <si>
    <t>2017&amp;4&amp;18</t>
    <phoneticPr fontId="26" type="noConversion"/>
  </si>
  <si>
    <t>情报阁累计获得5星</t>
    <phoneticPr fontId="26" type="noConversion"/>
  </si>
  <si>
    <t>云绣坊提升至10级</t>
    <phoneticPr fontId="26" type="noConversion"/>
  </si>
  <si>
    <t>2001&amp;1&amp;201001-2002&amp;4&amp;10</t>
    <phoneticPr fontId="26" type="noConversion"/>
  </si>
  <si>
    <t>我的等级达到21级</t>
    <phoneticPr fontId="26" type="noConversion"/>
  </si>
  <si>
    <t>2017&amp;4&amp;21</t>
    <phoneticPr fontId="26" type="noConversion"/>
  </si>
  <si>
    <t>情报阁累计获得7星</t>
    <phoneticPr fontId="26" type="noConversion"/>
  </si>
  <si>
    <t>云绣坊提升至13级</t>
    <phoneticPr fontId="26" type="noConversion"/>
  </si>
  <si>
    <t>2001&amp;1&amp;201001-2002&amp;4&amp;13</t>
    <phoneticPr fontId="26" type="noConversion"/>
  </si>
  <si>
    <t>店铺上架1次芊羽扇</t>
    <phoneticPr fontId="26" type="noConversion"/>
  </si>
  <si>
    <t>2003&amp;1&amp;32021-2004&amp;4&amp;1</t>
    <phoneticPr fontId="26" type="noConversion"/>
  </si>
  <si>
    <t>我的等级达到24级</t>
    <phoneticPr fontId="26" type="noConversion"/>
  </si>
  <si>
    <t>2017&amp;4&amp;24</t>
    <phoneticPr fontId="26" type="noConversion"/>
  </si>
  <si>
    <t>情报阁累计获得10星</t>
    <phoneticPr fontId="26" type="noConversion"/>
  </si>
  <si>
    <t>云绣坊提升至14级</t>
    <phoneticPr fontId="26" type="noConversion"/>
  </si>
  <si>
    <t>2001&amp;1&amp;201001-2002&amp;4&amp;14</t>
    <phoneticPr fontId="26" type="noConversion"/>
  </si>
  <si>
    <t>我的等级达到26级</t>
    <phoneticPr fontId="26" type="noConversion"/>
  </si>
  <si>
    <t>2017&amp;4&amp;26</t>
    <phoneticPr fontId="26" type="noConversion"/>
  </si>
  <si>
    <t>情报阁累计获得13星</t>
    <phoneticPr fontId="26" type="noConversion"/>
  </si>
  <si>
    <t>云绣坊提升至15级</t>
    <phoneticPr fontId="26" type="noConversion"/>
  </si>
  <si>
    <t>2001&amp;1&amp;201001-2002&amp;4&amp;15</t>
    <phoneticPr fontId="26" type="noConversion"/>
  </si>
  <si>
    <t>我的等级达到28级</t>
    <phoneticPr fontId="26" type="noConversion"/>
  </si>
  <si>
    <t>2017&amp;4&amp;28</t>
    <phoneticPr fontId="26" type="noConversion"/>
  </si>
  <si>
    <t>2012&amp;4&amp;1</t>
    <phoneticPr fontId="26" type="noConversion"/>
  </si>
  <si>
    <t>情报阁累计获得16星</t>
    <phoneticPr fontId="26" type="noConversion"/>
  </si>
  <si>
    <t>云绣坊提升至16级</t>
    <phoneticPr fontId="26" type="noConversion"/>
  </si>
  <si>
    <t>2001&amp;1&amp;201001-2002&amp;4&amp;16</t>
    <phoneticPr fontId="26" type="noConversion"/>
  </si>
  <si>
    <t>店铺上架1次好奇喵</t>
    <phoneticPr fontId="26" type="noConversion"/>
  </si>
  <si>
    <t>2003&amp;1&amp;34021-2004&amp;4&amp;1</t>
    <phoneticPr fontId="26" type="noConversion"/>
  </si>
  <si>
    <t>我的等级达到31级</t>
    <phoneticPr fontId="26" type="noConversion"/>
  </si>
  <si>
    <t>2017&amp;4&amp;31</t>
    <phoneticPr fontId="26" type="noConversion"/>
  </si>
  <si>
    <t>情报阁累计获得19星</t>
    <phoneticPr fontId="26" type="noConversion"/>
  </si>
  <si>
    <t>云绣坊提升至17级</t>
    <phoneticPr fontId="26" type="noConversion"/>
  </si>
  <si>
    <t>2001&amp;1&amp;201001-2002&amp;4&amp;17</t>
    <phoneticPr fontId="26" type="noConversion"/>
  </si>
  <si>
    <t>我的等级达到32级</t>
    <phoneticPr fontId="26" type="noConversion"/>
  </si>
  <si>
    <t>2017&amp;4&amp;32</t>
    <phoneticPr fontId="26" type="noConversion"/>
  </si>
  <si>
    <t>情报阁累计获得22星</t>
    <phoneticPr fontId="26" type="noConversion"/>
  </si>
  <si>
    <t>云绣坊提升至18级</t>
    <phoneticPr fontId="26" type="noConversion"/>
  </si>
  <si>
    <t>2001&amp;1&amp;201001-2002&amp;4&amp;18</t>
    <phoneticPr fontId="26" type="noConversion"/>
  </si>
  <si>
    <t>我的等级达到33级</t>
    <phoneticPr fontId="26" type="noConversion"/>
  </si>
  <si>
    <t>2017&amp;4&amp;33</t>
    <phoneticPr fontId="26" type="noConversion"/>
  </si>
  <si>
    <t>情报阁累计获得25星</t>
    <phoneticPr fontId="26" type="noConversion"/>
  </si>
  <si>
    <t>云绣坊提升至19级</t>
    <phoneticPr fontId="26" type="noConversion"/>
  </si>
  <si>
    <t>2001&amp;1&amp;201001-2002&amp;4&amp;19</t>
    <phoneticPr fontId="26" type="noConversion"/>
  </si>
  <si>
    <t>我的等级达到36级</t>
    <phoneticPr fontId="26" type="noConversion"/>
  </si>
  <si>
    <t>2017&amp;4&amp;36</t>
    <phoneticPr fontId="26" type="noConversion"/>
  </si>
  <si>
    <t>情报阁累计获得28星</t>
    <phoneticPr fontId="26" type="noConversion"/>
  </si>
  <si>
    <t>云绣坊提升至20级</t>
    <phoneticPr fontId="26" type="noConversion"/>
  </si>
  <si>
    <t>2001&amp;1&amp;201001-2002&amp;4&amp;20</t>
    <phoneticPr fontId="26" type="noConversion"/>
  </si>
  <si>
    <t>我的等级达到38级</t>
    <phoneticPr fontId="26" type="noConversion"/>
  </si>
  <si>
    <t>2017&amp;4&amp;38</t>
    <phoneticPr fontId="26" type="noConversion"/>
  </si>
  <si>
    <t>情报阁累计获得31星</t>
    <phoneticPr fontId="26" type="noConversion"/>
  </si>
  <si>
    <t>云绣坊提升至21级</t>
    <phoneticPr fontId="26" type="noConversion"/>
  </si>
  <si>
    <t>2001&amp;1&amp;201001-2002&amp;4&amp;21</t>
    <phoneticPr fontId="26" type="noConversion"/>
  </si>
  <si>
    <t>我的等级达到40级</t>
    <phoneticPr fontId="26" type="noConversion"/>
  </si>
  <si>
    <t>2017&amp;4&amp;40</t>
    <phoneticPr fontId="26" type="noConversion"/>
  </si>
  <si>
    <t>情报阁累计获得34星</t>
    <phoneticPr fontId="26" type="noConversion"/>
  </si>
  <si>
    <t>小花园逗猫一次</t>
    <phoneticPr fontId="26" type="noConversion"/>
  </si>
  <si>
    <t>拥有6只灵猫</t>
    <phoneticPr fontId="26" type="noConversion"/>
  </si>
  <si>
    <t>拜访互动</t>
    <phoneticPr fontId="26" type="noConversion"/>
  </si>
  <si>
    <t>去奶猫屋孵化1只灵猫</t>
    <phoneticPr fontId="26" type="noConversion"/>
  </si>
  <si>
    <t>灵猫养成</t>
    <phoneticPr fontId="26" type="noConversion"/>
  </si>
  <si>
    <t>生死之间</t>
    <phoneticPr fontId="26" type="noConversion"/>
  </si>
  <si>
    <t>血气弥漫歹人卒，生死一瞬复情谊。</t>
    <phoneticPr fontId="26" type="noConversion"/>
  </si>
  <si>
    <r>
      <t>恭喜小阁主完成本轮最后一条主线任务，玄门被端，红杏已死，凡星阁何去何从，下次相会时，我们共同揭晓</t>
    </r>
    <r>
      <rPr>
        <sz val="9"/>
        <color theme="1"/>
        <rFont val="Segoe UI Symbol"/>
        <family val="2"/>
      </rPr>
      <t>❤</t>
    </r>
    <phoneticPr fontId="26" type="noConversion"/>
  </si>
  <si>
    <t>忙碌间猫灵已足，奶猫屋孵化灵猫。</t>
    <phoneticPr fontId="26" type="noConversion"/>
  </si>
  <si>
    <t>西街对门大乐府，小备薄礼登门去。</t>
    <phoneticPr fontId="26" type="noConversion"/>
  </si>
  <si>
    <t>人在江湖凭实力，灵猫多多不怕刚。</t>
    <phoneticPr fontId="26" type="noConversion"/>
  </si>
  <si>
    <t>完成剧情 1-1家中遇刺</t>
    <phoneticPr fontId="26" type="noConversion"/>
  </si>
  <si>
    <t>完成剧情 1-2浴池初见</t>
    <phoneticPr fontId="26" type="noConversion"/>
  </si>
  <si>
    <t>完成剧情 1-3情报暗桩</t>
    <phoneticPr fontId="26" type="noConversion"/>
  </si>
  <si>
    <t>完成剧情 1-4陆沉探望</t>
    <phoneticPr fontId="26" type="noConversion"/>
  </si>
  <si>
    <t>完成剧情 1-5货不对板</t>
    <phoneticPr fontId="26" type="noConversion"/>
  </si>
  <si>
    <t>完成剧情 1-6奇怪客人</t>
    <phoneticPr fontId="26" type="noConversion"/>
  </si>
  <si>
    <t>完成剧情 1-7迷糊公子</t>
    <phoneticPr fontId="26" type="noConversion"/>
  </si>
  <si>
    <t>完成剧情 1-8花朝佳节</t>
    <phoneticPr fontId="26" type="noConversion"/>
  </si>
  <si>
    <t>完成剧情 2-1步步异常</t>
    <phoneticPr fontId="26" type="noConversion"/>
  </si>
  <si>
    <t>完成剧情 2-2店铺走水</t>
    <phoneticPr fontId="26" type="noConversion"/>
  </si>
  <si>
    <t>完成剧情 2-3探事轩</t>
    <phoneticPr fontId="26" type="noConversion"/>
  </si>
  <si>
    <t>完成剧情 2-4重题牌匾</t>
    <phoneticPr fontId="26" type="noConversion"/>
  </si>
  <si>
    <t>完成剧情 2-5父亲旧识</t>
    <phoneticPr fontId="26" type="noConversion"/>
  </si>
  <si>
    <t>完成剧情 2-6宁北之托</t>
    <phoneticPr fontId="26" type="noConversion"/>
  </si>
  <si>
    <t>完成剧情 2-7积威难犯</t>
    <phoneticPr fontId="26" type="noConversion"/>
  </si>
  <si>
    <t>完成剧情 2-8玉璧图样</t>
    <phoneticPr fontId="26" type="noConversion"/>
  </si>
  <si>
    <t>完成剧情 2-9再见熟人</t>
    <phoneticPr fontId="26" type="noConversion"/>
  </si>
  <si>
    <t>完成剧情 2-10价高者得</t>
    <phoneticPr fontId="26" type="noConversion"/>
  </si>
  <si>
    <t>完成剧情 2-11险夺龙玉</t>
    <phoneticPr fontId="26" type="noConversion"/>
  </si>
  <si>
    <t>完成剧情 2-12掉包之人</t>
    <phoneticPr fontId="26" type="noConversion"/>
  </si>
  <si>
    <t>完成剧情 2-13玉璧所在</t>
    <phoneticPr fontId="26" type="noConversion"/>
  </si>
  <si>
    <t>完成剧情 2-14密室探查</t>
    <phoneticPr fontId="26" type="noConversion"/>
  </si>
  <si>
    <t>完成剧情 2-15峰回路转</t>
    <phoneticPr fontId="26" type="noConversion"/>
  </si>
  <si>
    <t>完成剧情 2-16水路追击</t>
    <phoneticPr fontId="26" type="noConversion"/>
  </si>
  <si>
    <t>完成剧情 2-17春日寒冰</t>
    <phoneticPr fontId="26" type="noConversion"/>
  </si>
  <si>
    <t>完成剧情 2-18仙人相救</t>
    <phoneticPr fontId="26" type="noConversion"/>
  </si>
  <si>
    <t>完成剧情 2-19平安回京</t>
    <phoneticPr fontId="26" type="noConversion"/>
  </si>
  <si>
    <t>完成剧情 3-1心头明月</t>
    <phoneticPr fontId="26" type="noConversion"/>
  </si>
  <si>
    <t>完成剧情 3-2汇报结果</t>
    <phoneticPr fontId="26" type="noConversion"/>
  </si>
  <si>
    <t>完成剧情 3-3昔日恩怨</t>
    <phoneticPr fontId="26" type="noConversion"/>
  </si>
  <si>
    <t>完成剧情 3-4绯合幽香</t>
    <phoneticPr fontId="26" type="noConversion"/>
  </si>
  <si>
    <t>完成剧情 3-5神兵大会</t>
    <phoneticPr fontId="26" type="noConversion"/>
  </si>
  <si>
    <t>完成剧情 3-6贴身监视</t>
    <phoneticPr fontId="26" type="noConversion"/>
  </si>
  <si>
    <t>完成剧情 3-7闹事之人</t>
    <phoneticPr fontId="26" type="noConversion"/>
  </si>
  <si>
    <t>完成剧情 3-8用材不匹</t>
    <phoneticPr fontId="26" type="noConversion"/>
  </si>
  <si>
    <t>完成剧情 3-9鲜嫩野菜</t>
    <phoneticPr fontId="26" type="noConversion"/>
  </si>
  <si>
    <t>完成剧情 3-10雁山少主</t>
    <phoneticPr fontId="26" type="noConversion"/>
  </si>
  <si>
    <t>完成剧情 3-11银窟交易</t>
    <phoneticPr fontId="26" type="noConversion"/>
  </si>
  <si>
    <t>完成剧情 3-12生辰礼物</t>
    <phoneticPr fontId="26" type="noConversion"/>
  </si>
  <si>
    <t>完成剧情 3-13华锋失窃</t>
    <phoneticPr fontId="26" type="noConversion"/>
  </si>
  <si>
    <t>完成剧情 3-14名动江湖</t>
    <phoneticPr fontId="26" type="noConversion"/>
  </si>
  <si>
    <t>完成剧情 3-15故人重逢</t>
    <phoneticPr fontId="26" type="noConversion"/>
  </si>
  <si>
    <t>完成剧情 3-16绝处逢生</t>
    <phoneticPr fontId="26" type="noConversion"/>
  </si>
  <si>
    <t>完成剧情 3-17神秘灵玉</t>
    <phoneticPr fontId="26" type="noConversion"/>
  </si>
  <si>
    <t>完成剧情 3-16信誉受损</t>
    <phoneticPr fontId="26" type="noConversion"/>
  </si>
  <si>
    <t>完成剧情 3-18墙外风筝</t>
    <phoneticPr fontId="26" type="noConversion"/>
  </si>
  <si>
    <t>完成剧情 3-19华锋线索</t>
    <phoneticPr fontId="26" type="noConversion"/>
  </si>
  <si>
    <t>完成剧情 3-20瓮中捉鳖</t>
    <phoneticPr fontId="26" type="noConversion"/>
  </si>
  <si>
    <t>完成剧情 3-21红杏往事</t>
    <phoneticPr fontId="26" type="noConversion"/>
  </si>
  <si>
    <t>完成剧情 3-22波澜再起</t>
    <phoneticPr fontId="26" type="noConversion"/>
  </si>
  <si>
    <t>完成剧情 4-1父亲私库</t>
    <phoneticPr fontId="26" type="noConversion"/>
  </si>
  <si>
    <t>完成剧情 4-2境外账单</t>
    <phoneticPr fontId="26" type="noConversion"/>
  </si>
  <si>
    <t>完成剧情 4-3嚣张公子</t>
    <phoneticPr fontId="26" type="noConversion"/>
  </si>
  <si>
    <t>完成剧情 4-4马车之内</t>
    <phoneticPr fontId="26" type="noConversion"/>
  </si>
  <si>
    <t>完成剧情 4-5搭台布局</t>
    <phoneticPr fontId="26" type="noConversion"/>
  </si>
  <si>
    <t>完成剧情 4-6茶香飘邈</t>
    <phoneticPr fontId="26" type="noConversion"/>
  </si>
  <si>
    <t>完成剧情 4-7登才大会</t>
    <phoneticPr fontId="26" type="noConversion"/>
  </si>
  <si>
    <t>完成剧情 4-8赏香之约</t>
    <phoneticPr fontId="26" type="noConversion"/>
  </si>
  <si>
    <t>完成剧情 4-9异国奇香</t>
    <phoneticPr fontId="26" type="noConversion"/>
  </si>
  <si>
    <t>完成剧情 4-10府乐馈赠</t>
    <phoneticPr fontId="26" type="noConversion"/>
  </si>
  <si>
    <t>完成剧情 4-11以假乱真</t>
    <phoneticPr fontId="26" type="noConversion"/>
  </si>
  <si>
    <t>完成剧情 4-12不速之客</t>
    <phoneticPr fontId="26" type="noConversion"/>
  </si>
  <si>
    <t>完成剧情 4-13鉴宝风波</t>
    <phoneticPr fontId="26" type="noConversion"/>
  </si>
  <si>
    <t>完成剧情 4-14鹰策暗室</t>
    <phoneticPr fontId="26" type="noConversion"/>
  </si>
  <si>
    <t>完成剧情 4-15予君借条</t>
    <phoneticPr fontId="26" type="noConversion"/>
  </si>
  <si>
    <t>完成剧情 4-16清酒醉蟹</t>
    <phoneticPr fontId="26" type="noConversion"/>
  </si>
  <si>
    <t>完成剧情 4-17玄门之眼</t>
    <phoneticPr fontId="26" type="noConversion"/>
  </si>
  <si>
    <t>完成剧情 4-18生死之间</t>
    <phoneticPr fontId="26" type="noConversion"/>
  </si>
  <si>
    <t>完成剧情 4-19红杏之死</t>
    <phoneticPr fontId="26" type="noConversion"/>
  </si>
  <si>
    <t>1.农田，农田2号坑1|2
2.牧场，牧场3号坑2|3
3.矿洞，矿洞1号坑3|1
4.工作台，纺织台4|1
5.码头
6.小花园(猫爬架)
7.凡星阁升级界面
8.剧情大地图
9.喂食
10.店铺
11.情报阁
12.每日任务
13.男主副本
14.商店——路尤
15.商店——胡萡
16.商店——花婆婆
17.猫列表
18.花笺列表
19.问缘(抽卡)
20.精英副本
21.茶楼
22.猫探险
23.珍宝阁
24.猫战队
25.商店——卷卷
26.商店——白沧</t>
    <phoneticPr fontId="26" type="noConversion"/>
  </si>
  <si>
    <t>拜访男主并赠送他礼物</t>
    <phoneticPr fontId="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</si>
</sst>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_ [$¥-804]* #,##0.000_ ;_ [$¥-804]* \-#,##0.000_ ;_ [$¥-804]* &quot;-&quot;??_ ;_ @_ "/>
  </numFmts>
  <fonts count="42" x14ac:knownFonts="1">
    <font>
      <sz val="11"/>
      <color indexed="8"/>
      <name val="宋体"/>
    </font>
    <font>
      <sz val="11"/>
      <color indexed="8"/>
      <name val="宋体"/>
      <family val="3"/>
    </font>
    <font>
      <sz val="8"/>
      <color indexed="42"/>
      <name val="微软雅黑"/>
      <family val="2"/>
    </font>
    <font>
      <b/>
      <sz val="8"/>
      <color indexed="42"/>
      <name val="微软雅黑"/>
      <family val="2"/>
    </font>
    <font>
      <sz val="8"/>
      <color indexed="8"/>
      <name val="微软雅黑"/>
      <family val="2"/>
    </font>
    <font>
      <b/>
      <sz val="8"/>
      <name val="微软雅黑"/>
      <family val="2"/>
    </font>
    <font>
      <sz val="11"/>
      <color indexed="8"/>
      <name val="微软雅黑"/>
      <family val="2"/>
    </font>
    <font>
      <b/>
      <sz val="11"/>
      <color indexed="42"/>
      <name val="微软雅黑"/>
      <family val="2"/>
    </font>
    <font>
      <sz val="11"/>
      <color indexed="12"/>
      <name val="微软雅黑"/>
      <family val="2"/>
    </font>
    <font>
      <sz val="9"/>
      <color indexed="8"/>
      <name val="微软雅黑"/>
      <family val="2"/>
    </font>
    <font>
      <sz val="9"/>
      <color indexed="42"/>
      <name val="微软雅黑"/>
      <family val="2"/>
    </font>
    <font>
      <sz val="9"/>
      <color indexed="10"/>
      <name val="微软雅黑"/>
      <family val="2"/>
    </font>
    <font>
      <sz val="9"/>
      <color indexed="17"/>
      <name val="微软雅黑"/>
      <family val="2"/>
    </font>
    <font>
      <b/>
      <sz val="11"/>
      <color indexed="62"/>
      <name val="微软雅黑"/>
      <family val="2"/>
    </font>
    <font>
      <b/>
      <sz val="9"/>
      <color indexed="63"/>
      <name val="微软雅黑"/>
      <family val="2"/>
    </font>
    <font>
      <sz val="9"/>
      <color indexed="52"/>
      <name val="微软雅黑"/>
      <family val="2"/>
    </font>
    <font>
      <b/>
      <sz val="9"/>
      <color indexed="8"/>
      <name val="微软雅黑"/>
      <family val="2"/>
    </font>
    <font>
      <sz val="9"/>
      <color indexed="60"/>
      <name val="微软雅黑"/>
      <family val="2"/>
    </font>
    <font>
      <b/>
      <sz val="9"/>
      <color indexed="52"/>
      <name val="微软雅黑"/>
      <family val="2"/>
    </font>
    <font>
      <b/>
      <sz val="18"/>
      <color indexed="62"/>
      <name val="宋体"/>
      <family val="3"/>
    </font>
    <font>
      <i/>
      <sz val="9"/>
      <color indexed="23"/>
      <name val="微软雅黑"/>
      <family val="2"/>
    </font>
    <font>
      <b/>
      <sz val="13"/>
      <color indexed="62"/>
      <name val="微软雅黑"/>
      <family val="2"/>
    </font>
    <font>
      <b/>
      <sz val="9"/>
      <color indexed="42"/>
      <name val="微软雅黑"/>
      <family val="2"/>
    </font>
    <font>
      <b/>
      <sz val="15"/>
      <color indexed="62"/>
      <name val="微软雅黑"/>
      <family val="2"/>
    </font>
    <font>
      <u/>
      <sz val="11"/>
      <color indexed="12"/>
      <name val="宋体"/>
      <family val="3"/>
    </font>
    <font>
      <sz val="9"/>
      <color indexed="62"/>
      <name val="微软雅黑"/>
      <family val="2"/>
    </font>
    <font>
      <b/>
      <sz val="9"/>
      <color theme="0"/>
      <name val="微软雅黑"/>
      <family val="2"/>
    </font>
    <font>
      <sz val="9"/>
      <color theme="1"/>
      <name val="微软雅黑"/>
      <family val="2"/>
    </font>
    <font>
      <sz val="9"/>
      <name val="微软雅黑"/>
      <family val="2"/>
    </font>
    <font>
      <sz val="11"/>
      <color indexed="8"/>
      <name val="宋体"/>
      <family val="3"/>
      <charset val="134"/>
    </font>
    <font>
      <sz val="11"/>
      <color indexed="8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name val="微软雅黑"/>
      <family val="2"/>
      <charset val="134"/>
    </font>
    <font>
      <sz val="8"/>
      <color rgb="FFFF0000"/>
      <name val="微软雅黑"/>
      <family val="2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</font>
    <font>
      <sz val="9"/>
      <color theme="1"/>
      <name val="微软雅黑"/>
      <family val="2"/>
      <charset val="134"/>
    </font>
    <font>
      <b/>
      <sz val="8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b/>
      <sz val="9"/>
      <name val="微软雅黑"/>
      <family val="2"/>
    </font>
    <font>
      <sz val="8"/>
      <name val="微软雅黑"/>
      <family val="2"/>
    </font>
    <font>
      <sz val="9"/>
      <color theme="1"/>
      <name val="Segoe UI Symbol"/>
      <family val="2"/>
    </font>
  </fonts>
  <fills count="31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thick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359">
    <xf numFmtId="0" fontId="0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8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4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0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9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11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9" fillId="6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14" borderId="0">
      <alignment vertical="center"/>
    </xf>
    <xf numFmtId="0" fontId="10" fillId="14" borderId="0">
      <alignment vertical="center"/>
    </xf>
    <xf numFmtId="0" fontId="10" fillId="14" borderId="0">
      <alignment vertical="center"/>
    </xf>
    <xf numFmtId="0" fontId="10" fillId="14" borderId="0">
      <alignment vertical="center"/>
    </xf>
    <xf numFmtId="0" fontId="10" fillId="14" borderId="0">
      <alignment vertical="center"/>
    </xf>
    <xf numFmtId="0" fontId="10" fillId="14" borderId="0">
      <alignment vertical="center"/>
    </xf>
    <xf numFmtId="0" fontId="10" fillId="10" borderId="0">
      <alignment vertical="center"/>
    </xf>
    <xf numFmtId="0" fontId="10" fillId="10" borderId="0">
      <alignment vertical="center"/>
    </xf>
    <xf numFmtId="0" fontId="10" fillId="10" borderId="0">
      <alignment vertical="center"/>
    </xf>
    <xf numFmtId="0" fontId="10" fillId="10" borderId="0">
      <alignment vertical="center"/>
    </xf>
    <xf numFmtId="0" fontId="10" fillId="10" borderId="0">
      <alignment vertical="center"/>
    </xf>
    <xf numFmtId="0" fontId="10" fillId="10" borderId="0">
      <alignment vertical="center"/>
    </xf>
    <xf numFmtId="0" fontId="10" fillId="19" borderId="0">
      <alignment vertical="center"/>
    </xf>
    <xf numFmtId="0" fontId="10" fillId="19" borderId="0">
      <alignment vertical="center"/>
    </xf>
    <xf numFmtId="0" fontId="10" fillId="19" borderId="0">
      <alignment vertical="center"/>
    </xf>
    <xf numFmtId="0" fontId="10" fillId="19" borderId="0">
      <alignment vertical="center"/>
    </xf>
    <xf numFmtId="0" fontId="10" fillId="19" borderId="0">
      <alignment vertical="center"/>
    </xf>
    <xf numFmtId="0" fontId="10" fillId="19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11" borderId="0">
      <alignment vertical="center"/>
    </xf>
    <xf numFmtId="0" fontId="10" fillId="6" borderId="0">
      <alignment vertical="center"/>
    </xf>
    <xf numFmtId="0" fontId="10" fillId="6" borderId="0">
      <alignment vertical="center"/>
    </xf>
    <xf numFmtId="0" fontId="10" fillId="6" borderId="0">
      <alignment vertical="center"/>
    </xf>
    <xf numFmtId="0" fontId="10" fillId="6" borderId="0">
      <alignment vertical="center"/>
    </xf>
    <xf numFmtId="0" fontId="10" fillId="6" borderId="0">
      <alignment vertical="center"/>
    </xf>
    <xf numFmtId="0" fontId="10" fillId="6" borderId="0">
      <alignment vertical="center"/>
    </xf>
    <xf numFmtId="0" fontId="19" fillId="0" borderId="0">
      <alignment vertical="center"/>
    </xf>
    <xf numFmtId="0" fontId="23" fillId="0" borderId="11">
      <alignment vertical="center"/>
    </xf>
    <xf numFmtId="0" fontId="23" fillId="0" borderId="11">
      <alignment vertical="center"/>
    </xf>
    <xf numFmtId="0" fontId="23" fillId="0" borderId="11">
      <alignment vertical="center"/>
    </xf>
    <xf numFmtId="0" fontId="23" fillId="0" borderId="11">
      <alignment vertical="center"/>
    </xf>
    <xf numFmtId="0" fontId="23" fillId="0" borderId="11">
      <alignment vertical="center"/>
    </xf>
    <xf numFmtId="0" fontId="23" fillId="0" borderId="11">
      <alignment vertical="center"/>
    </xf>
    <xf numFmtId="0" fontId="21" fillId="0" borderId="9">
      <alignment vertical="center"/>
    </xf>
    <xf numFmtId="0" fontId="21" fillId="0" borderId="9">
      <alignment vertical="center"/>
    </xf>
    <xf numFmtId="0" fontId="21" fillId="0" borderId="9">
      <alignment vertical="center"/>
    </xf>
    <xf numFmtId="0" fontId="21" fillId="0" borderId="9">
      <alignment vertical="center"/>
    </xf>
    <xf numFmtId="0" fontId="21" fillId="0" borderId="9">
      <alignment vertical="center"/>
    </xf>
    <xf numFmtId="0" fontId="21" fillId="0" borderId="9">
      <alignment vertical="center"/>
    </xf>
    <xf numFmtId="0" fontId="13" fillId="0" borderId="8">
      <alignment vertical="center"/>
    </xf>
    <xf numFmtId="0" fontId="13" fillId="0" borderId="8">
      <alignment vertical="center"/>
    </xf>
    <xf numFmtId="0" fontId="13" fillId="0" borderId="8">
      <alignment vertical="center"/>
    </xf>
    <xf numFmtId="0" fontId="13" fillId="0" borderId="8">
      <alignment vertical="center"/>
    </xf>
    <xf numFmtId="0" fontId="13" fillId="0" borderId="8">
      <alignment vertical="center"/>
    </xf>
    <xf numFmtId="0" fontId="13" fillId="0" borderId="8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9" fillId="0" borderId="0">
      <alignment vertical="center"/>
    </xf>
    <xf numFmtId="0" fontId="17" fillId="14" borderId="0">
      <alignment vertical="center"/>
    </xf>
    <xf numFmtId="0" fontId="17" fillId="14" borderId="0">
      <alignment vertical="center"/>
    </xf>
    <xf numFmtId="0" fontId="17" fillId="14" borderId="0">
      <alignment vertical="center"/>
    </xf>
    <xf numFmtId="0" fontId="17" fillId="14" borderId="0">
      <alignment vertical="center"/>
    </xf>
    <xf numFmtId="0" fontId="17" fillId="14" borderId="0">
      <alignment vertical="center"/>
    </xf>
    <xf numFmtId="0" fontId="17" fillId="14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1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2" fillId="10" borderId="0">
      <alignment vertical="center"/>
    </xf>
    <xf numFmtId="0" fontId="16" fillId="0" borderId="6">
      <alignment vertical="center"/>
    </xf>
    <xf numFmtId="0" fontId="16" fillId="0" borderId="6">
      <alignment vertical="center"/>
    </xf>
    <xf numFmtId="0" fontId="16" fillId="0" borderId="6">
      <alignment vertical="center"/>
    </xf>
    <xf numFmtId="0" fontId="16" fillId="0" borderId="6">
      <alignment vertical="center"/>
    </xf>
    <xf numFmtId="0" fontId="16" fillId="0" borderId="6">
      <alignment vertical="center"/>
    </xf>
    <xf numFmtId="0" fontId="16" fillId="0" borderId="6">
      <alignment vertical="center"/>
    </xf>
    <xf numFmtId="0" fontId="18" fillId="12" borderId="7">
      <alignment vertical="center"/>
    </xf>
    <xf numFmtId="0" fontId="18" fillId="12" borderId="7">
      <alignment vertical="center"/>
    </xf>
    <xf numFmtId="0" fontId="18" fillId="12" borderId="7">
      <alignment vertical="center"/>
    </xf>
    <xf numFmtId="0" fontId="18" fillId="12" borderId="7">
      <alignment vertical="center"/>
    </xf>
    <xf numFmtId="0" fontId="18" fillId="12" borderId="7">
      <alignment vertical="center"/>
    </xf>
    <xf numFmtId="0" fontId="18" fillId="12" borderId="7">
      <alignment vertical="center"/>
    </xf>
    <xf numFmtId="0" fontId="22" fillId="18" borderId="10">
      <alignment vertical="center"/>
    </xf>
    <xf numFmtId="0" fontId="22" fillId="18" borderId="10">
      <alignment vertical="center"/>
    </xf>
    <xf numFmtId="0" fontId="22" fillId="18" borderId="10">
      <alignment vertical="center"/>
    </xf>
    <xf numFmtId="0" fontId="22" fillId="18" borderId="10">
      <alignment vertical="center"/>
    </xf>
    <xf numFmtId="0" fontId="22" fillId="18" borderId="10">
      <alignment vertical="center"/>
    </xf>
    <xf numFmtId="0" fontId="22" fillId="18" borderId="1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5" fillId="0" borderId="5">
      <alignment vertical="center"/>
    </xf>
    <xf numFmtId="0" fontId="15" fillId="0" borderId="5">
      <alignment vertical="center"/>
    </xf>
    <xf numFmtId="0" fontId="15" fillId="0" borderId="5">
      <alignment vertical="center"/>
    </xf>
    <xf numFmtId="0" fontId="15" fillId="0" borderId="5">
      <alignment vertical="center"/>
    </xf>
    <xf numFmtId="0" fontId="15" fillId="0" borderId="5">
      <alignment vertical="center"/>
    </xf>
    <xf numFmtId="0" fontId="15" fillId="0" borderId="5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7" borderId="0">
      <alignment vertical="center"/>
    </xf>
    <xf numFmtId="0" fontId="10" fillId="17" borderId="0">
      <alignment vertical="center"/>
    </xf>
    <xf numFmtId="0" fontId="10" fillId="17" borderId="0">
      <alignment vertical="center"/>
    </xf>
    <xf numFmtId="0" fontId="10" fillId="17" borderId="0">
      <alignment vertical="center"/>
    </xf>
    <xf numFmtId="0" fontId="10" fillId="17" borderId="0">
      <alignment vertical="center"/>
    </xf>
    <xf numFmtId="0" fontId="10" fillId="17" borderId="0">
      <alignment vertical="center"/>
    </xf>
    <xf numFmtId="0" fontId="10" fillId="15" borderId="0">
      <alignment vertical="center"/>
    </xf>
    <xf numFmtId="0" fontId="10" fillId="15" borderId="0">
      <alignment vertical="center"/>
    </xf>
    <xf numFmtId="0" fontId="10" fillId="15" borderId="0">
      <alignment vertical="center"/>
    </xf>
    <xf numFmtId="0" fontId="10" fillId="15" borderId="0">
      <alignment vertical="center"/>
    </xf>
    <xf numFmtId="0" fontId="10" fillId="15" borderId="0">
      <alignment vertical="center"/>
    </xf>
    <xf numFmtId="0" fontId="10" fillId="15" borderId="0">
      <alignment vertical="center"/>
    </xf>
    <xf numFmtId="0" fontId="10" fillId="9" borderId="0">
      <alignment vertical="center"/>
    </xf>
    <xf numFmtId="0" fontId="10" fillId="9" borderId="0">
      <alignment vertical="center"/>
    </xf>
    <xf numFmtId="0" fontId="10" fillId="9" borderId="0">
      <alignment vertical="center"/>
    </xf>
    <xf numFmtId="0" fontId="10" fillId="9" borderId="0">
      <alignment vertical="center"/>
    </xf>
    <xf numFmtId="0" fontId="10" fillId="9" borderId="0">
      <alignment vertical="center"/>
    </xf>
    <xf numFmtId="0" fontId="10" fillId="9" borderId="0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3" borderId="0">
      <alignment vertical="center"/>
    </xf>
    <xf numFmtId="0" fontId="10" fillId="16" borderId="0">
      <alignment vertical="center"/>
    </xf>
    <xf numFmtId="0" fontId="10" fillId="16" borderId="0">
      <alignment vertical="center"/>
    </xf>
    <xf numFmtId="0" fontId="10" fillId="16" borderId="0">
      <alignment vertical="center"/>
    </xf>
    <xf numFmtId="0" fontId="10" fillId="16" borderId="0">
      <alignment vertical="center"/>
    </xf>
    <xf numFmtId="0" fontId="10" fillId="16" borderId="0">
      <alignment vertical="center"/>
    </xf>
    <xf numFmtId="0" fontId="10" fillId="16" borderId="0">
      <alignment vertical="center"/>
    </xf>
    <xf numFmtId="0" fontId="17" fillId="5" borderId="0">
      <alignment vertical="center"/>
    </xf>
    <xf numFmtId="0" fontId="17" fillId="5" borderId="0">
      <alignment vertical="center"/>
    </xf>
    <xf numFmtId="0" fontId="17" fillId="5" borderId="0">
      <alignment vertical="center"/>
    </xf>
    <xf numFmtId="0" fontId="17" fillId="5" borderId="0">
      <alignment vertical="center"/>
    </xf>
    <xf numFmtId="0" fontId="17" fillId="5" borderId="0">
      <alignment vertical="center"/>
    </xf>
    <xf numFmtId="0" fontId="17" fillId="5" borderId="0">
      <alignment vertical="center"/>
    </xf>
    <xf numFmtId="0" fontId="14" fillId="12" borderId="4">
      <alignment vertical="center"/>
    </xf>
    <xf numFmtId="0" fontId="14" fillId="12" borderId="4">
      <alignment vertical="center"/>
    </xf>
    <xf numFmtId="0" fontId="14" fillId="12" borderId="4">
      <alignment vertical="center"/>
    </xf>
    <xf numFmtId="0" fontId="14" fillId="12" borderId="4">
      <alignment vertical="center"/>
    </xf>
    <xf numFmtId="0" fontId="14" fillId="12" borderId="4">
      <alignment vertical="center"/>
    </xf>
    <xf numFmtId="0" fontId="14" fillId="12" borderId="4">
      <alignment vertical="center"/>
    </xf>
    <xf numFmtId="0" fontId="25" fillId="6" borderId="7">
      <alignment vertical="center"/>
    </xf>
    <xf numFmtId="0" fontId="25" fillId="6" borderId="7">
      <alignment vertical="center"/>
    </xf>
    <xf numFmtId="0" fontId="25" fillId="6" borderId="7">
      <alignment vertical="center"/>
    </xf>
    <xf numFmtId="0" fontId="25" fillId="6" borderId="7">
      <alignment vertical="center"/>
    </xf>
    <xf numFmtId="0" fontId="25" fillId="6" borderId="7">
      <alignment vertical="center"/>
    </xf>
    <xf numFmtId="0" fontId="25" fillId="6" borderId="7">
      <alignment vertical="center"/>
    </xf>
    <xf numFmtId="0" fontId="1" fillId="20" borderId="12">
      <alignment vertical="center"/>
    </xf>
    <xf numFmtId="0" fontId="1" fillId="20" borderId="12">
      <alignment vertical="center"/>
    </xf>
    <xf numFmtId="0" fontId="1" fillId="20" borderId="12">
      <alignment vertical="center"/>
    </xf>
    <xf numFmtId="0" fontId="1" fillId="20" borderId="12">
      <alignment vertical="center"/>
    </xf>
    <xf numFmtId="0" fontId="1" fillId="20" borderId="12">
      <alignment vertical="center"/>
    </xf>
    <xf numFmtId="0" fontId="1" fillId="20" borderId="12">
      <alignment vertical="center"/>
    </xf>
    <xf numFmtId="0" fontId="1" fillId="20" borderId="12">
      <alignment vertical="center"/>
    </xf>
    <xf numFmtId="0" fontId="1" fillId="20" borderId="12">
      <alignment vertical="center"/>
    </xf>
    <xf numFmtId="0" fontId="1" fillId="20" borderId="12">
      <alignment vertical="center"/>
    </xf>
    <xf numFmtId="0" fontId="1" fillId="20" borderId="12">
      <alignment vertical="center"/>
    </xf>
    <xf numFmtId="0" fontId="29" fillId="8" borderId="0">
      <alignment vertical="center"/>
    </xf>
    <xf numFmtId="0" fontId="29" fillId="8" borderId="0">
      <alignment vertical="center"/>
    </xf>
  </cellStyleXfs>
  <cellXfs count="77">
    <xf numFmtId="0" fontId="0" fillId="8" borderId="0" xfId="0">
      <alignment vertical="center"/>
    </xf>
    <xf numFmtId="0" fontId="5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8" fillId="6" borderId="1" xfId="249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left" vertical="center" shrinkToFit="1"/>
    </xf>
    <xf numFmtId="0" fontId="6" fillId="6" borderId="1" xfId="0" applyFont="1" applyFill="1" applyBorder="1" applyAlignment="1">
      <alignment horizontal="center" vertical="center"/>
    </xf>
    <xf numFmtId="0" fontId="26" fillId="21" borderId="1" xfId="212" applyNumberFormat="1" applyFont="1" applyFill="1" applyBorder="1" applyAlignment="1">
      <alignment horizontal="center" vertical="center" shrinkToFit="1"/>
    </xf>
    <xf numFmtId="0" fontId="27" fillId="0" borderId="1" xfId="212" applyNumberFormat="1" applyFont="1" applyBorder="1" applyAlignment="1">
      <alignment horizontal="center" vertical="center" shrinkToFit="1"/>
    </xf>
    <xf numFmtId="0" fontId="27" fillId="22" borderId="1" xfId="212" applyNumberFormat="1" applyFont="1" applyFill="1" applyBorder="1" applyAlignment="1">
      <alignment horizontal="center" vertical="center" shrinkToFit="1"/>
    </xf>
    <xf numFmtId="0" fontId="27" fillId="23" borderId="1" xfId="212" applyNumberFormat="1" applyFont="1" applyFill="1" applyBorder="1" applyAlignment="1">
      <alignment horizontal="center" vertical="center" shrinkToFit="1"/>
    </xf>
    <xf numFmtId="0" fontId="27" fillId="23" borderId="2" xfId="212" applyNumberFormat="1" applyFont="1" applyFill="1" applyBorder="1" applyAlignment="1">
      <alignment horizontal="center" vertical="center" shrinkToFit="1"/>
    </xf>
    <xf numFmtId="49" fontId="27" fillId="23" borderId="2" xfId="212" applyNumberFormat="1" applyFont="1" applyFill="1" applyBorder="1" applyAlignment="1">
      <alignment horizontal="center" vertical="center" shrinkToFit="1"/>
    </xf>
    <xf numFmtId="49" fontId="4" fillId="0" borderId="2" xfId="0" applyNumberFormat="1" applyFont="1" applyFill="1" applyBorder="1" applyAlignment="1">
      <alignment horizontal="center" vertical="center"/>
    </xf>
    <xf numFmtId="0" fontId="26" fillId="24" borderId="1" xfId="212" applyNumberFormat="1" applyFont="1" applyFill="1" applyBorder="1" applyAlignment="1">
      <alignment horizontal="center" vertical="center" shrinkToFit="1"/>
    </xf>
    <xf numFmtId="0" fontId="4" fillId="25" borderId="1" xfId="0" applyFont="1" applyFill="1" applyBorder="1" applyAlignment="1">
      <alignment horizontal="left" vertical="center"/>
    </xf>
    <xf numFmtId="0" fontId="26" fillId="25" borderId="1" xfId="212" applyNumberFormat="1" applyFont="1" applyFill="1" applyBorder="1" applyAlignment="1">
      <alignment horizontal="center" vertical="center" shrinkToFit="1"/>
    </xf>
    <xf numFmtId="0" fontId="26" fillId="26" borderId="1" xfId="212" applyNumberFormat="1" applyFont="1" applyFill="1" applyBorder="1" applyAlignment="1">
      <alignment horizontal="center" vertical="center" shrinkToFit="1"/>
    </xf>
    <xf numFmtId="49" fontId="27" fillId="25" borderId="2" xfId="212" applyNumberFormat="1" applyFont="1" applyFill="1" applyBorder="1" applyAlignment="1">
      <alignment horizontal="left" vertical="center" shrinkToFit="1"/>
    </xf>
    <xf numFmtId="0" fontId="4" fillId="25" borderId="1" xfId="0" applyFont="1" applyFill="1" applyBorder="1" applyAlignment="1">
      <alignment horizontal="center" vertical="center"/>
    </xf>
    <xf numFmtId="0" fontId="28" fillId="25" borderId="1" xfId="212" applyNumberFormat="1" applyFont="1" applyFill="1" applyBorder="1" applyAlignment="1">
      <alignment horizontal="center" vertical="center" shrinkToFit="1"/>
    </xf>
    <xf numFmtId="0" fontId="28" fillId="25" borderId="1" xfId="212" applyNumberFormat="1" applyFont="1" applyFill="1" applyBorder="1" applyAlignment="1">
      <alignment horizontal="left" vertical="center" shrinkToFit="1"/>
    </xf>
    <xf numFmtId="0" fontId="3" fillId="26" borderId="1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left" vertical="center"/>
    </xf>
    <xf numFmtId="0" fontId="4" fillId="27" borderId="1" xfId="0" applyFont="1" applyFill="1" applyBorder="1" applyAlignment="1">
      <alignment horizontal="center" vertical="center"/>
    </xf>
    <xf numFmtId="0" fontId="4" fillId="28" borderId="1" xfId="0" applyFont="1" applyFill="1" applyBorder="1" applyAlignment="1">
      <alignment horizontal="center" vertical="center"/>
    </xf>
    <xf numFmtId="49" fontId="4" fillId="27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5" fillId="0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36" fillId="22" borderId="1" xfId="212" applyNumberFormat="1" applyFont="1" applyFill="1" applyBorder="1" applyAlignment="1">
      <alignment horizontal="center" vertical="center" shrinkToFit="1"/>
    </xf>
    <xf numFmtId="49" fontId="34" fillId="8" borderId="2" xfId="0" applyNumberFormat="1" applyFont="1" applyBorder="1" applyAlignment="1">
      <alignment horizontal="center" vertical="center"/>
    </xf>
    <xf numFmtId="49" fontId="4" fillId="0" borderId="13" xfId="0" applyNumberFormat="1" applyFont="1" applyFill="1" applyBorder="1" applyAlignment="1">
      <alignment horizontal="center" vertical="center"/>
    </xf>
    <xf numFmtId="49" fontId="36" fillId="23" borderId="2" xfId="212" applyNumberFormat="1" applyFont="1" applyFill="1" applyBorder="1" applyAlignment="1">
      <alignment horizontal="center" vertical="center" shrinkToFit="1"/>
    </xf>
    <xf numFmtId="0" fontId="5" fillId="29" borderId="1" xfId="0" applyFont="1" applyFill="1" applyBorder="1" applyAlignment="1">
      <alignment horizontal="center" vertical="center"/>
    </xf>
    <xf numFmtId="0" fontId="26" fillId="29" borderId="1" xfId="212" applyNumberFormat="1" applyFont="1" applyFill="1" applyBorder="1" applyAlignment="1">
      <alignment horizontal="center" vertical="center" shrinkToFit="1"/>
    </xf>
    <xf numFmtId="0" fontId="27" fillId="29" borderId="1" xfId="212" applyNumberFormat="1" applyFont="1" applyFill="1" applyBorder="1" applyAlignment="1">
      <alignment horizontal="center" vertical="center" shrinkToFit="1"/>
    </xf>
    <xf numFmtId="0" fontId="4" fillId="29" borderId="1" xfId="0" applyFont="1" applyFill="1" applyBorder="1" applyAlignment="1">
      <alignment horizontal="center" vertical="center"/>
    </xf>
    <xf numFmtId="0" fontId="37" fillId="0" borderId="1" xfId="0" applyFont="1" applyFill="1" applyBorder="1" applyAlignment="1">
      <alignment horizontal="center" vertical="center"/>
    </xf>
    <xf numFmtId="0" fontId="38" fillId="21" borderId="1" xfId="212" applyNumberFormat="1" applyFont="1" applyFill="1" applyBorder="1" applyAlignment="1">
      <alignment horizontal="center" vertical="center" shrinkToFit="1"/>
    </xf>
    <xf numFmtId="0" fontId="4" fillId="4" borderId="3" xfId="0" applyFont="1" applyFill="1" applyBorder="1" applyAlignment="1">
      <alignment horizontal="center" vertical="center"/>
    </xf>
    <xf numFmtId="176" fontId="27" fillId="0" borderId="1" xfId="212" applyFont="1" applyBorder="1">
      <alignment vertical="center"/>
    </xf>
    <xf numFmtId="0" fontId="4" fillId="4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26" fillId="25" borderId="3" xfId="212" applyNumberFormat="1" applyFont="1" applyFill="1" applyBorder="1" applyAlignment="1">
      <alignment horizontal="center" vertical="center" shrinkToFit="1"/>
    </xf>
    <xf numFmtId="0" fontId="2" fillId="25" borderId="1" xfId="0" applyFont="1" applyFill="1" applyBorder="1" applyAlignment="1">
      <alignment horizontal="center" vertical="center" wrapText="1"/>
    </xf>
    <xf numFmtId="0" fontId="26" fillId="25" borderId="1" xfId="212" applyNumberFormat="1" applyFont="1" applyFill="1" applyBorder="1" applyAlignment="1">
      <alignment horizontal="center" vertical="center" wrapText="1" shrinkToFit="1"/>
    </xf>
    <xf numFmtId="49" fontId="26" fillId="21" borderId="1" xfId="212" applyNumberFormat="1" applyFont="1" applyFill="1" applyBorder="1" applyAlignment="1">
      <alignment horizontal="center" vertical="center" shrinkToFit="1"/>
    </xf>
    <xf numFmtId="49" fontId="26" fillId="25" borderId="1" xfId="212" applyNumberFormat="1" applyFont="1" applyFill="1" applyBorder="1" applyAlignment="1">
      <alignment horizontal="center" vertical="center" shrinkToFit="1"/>
    </xf>
    <xf numFmtId="49" fontId="27" fillId="23" borderId="1" xfId="212" applyNumberFormat="1" applyFont="1" applyFill="1" applyBorder="1" applyAlignment="1">
      <alignment horizontal="center" vertical="center" shrinkToFit="1"/>
    </xf>
    <xf numFmtId="0" fontId="34" fillId="4" borderId="1" xfId="0" applyNumberFormat="1" applyFont="1" applyFill="1" applyBorder="1" applyAlignment="1">
      <alignment horizontal="center" vertical="center"/>
    </xf>
    <xf numFmtId="0" fontId="34" fillId="8" borderId="1" xfId="0" applyNumberFormat="1" applyFont="1" applyBorder="1" applyAlignment="1">
      <alignment horizontal="center" vertical="center"/>
    </xf>
    <xf numFmtId="0" fontId="39" fillId="25" borderId="1" xfId="212" applyNumberFormat="1" applyFont="1" applyFill="1" applyBorder="1" applyAlignment="1">
      <alignment horizontal="center" vertical="center" shrinkToFit="1"/>
    </xf>
    <xf numFmtId="0" fontId="40" fillId="25" borderId="1" xfId="0" applyFont="1" applyFill="1" applyBorder="1" applyAlignment="1">
      <alignment horizontal="center" vertical="center"/>
    </xf>
    <xf numFmtId="49" fontId="40" fillId="25" borderId="1" xfId="0" applyNumberFormat="1" applyFont="1" applyFill="1" applyBorder="1" applyAlignment="1">
      <alignment horizontal="center" vertical="center"/>
    </xf>
    <xf numFmtId="0" fontId="32" fillId="25" borderId="1" xfId="212" applyNumberFormat="1" applyFont="1" applyFill="1" applyBorder="1" applyAlignment="1">
      <alignment horizontal="center" vertical="center" wrapText="1" shrinkToFit="1"/>
    </xf>
    <xf numFmtId="0" fontId="40" fillId="25" borderId="1" xfId="0" applyFont="1" applyFill="1" applyBorder="1" applyAlignment="1">
      <alignment horizontal="center" vertical="center" wrapText="1"/>
    </xf>
    <xf numFmtId="0" fontId="4" fillId="30" borderId="1" xfId="0" applyFont="1" applyFill="1" applyBorder="1" applyAlignment="1">
      <alignment horizontal="center" vertical="center"/>
    </xf>
    <xf numFmtId="0" fontId="4" fillId="30" borderId="1" xfId="0" applyNumberFormat="1" applyFont="1" applyFill="1" applyBorder="1" applyAlignment="1">
      <alignment horizontal="center" vertical="center"/>
    </xf>
    <xf numFmtId="0" fontId="4" fillId="30" borderId="3" xfId="0" applyFont="1" applyFill="1" applyBorder="1" applyAlignment="1">
      <alignment horizontal="center" vertical="center"/>
    </xf>
    <xf numFmtId="0" fontId="27" fillId="30" borderId="1" xfId="212" applyNumberFormat="1" applyFont="1" applyFill="1" applyBorder="1" applyAlignment="1">
      <alignment horizontal="center" vertical="center" shrinkToFit="1"/>
    </xf>
    <xf numFmtId="49" fontId="27" fillId="30" borderId="1" xfId="212" applyNumberFormat="1" applyFont="1" applyFill="1" applyBorder="1" applyAlignment="1">
      <alignment horizontal="center" vertical="center" shrinkToFit="1"/>
    </xf>
    <xf numFmtId="0" fontId="4" fillId="30" borderId="2" xfId="0" applyFont="1" applyFill="1" applyBorder="1" applyAlignment="1">
      <alignment horizontal="center" vertical="center"/>
    </xf>
    <xf numFmtId="0" fontId="36" fillId="23" borderId="1" xfId="212" applyNumberFormat="1" applyFont="1" applyFill="1" applyBorder="1" applyAlignment="1">
      <alignment horizontal="center" vertical="center" shrinkToFit="1"/>
    </xf>
    <xf numFmtId="0" fontId="7" fillId="2" borderId="1" xfId="0" applyFont="1" applyFill="1" applyBorder="1" applyAlignment="1">
      <alignment horizontal="center" vertical="center"/>
    </xf>
  </cellXfs>
  <cellStyles count="359">
    <cellStyle name="20% - 强调文字颜色 1" xfId="357"/>
    <cellStyle name="20% - 强调文字颜色 1 2" xfId="1"/>
    <cellStyle name="20% - 强调文字颜色 1 2 2" xfId="2"/>
    <cellStyle name="20% - 强调文字颜色 1 2 2 2" xfId="3"/>
    <cellStyle name="20% - 强调文字颜色 1 2 3" xfId="4"/>
    <cellStyle name="20% - 强调文字颜色 1 3" xfId="5"/>
    <cellStyle name="20% - 强调文字颜色 1 3 2" xfId="6"/>
    <cellStyle name="20% - 强调文字颜色 1 4" xfId="7"/>
    <cellStyle name="20% - 强调文字颜色 1 4 2" xfId="8"/>
    <cellStyle name="20% - 强调文字颜色 1 5" xfId="9"/>
    <cellStyle name="20% - 强调文字颜色 1 5 2" xfId="10"/>
    <cellStyle name="20% - 强调文字颜色 1 6" xfId="11"/>
    <cellStyle name="20% - 强调文字颜色 2" xfId="12"/>
    <cellStyle name="20% - 强调文字颜色 2 2" xfId="13"/>
    <cellStyle name="20% - 强调文字颜色 2 2 2" xfId="14"/>
    <cellStyle name="20% - 强调文字颜色 2 2 2 2" xfId="15"/>
    <cellStyle name="20% - 强调文字颜色 2 2 3" xfId="16"/>
    <cellStyle name="20% - 强调文字颜色 2 3" xfId="17"/>
    <cellStyle name="20% - 强调文字颜色 2 3 2" xfId="18"/>
    <cellStyle name="20% - 强调文字颜色 2 4" xfId="19"/>
    <cellStyle name="20% - 强调文字颜色 2 4 2" xfId="20"/>
    <cellStyle name="20% - 强调文字颜色 2 5" xfId="21"/>
    <cellStyle name="20% - 强调文字颜色 2 5 2" xfId="22"/>
    <cellStyle name="20% - 强调文字颜色 2 6" xfId="23"/>
    <cellStyle name="20% - 强调文字颜色 3" xfId="24"/>
    <cellStyle name="20% - 强调文字颜色 3 2" xfId="25"/>
    <cellStyle name="20% - 强调文字颜色 3 2 2" xfId="26"/>
    <cellStyle name="20% - 强调文字颜色 3 2 2 2" xfId="27"/>
    <cellStyle name="20% - 强调文字颜色 3 2 3" xfId="28"/>
    <cellStyle name="20% - 强调文字颜色 3 3" xfId="29"/>
    <cellStyle name="20% - 强调文字颜色 3 3 2" xfId="30"/>
    <cellStyle name="20% - 强调文字颜色 3 4" xfId="31"/>
    <cellStyle name="20% - 强调文字颜色 3 4 2" xfId="32"/>
    <cellStyle name="20% - 强调文字颜色 3 5" xfId="33"/>
    <cellStyle name="20% - 强调文字颜色 3 5 2" xfId="34"/>
    <cellStyle name="20% - 强调文字颜色 3 6" xfId="35"/>
    <cellStyle name="20% - 强调文字颜色 4" xfId="36"/>
    <cellStyle name="20% - 强调文字颜色 4 2" xfId="37"/>
    <cellStyle name="20% - 强调文字颜色 4 2 2" xfId="38"/>
    <cellStyle name="20% - 强调文字颜色 4 2 2 2" xfId="39"/>
    <cellStyle name="20% - 强调文字颜色 4 2 3" xfId="40"/>
    <cellStyle name="20% - 强调文字颜色 4 3" xfId="41"/>
    <cellStyle name="20% - 强调文字颜色 4 3 2" xfId="42"/>
    <cellStyle name="20% - 强调文字颜色 4 4" xfId="43"/>
    <cellStyle name="20% - 强调文字颜色 4 4 2" xfId="44"/>
    <cellStyle name="20% - 强调文字颜色 4 5" xfId="45"/>
    <cellStyle name="20% - 强调文字颜色 4 5 2" xfId="46"/>
    <cellStyle name="20% - 强调文字颜色 4 6" xfId="47"/>
    <cellStyle name="20% - 强调文字颜色 5" xfId="48"/>
    <cellStyle name="20% - 强调文字颜色 5 2" xfId="49"/>
    <cellStyle name="20% - 强调文字颜色 5 2 2" xfId="50"/>
    <cellStyle name="20% - 强调文字颜色 5 2 2 2" xfId="51"/>
    <cellStyle name="20% - 强调文字颜色 5 2 3" xfId="52"/>
    <cellStyle name="20% - 强调文字颜色 5 3" xfId="53"/>
    <cellStyle name="20% - 强调文字颜色 5 3 2" xfId="54"/>
    <cellStyle name="20% - 强调文字颜色 5 4" xfId="55"/>
    <cellStyle name="20% - 强调文字颜色 5 4 2" xfId="56"/>
    <cellStyle name="20% - 强调文字颜色 5 5" xfId="57"/>
    <cellStyle name="20% - 强调文字颜色 5 5 2" xfId="58"/>
    <cellStyle name="20% - 强调文字颜色 5 6" xfId="59"/>
    <cellStyle name="20% - 强调文字颜色 6" xfId="60"/>
    <cellStyle name="20% - 强调文字颜色 6 2" xfId="61"/>
    <cellStyle name="20% - 强调文字颜色 6 2 2" xfId="62"/>
    <cellStyle name="20% - 强调文字颜色 6 2 2 2" xfId="63"/>
    <cellStyle name="20% - 强调文字颜色 6 2 3" xfId="64"/>
    <cellStyle name="20% - 强调文字颜色 6 3" xfId="65"/>
    <cellStyle name="20% - 强调文字颜色 6 3 2" xfId="66"/>
    <cellStyle name="20% - 强调文字颜色 6 4" xfId="67"/>
    <cellStyle name="20% - 强调文字颜色 6 4 2" xfId="68"/>
    <cellStyle name="20% - 强调文字颜色 6 5" xfId="69"/>
    <cellStyle name="20% - 强调文字颜色 6 5 2" xfId="70"/>
    <cellStyle name="20% - 强调文字颜色 6 6" xfId="71"/>
    <cellStyle name="40% - 强调文字颜色 1" xfId="72"/>
    <cellStyle name="40% - 强调文字颜色 1 2" xfId="73"/>
    <cellStyle name="40% - 强调文字颜色 1 2 2" xfId="74"/>
    <cellStyle name="40% - 强调文字颜色 1 2 2 2" xfId="75"/>
    <cellStyle name="40% - 强调文字颜色 1 2 3" xfId="76"/>
    <cellStyle name="40% - 强调文字颜色 1 3" xfId="77"/>
    <cellStyle name="40% - 强调文字颜色 1 3 2" xfId="78"/>
    <cellStyle name="40% - 强调文字颜色 1 4" xfId="79"/>
    <cellStyle name="40% - 强调文字颜色 1 4 2" xfId="80"/>
    <cellStyle name="40% - 强调文字颜色 1 5" xfId="81"/>
    <cellStyle name="40% - 强调文字颜色 1 5 2" xfId="82"/>
    <cellStyle name="40% - 强调文字颜色 1 6" xfId="83"/>
    <cellStyle name="40% - 强调文字颜色 2" xfId="84"/>
    <cellStyle name="40% - 强调文字颜色 2 2" xfId="85"/>
    <cellStyle name="40% - 强调文字颜色 2 2 2" xfId="86"/>
    <cellStyle name="40% - 强调文字颜色 2 2 2 2" xfId="87"/>
    <cellStyle name="40% - 强调文字颜色 2 2 3" xfId="88"/>
    <cellStyle name="40% - 强调文字颜色 2 3" xfId="89"/>
    <cellStyle name="40% - 强调文字颜色 2 3 2" xfId="90"/>
    <cellStyle name="40% - 强调文字颜色 2 4" xfId="91"/>
    <cellStyle name="40% - 强调文字颜色 2 4 2" xfId="92"/>
    <cellStyle name="40% - 强调文字颜色 2 5" xfId="93"/>
    <cellStyle name="40% - 强调文字颜色 2 5 2" xfId="94"/>
    <cellStyle name="40% - 强调文字颜色 2 6" xfId="95"/>
    <cellStyle name="40% - 强调文字颜色 3" xfId="96"/>
    <cellStyle name="40% - 强调文字颜色 3 2" xfId="97"/>
    <cellStyle name="40% - 强调文字颜色 3 2 2" xfId="98"/>
    <cellStyle name="40% - 强调文字颜色 3 2 2 2" xfId="99"/>
    <cellStyle name="40% - 强调文字颜色 3 2 3" xfId="100"/>
    <cellStyle name="40% - 强调文字颜色 3 3" xfId="101"/>
    <cellStyle name="40% - 强调文字颜色 3 3 2" xfId="102"/>
    <cellStyle name="40% - 强调文字颜色 3 4" xfId="103"/>
    <cellStyle name="40% - 强调文字颜色 3 4 2" xfId="104"/>
    <cellStyle name="40% - 强调文字颜色 3 5" xfId="105"/>
    <cellStyle name="40% - 强调文字颜色 3 5 2" xfId="106"/>
    <cellStyle name="40% - 强调文字颜色 3 6" xfId="107"/>
    <cellStyle name="40% - 强调文字颜色 4" xfId="108"/>
    <cellStyle name="40% - 强调文字颜色 4 2" xfId="109"/>
    <cellStyle name="40% - 强调文字颜色 4 2 2" xfId="110"/>
    <cellStyle name="40% - 强调文字颜色 4 2 2 2" xfId="111"/>
    <cellStyle name="40% - 强调文字颜色 4 2 3" xfId="112"/>
    <cellStyle name="40% - 强调文字颜色 4 3" xfId="113"/>
    <cellStyle name="40% - 强调文字颜色 4 3 2" xfId="114"/>
    <cellStyle name="40% - 强调文字颜色 4 4" xfId="115"/>
    <cellStyle name="40% - 强调文字颜色 4 4 2" xfId="116"/>
    <cellStyle name="40% - 强调文字颜色 4 5" xfId="117"/>
    <cellStyle name="40% - 强调文字颜色 4 5 2" xfId="118"/>
    <cellStyle name="40% - 强调文字颜色 4 6" xfId="119"/>
    <cellStyle name="40% - 强调文字颜色 5" xfId="120"/>
    <cellStyle name="40% - 强调文字颜色 5 2" xfId="121"/>
    <cellStyle name="40% - 强调文字颜色 5 2 2" xfId="122"/>
    <cellStyle name="40% - 强调文字颜色 5 2 2 2" xfId="123"/>
    <cellStyle name="40% - 强调文字颜色 5 2 3" xfId="124"/>
    <cellStyle name="40% - 强调文字颜色 5 3" xfId="125"/>
    <cellStyle name="40% - 强调文字颜色 5 3 2" xfId="126"/>
    <cellStyle name="40% - 强调文字颜色 5 4" xfId="127"/>
    <cellStyle name="40% - 强调文字颜色 5 4 2" xfId="128"/>
    <cellStyle name="40% - 强调文字颜色 5 5" xfId="129"/>
    <cellStyle name="40% - 强调文字颜色 5 5 2" xfId="130"/>
    <cellStyle name="40% - 强调文字颜色 5 6" xfId="131"/>
    <cellStyle name="40% - 强调文字颜色 6" xfId="132"/>
    <cellStyle name="40% - 强调文字颜色 6 2" xfId="133"/>
    <cellStyle name="40% - 强调文字颜色 6 2 2" xfId="134"/>
    <cellStyle name="40% - 强调文字颜色 6 2 2 2" xfId="135"/>
    <cellStyle name="40% - 强调文字颜色 6 2 3" xfId="136"/>
    <cellStyle name="40% - 强调文字颜色 6 3" xfId="137"/>
    <cellStyle name="40% - 强调文字颜色 6 3 2" xfId="138"/>
    <cellStyle name="40% - 强调文字颜色 6 4" xfId="139"/>
    <cellStyle name="40% - 强调文字颜色 6 4 2" xfId="140"/>
    <cellStyle name="40% - 强调文字颜色 6 5" xfId="141"/>
    <cellStyle name="40% - 强调文字颜色 6 5 2" xfId="142"/>
    <cellStyle name="40% - 强调文字颜色 6 6" xfId="143"/>
    <cellStyle name="60% - 强调文字颜色 1" xfId="144"/>
    <cellStyle name="60% - 强调文字颜色 1 2" xfId="145"/>
    <cellStyle name="60% - 强调文字颜色 1 2 2" xfId="146"/>
    <cellStyle name="60% - 强调文字颜色 1 3" xfId="147"/>
    <cellStyle name="60% - 强调文字颜色 1 3 2" xfId="148"/>
    <cellStyle name="60% - 强调文字颜色 1 4" xfId="149"/>
    <cellStyle name="60% - 强调文字颜色 2" xfId="150"/>
    <cellStyle name="60% - 强调文字颜色 2 2" xfId="151"/>
    <cellStyle name="60% - 强调文字颜色 2 2 2" xfId="152"/>
    <cellStyle name="60% - 强调文字颜色 2 3" xfId="153"/>
    <cellStyle name="60% - 强调文字颜色 2 3 2" xfId="154"/>
    <cellStyle name="60% - 强调文字颜色 2 4" xfId="155"/>
    <cellStyle name="60% - 强调文字颜色 3" xfId="156"/>
    <cellStyle name="60% - 强调文字颜色 3 2" xfId="157"/>
    <cellStyle name="60% - 强调文字颜色 3 2 2" xfId="158"/>
    <cellStyle name="60% - 强调文字颜色 3 3" xfId="159"/>
    <cellStyle name="60% - 强调文字颜色 3 3 2" xfId="160"/>
    <cellStyle name="60% - 强调文字颜色 3 4" xfId="161"/>
    <cellStyle name="60% - 强调文字颜色 4" xfId="162"/>
    <cellStyle name="60% - 强调文字颜色 4 2" xfId="163"/>
    <cellStyle name="60% - 强调文字颜色 4 2 2" xfId="164"/>
    <cellStyle name="60% - 强调文字颜色 4 3" xfId="165"/>
    <cellStyle name="60% - 强调文字颜色 4 3 2" xfId="166"/>
    <cellStyle name="60% - 强调文字颜色 4 4" xfId="167"/>
    <cellStyle name="60% - 强调文字颜色 5" xfId="168"/>
    <cellStyle name="60% - 强调文字颜色 5 2" xfId="169"/>
    <cellStyle name="60% - 强调文字颜色 5 2 2" xfId="170"/>
    <cellStyle name="60% - 强调文字颜色 5 3" xfId="171"/>
    <cellStyle name="60% - 强调文字颜色 5 3 2" xfId="172"/>
    <cellStyle name="60% - 强调文字颜色 5 4" xfId="173"/>
    <cellStyle name="60% - 强调文字颜色 6" xfId="174"/>
    <cellStyle name="60% - 强调文字颜色 6 2" xfId="175"/>
    <cellStyle name="60% - 强调文字颜色 6 2 2" xfId="176"/>
    <cellStyle name="60% - 强调文字颜色 6 3" xfId="177"/>
    <cellStyle name="60% - 强调文字颜色 6 3 2" xfId="178"/>
    <cellStyle name="60% - 强调文字颜色 6 4" xfId="179"/>
    <cellStyle name="标题" xfId="180"/>
    <cellStyle name="标题 1" xfId="181"/>
    <cellStyle name="标题 1 2" xfId="182"/>
    <cellStyle name="标题 1 2 2" xfId="183"/>
    <cellStyle name="标题 1 3" xfId="184"/>
    <cellStyle name="标题 1 3 2" xfId="185"/>
    <cellStyle name="标题 1 4" xfId="186"/>
    <cellStyle name="标题 2" xfId="187"/>
    <cellStyle name="标题 2 2" xfId="188"/>
    <cellStyle name="标题 2 2 2" xfId="189"/>
    <cellStyle name="标题 2 3" xfId="190"/>
    <cellStyle name="标题 2 3 2" xfId="191"/>
    <cellStyle name="标题 2 4" xfId="192"/>
    <cellStyle name="标题 3" xfId="193"/>
    <cellStyle name="标题 3 2" xfId="194"/>
    <cellStyle name="标题 3 2 2" xfId="195"/>
    <cellStyle name="标题 3 3" xfId="196"/>
    <cellStyle name="标题 3 3 2" xfId="197"/>
    <cellStyle name="标题 3 4" xfId="198"/>
    <cellStyle name="标题 4" xfId="199"/>
    <cellStyle name="标题 4 2" xfId="200"/>
    <cellStyle name="标题 4 2 2" xfId="201"/>
    <cellStyle name="标题 4 3" xfId="202"/>
    <cellStyle name="标题 4 3 2" xfId="203"/>
    <cellStyle name="标题 4 4" xfId="204"/>
    <cellStyle name="标题 5" xfId="205"/>
    <cellStyle name="差" xfId="206"/>
    <cellStyle name="差 2" xfId="207"/>
    <cellStyle name="差 2 2" xfId="208"/>
    <cellStyle name="差 3" xfId="209"/>
    <cellStyle name="差 3 2" xfId="210"/>
    <cellStyle name="差 4" xfId="211"/>
    <cellStyle name="常规" xfId="0" builtinId="0"/>
    <cellStyle name="常规 10" xfId="212"/>
    <cellStyle name="常规 10 2" xfId="213"/>
    <cellStyle name="常规 11" xfId="214"/>
    <cellStyle name="常规 11 2" xfId="215"/>
    <cellStyle name="常规 12" xfId="216"/>
    <cellStyle name="常规 12 2" xfId="217"/>
    <cellStyle name="常规 13" xfId="218"/>
    <cellStyle name="常规 13 2" xfId="219"/>
    <cellStyle name="常规 14" xfId="220"/>
    <cellStyle name="常规 14 2" xfId="221"/>
    <cellStyle name="常规 15" xfId="222"/>
    <cellStyle name="常规 15 2" xfId="223"/>
    <cellStyle name="常规 16" xfId="224"/>
    <cellStyle name="常规 16 2" xfId="225"/>
    <cellStyle name="常规 17" xfId="226"/>
    <cellStyle name="常规 18" xfId="358"/>
    <cellStyle name="常规 2" xfId="227"/>
    <cellStyle name="常规 2 2" xfId="228"/>
    <cellStyle name="常规 2 2 2" xfId="229"/>
    <cellStyle name="常规 2 2 2 2" xfId="230"/>
    <cellStyle name="常规 2 2 3" xfId="231"/>
    <cellStyle name="常规 2 3" xfId="232"/>
    <cellStyle name="常规 2 3 2" xfId="233"/>
    <cellStyle name="常规 2 4" xfId="234"/>
    <cellStyle name="常规 3" xfId="235"/>
    <cellStyle name="常规 3 2" xfId="236"/>
    <cellStyle name="常规 4" xfId="237"/>
    <cellStyle name="常规 4 2" xfId="238"/>
    <cellStyle name="常规 5" xfId="239"/>
    <cellStyle name="常规 5 2" xfId="240"/>
    <cellStyle name="常规 6" xfId="241"/>
    <cellStyle name="常规 6 2" xfId="242"/>
    <cellStyle name="常规 7" xfId="243"/>
    <cellStyle name="常规 7 2" xfId="244"/>
    <cellStyle name="常规 8" xfId="245"/>
    <cellStyle name="常规 8 2" xfId="246"/>
    <cellStyle name="常规 9" xfId="247"/>
    <cellStyle name="常规 9 2" xfId="248"/>
    <cellStyle name="超链接" xfId="249" builtinId="8"/>
    <cellStyle name="超链接 2" xfId="250"/>
    <cellStyle name="好 2" xfId="251"/>
    <cellStyle name="好 2 2" xfId="252"/>
    <cellStyle name="好 3" xfId="253"/>
    <cellStyle name="好 3 2" xfId="254"/>
    <cellStyle name="好 4" xfId="255"/>
    <cellStyle name="好 4 2" xfId="256"/>
    <cellStyle name="汇总" xfId="257"/>
    <cellStyle name="汇总 2" xfId="258"/>
    <cellStyle name="汇总 2 2" xfId="259"/>
    <cellStyle name="汇总 3" xfId="260"/>
    <cellStyle name="汇总 3 2" xfId="261"/>
    <cellStyle name="汇总 4" xfId="262"/>
    <cellStyle name="计算" xfId="263"/>
    <cellStyle name="计算 2" xfId="264"/>
    <cellStyle name="计算 2 2" xfId="265"/>
    <cellStyle name="计算 3" xfId="266"/>
    <cellStyle name="计算 3 2" xfId="267"/>
    <cellStyle name="计算 4" xfId="268"/>
    <cellStyle name="检查单元格" xfId="269"/>
    <cellStyle name="检查单元格 2" xfId="270"/>
    <cellStyle name="检查单元格 2 2" xfId="271"/>
    <cellStyle name="检查单元格 3" xfId="272"/>
    <cellStyle name="检查单元格 3 2" xfId="273"/>
    <cellStyle name="检查单元格 4" xfId="274"/>
    <cellStyle name="解释性文本" xfId="275"/>
    <cellStyle name="解释性文本 2" xfId="276"/>
    <cellStyle name="解释性文本 2 2" xfId="277"/>
    <cellStyle name="解释性文本 3" xfId="278"/>
    <cellStyle name="解释性文本 3 2" xfId="279"/>
    <cellStyle name="解释性文本 4" xfId="280"/>
    <cellStyle name="警告文本" xfId="281"/>
    <cellStyle name="警告文本 2" xfId="282"/>
    <cellStyle name="警告文本 2 2" xfId="283"/>
    <cellStyle name="警告文本 3" xfId="284"/>
    <cellStyle name="警告文本 3 2" xfId="285"/>
    <cellStyle name="警告文本 4" xfId="286"/>
    <cellStyle name="链接单元格" xfId="287"/>
    <cellStyle name="链接单元格 2" xfId="288"/>
    <cellStyle name="链接单元格 2 2" xfId="289"/>
    <cellStyle name="链接单元格 3" xfId="290"/>
    <cellStyle name="链接单元格 3 2" xfId="291"/>
    <cellStyle name="链接单元格 4" xfId="292"/>
    <cellStyle name="强调文字颜色 1" xfId="293"/>
    <cellStyle name="强调文字颜色 1 2" xfId="294"/>
    <cellStyle name="强调文字颜色 1 2 2" xfId="295"/>
    <cellStyle name="强调文字颜色 1 3" xfId="296"/>
    <cellStyle name="强调文字颜色 1 3 2" xfId="297"/>
    <cellStyle name="强调文字颜色 1 4" xfId="298"/>
    <cellStyle name="强调文字颜色 2" xfId="299"/>
    <cellStyle name="强调文字颜色 2 2" xfId="300"/>
    <cellStyle name="强调文字颜色 2 2 2" xfId="301"/>
    <cellStyle name="强调文字颜色 2 3" xfId="302"/>
    <cellStyle name="强调文字颜色 2 3 2" xfId="303"/>
    <cellStyle name="强调文字颜色 2 4" xfId="304"/>
    <cellStyle name="强调文字颜色 3" xfId="305"/>
    <cellStyle name="强调文字颜色 3 2" xfId="306"/>
    <cellStyle name="强调文字颜色 3 2 2" xfId="307"/>
    <cellStyle name="强调文字颜色 3 3" xfId="308"/>
    <cellStyle name="强调文字颜色 3 3 2" xfId="309"/>
    <cellStyle name="强调文字颜色 3 4" xfId="310"/>
    <cellStyle name="强调文字颜色 4" xfId="311"/>
    <cellStyle name="强调文字颜色 4 2" xfId="312"/>
    <cellStyle name="强调文字颜色 4 2 2" xfId="313"/>
    <cellStyle name="强调文字颜色 4 3" xfId="314"/>
    <cellStyle name="强调文字颜色 4 3 2" xfId="315"/>
    <cellStyle name="强调文字颜色 4 4" xfId="316"/>
    <cellStyle name="强调文字颜色 5" xfId="317"/>
    <cellStyle name="强调文字颜色 5 2" xfId="318"/>
    <cellStyle name="强调文字颜色 5 2 2" xfId="319"/>
    <cellStyle name="强调文字颜色 5 3" xfId="320"/>
    <cellStyle name="强调文字颜色 5 3 2" xfId="321"/>
    <cellStyle name="强调文字颜色 5 4" xfId="322"/>
    <cellStyle name="强调文字颜色 6" xfId="323"/>
    <cellStyle name="强调文字颜色 6 2" xfId="324"/>
    <cellStyle name="强调文字颜色 6 2 2" xfId="325"/>
    <cellStyle name="强调文字颜色 6 3" xfId="326"/>
    <cellStyle name="强调文字颜色 6 3 2" xfId="327"/>
    <cellStyle name="强调文字颜色 6 4" xfId="328"/>
    <cellStyle name="适中" xfId="329"/>
    <cellStyle name="适中 2" xfId="330"/>
    <cellStyle name="适中 2 2" xfId="331"/>
    <cellStyle name="适中 3" xfId="332"/>
    <cellStyle name="适中 3 2" xfId="333"/>
    <cellStyle name="适中 4" xfId="334"/>
    <cellStyle name="输出" xfId="335"/>
    <cellStyle name="输出 2" xfId="336"/>
    <cellStyle name="输出 2 2" xfId="337"/>
    <cellStyle name="输出 3" xfId="338"/>
    <cellStyle name="输出 3 2" xfId="339"/>
    <cellStyle name="输出 4" xfId="340"/>
    <cellStyle name="输入" xfId="341"/>
    <cellStyle name="输入 2" xfId="342"/>
    <cellStyle name="输入 2 2" xfId="343"/>
    <cellStyle name="输入 3" xfId="344"/>
    <cellStyle name="输入 3 2" xfId="345"/>
    <cellStyle name="输入 4" xfId="346"/>
    <cellStyle name="注释 2" xfId="347"/>
    <cellStyle name="注释 2 2" xfId="348"/>
    <cellStyle name="注释 2 2 2" xfId="349"/>
    <cellStyle name="注释 2 2 2 2" xfId="350"/>
    <cellStyle name="注释 2 2 3" xfId="351"/>
    <cellStyle name="注释 2 3" xfId="352"/>
    <cellStyle name="注释 2 3 2" xfId="353"/>
    <cellStyle name="注释 2 4" xfId="354"/>
    <cellStyle name="注释 3" xfId="355"/>
    <cellStyle name="注释 3 2" xfId="35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workbookViewId="0">
      <pane xSplit="1" ySplit="2" topLeftCell="B3" activePane="bottomRight" state="frozen"/>
      <selection pane="topRight"/>
      <selection pane="bottomLeft"/>
      <selection pane="bottomRight" activeCell="F1" sqref="F1"/>
    </sheetView>
  </sheetViews>
  <sheetFormatPr defaultColWidth="9" defaultRowHeight="16.5" x14ac:dyDescent="0.15"/>
  <cols>
    <col min="1" max="1" width="11.375" style="9" customWidth="1"/>
    <col min="2" max="2" width="11.5" style="9" customWidth="1"/>
    <col min="3" max="3" width="24" style="9" customWidth="1"/>
    <col min="4" max="4" width="67.625" style="9" customWidth="1"/>
    <col min="5" max="5" width="29.625" style="9" customWidth="1"/>
    <col min="6" max="6" width="17.5" style="9" customWidth="1"/>
    <col min="7" max="11" width="9" style="9" customWidth="1"/>
    <col min="12" max="16384" width="9" style="9"/>
  </cols>
  <sheetData>
    <row r="1" spans="1:7" x14ac:dyDescent="0.15">
      <c r="A1" s="76" t="s">
        <v>60</v>
      </c>
      <c r="B1" s="76"/>
      <c r="C1" s="76"/>
      <c r="D1" s="76"/>
      <c r="E1" s="76"/>
      <c r="F1" s="10" t="s">
        <v>61</v>
      </c>
      <c r="G1" s="9">
        <v>0</v>
      </c>
    </row>
    <row r="2" spans="1:7" x14ac:dyDescent="0.15">
      <c r="A2" s="10" t="s">
        <v>62</v>
      </c>
      <c r="B2" s="10" t="s">
        <v>63</v>
      </c>
      <c r="C2" s="10" t="s">
        <v>64</v>
      </c>
      <c r="D2" s="10" t="s">
        <v>65</v>
      </c>
      <c r="E2" s="10" t="s">
        <v>66</v>
      </c>
      <c r="F2" s="10" t="s">
        <v>67</v>
      </c>
      <c r="G2" s="9">
        <v>0</v>
      </c>
    </row>
    <row r="3" spans="1:7" x14ac:dyDescent="0.15">
      <c r="A3" s="11" t="s">
        <v>68</v>
      </c>
      <c r="B3" s="12">
        <v>1</v>
      </c>
      <c r="C3" s="13" t="s">
        <v>69</v>
      </c>
      <c r="D3" s="14" t="s">
        <v>70</v>
      </c>
      <c r="E3" s="14"/>
      <c r="F3" s="15" t="s">
        <v>163</v>
      </c>
      <c r="G3" s="9">
        <v>1</v>
      </c>
    </row>
    <row r="4" spans="1:7" x14ac:dyDescent="0.15">
      <c r="A4" s="11" t="s">
        <v>68</v>
      </c>
      <c r="B4" s="12">
        <v>1</v>
      </c>
      <c r="C4" s="13" t="s">
        <v>71</v>
      </c>
      <c r="D4" s="14" t="s">
        <v>70</v>
      </c>
      <c r="E4" s="14"/>
      <c r="F4" s="15" t="s">
        <v>72</v>
      </c>
      <c r="G4" s="9">
        <v>1</v>
      </c>
    </row>
    <row r="5" spans="1:7" x14ac:dyDescent="0.15">
      <c r="A5" s="11" t="s">
        <v>68</v>
      </c>
      <c r="B5" s="12">
        <v>1</v>
      </c>
      <c r="C5" s="13" t="s">
        <v>73</v>
      </c>
      <c r="D5" s="14" t="s">
        <v>70</v>
      </c>
      <c r="E5" s="14"/>
      <c r="F5" s="15" t="s">
        <v>74</v>
      </c>
      <c r="G5" s="9">
        <v>1</v>
      </c>
    </row>
    <row r="6" spans="1:7" x14ac:dyDescent="0.15">
      <c r="A6" s="11" t="s">
        <v>68</v>
      </c>
      <c r="B6" s="12">
        <v>1</v>
      </c>
      <c r="C6" s="13" t="s">
        <v>75</v>
      </c>
      <c r="D6" s="14" t="s">
        <v>70</v>
      </c>
      <c r="E6" s="14"/>
      <c r="F6" s="15" t="s">
        <v>76</v>
      </c>
      <c r="G6" s="9">
        <v>1</v>
      </c>
    </row>
  </sheetData>
  <autoFilter ref="A2:F4"/>
  <mergeCells count="1">
    <mergeCell ref="A1:E1"/>
  </mergeCells>
  <phoneticPr fontId="26" type="noConversion"/>
  <pageMargins left="0.69930555555555596" right="0.69930555555555596" top="0.75" bottom="0.75" header="0.3" footer="0.3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81"/>
  <sheetViews>
    <sheetView workbookViewId="0">
      <pane ySplit="8" topLeftCell="A24" activePane="bottomLeft" state="frozen"/>
      <selection pane="bottomLeft" activeCell="I35" sqref="H35:I35"/>
    </sheetView>
  </sheetViews>
  <sheetFormatPr defaultColWidth="9" defaultRowHeight="13.5" x14ac:dyDescent="0.15"/>
  <cols>
    <col min="1" max="1" width="9" style="4" customWidth="1"/>
    <col min="2" max="2" width="10.625" style="6" customWidth="1"/>
    <col min="3" max="4" width="16.5" style="6" customWidth="1"/>
    <col min="5" max="5" width="10.875" style="6" customWidth="1"/>
    <col min="6" max="6" width="6.625" style="6" customWidth="1"/>
    <col min="7" max="7" width="12.5" style="49" customWidth="1"/>
    <col min="8" max="8" width="23.75" style="6" customWidth="1"/>
    <col min="9" max="9" width="33.5" style="6" customWidth="1"/>
    <col min="10" max="10" width="8.5" style="6" customWidth="1"/>
    <col min="11" max="11" width="7.5" style="4" customWidth="1"/>
    <col min="12" max="12" width="10.875" style="4" customWidth="1"/>
    <col min="13" max="13" width="14.125" style="4" customWidth="1"/>
    <col min="14" max="14" width="12.375" style="4" customWidth="1"/>
    <col min="15" max="15" width="10.5" style="4" customWidth="1"/>
    <col min="16" max="16" width="10.375" style="4" customWidth="1"/>
    <col min="17" max="17" width="12.625" style="4" customWidth="1"/>
    <col min="18" max="18" width="12.5" style="4" customWidth="1"/>
    <col min="19" max="19" width="13.625" style="4" bestFit="1" customWidth="1"/>
    <col min="20" max="20" width="12.375" style="4" customWidth="1"/>
    <col min="21" max="21" width="11.375" style="4" customWidth="1"/>
    <col min="22" max="24" width="9" style="4" customWidth="1"/>
    <col min="25" max="26" width="13.875" style="4" customWidth="1"/>
    <col min="27" max="16384" width="9" style="4"/>
  </cols>
  <sheetData>
    <row r="1" spans="1:26" s="1" customFormat="1" x14ac:dyDescent="0.15">
      <c r="A1" s="5" t="s">
        <v>428</v>
      </c>
      <c r="B1" s="1" t="s">
        <v>1</v>
      </c>
      <c r="C1" s="1" t="s">
        <v>1</v>
      </c>
      <c r="D1" s="1" t="s">
        <v>1</v>
      </c>
      <c r="E1" s="1" t="s">
        <v>1</v>
      </c>
      <c r="G1" s="46" t="s">
        <v>1</v>
      </c>
      <c r="H1" s="1" t="s">
        <v>1</v>
      </c>
      <c r="I1" s="1" t="s">
        <v>1</v>
      </c>
      <c r="J1" s="1" t="s">
        <v>1</v>
      </c>
      <c r="K1" s="1" t="s">
        <v>1</v>
      </c>
      <c r="L1" s="1" t="s">
        <v>1</v>
      </c>
      <c r="M1" s="1" t="s">
        <v>1</v>
      </c>
      <c r="N1" s="1" t="s">
        <v>1</v>
      </c>
      <c r="O1" s="1" t="s">
        <v>1</v>
      </c>
      <c r="P1" s="1" t="s">
        <v>436</v>
      </c>
      <c r="Q1" s="1" t="s">
        <v>1</v>
      </c>
      <c r="R1" s="1" t="s">
        <v>1</v>
      </c>
      <c r="S1" s="1" t="s">
        <v>1</v>
      </c>
      <c r="T1" s="1" t="s">
        <v>1</v>
      </c>
      <c r="U1" s="1" t="s">
        <v>1</v>
      </c>
      <c r="V1" s="1" t="s">
        <v>152</v>
      </c>
      <c r="W1" s="39" t="s">
        <v>155</v>
      </c>
      <c r="X1" s="1" t="s">
        <v>1</v>
      </c>
      <c r="Y1" s="1" t="s">
        <v>1</v>
      </c>
    </row>
    <row r="2" spans="1:26" s="1" customFormat="1" x14ac:dyDescent="0.15">
      <c r="A2" s="5" t="s">
        <v>2</v>
      </c>
      <c r="B2" s="1" t="s">
        <v>1</v>
      </c>
      <c r="C2" s="1" t="s">
        <v>1</v>
      </c>
      <c r="D2" s="1" t="s">
        <v>1</v>
      </c>
      <c r="E2" s="1" t="s">
        <v>1</v>
      </c>
      <c r="G2" s="46" t="s">
        <v>1</v>
      </c>
      <c r="H2" s="1" t="s">
        <v>1</v>
      </c>
      <c r="I2" s="1" t="s">
        <v>1</v>
      </c>
      <c r="J2" s="1" t="s">
        <v>1</v>
      </c>
      <c r="K2" s="1" t="s">
        <v>1</v>
      </c>
      <c r="L2" s="1" t="s">
        <v>1</v>
      </c>
      <c r="M2" s="1" t="s">
        <v>1</v>
      </c>
      <c r="N2" s="1" t="s">
        <v>1</v>
      </c>
      <c r="O2" s="1" t="s">
        <v>1</v>
      </c>
      <c r="P2" s="1" t="s">
        <v>1</v>
      </c>
      <c r="Q2" s="1" t="s">
        <v>1</v>
      </c>
      <c r="R2" s="1" t="s">
        <v>1</v>
      </c>
      <c r="S2" s="1" t="s">
        <v>1</v>
      </c>
      <c r="T2" s="1" t="s">
        <v>1</v>
      </c>
      <c r="U2" s="1" t="s">
        <v>1</v>
      </c>
      <c r="V2" s="1" t="s">
        <v>152</v>
      </c>
      <c r="W2" s="39" t="s">
        <v>152</v>
      </c>
      <c r="X2" s="1" t="s">
        <v>1</v>
      </c>
      <c r="Y2" s="1" t="s">
        <v>1</v>
      </c>
      <c r="Z2" s="1" t="s">
        <v>1</v>
      </c>
    </row>
    <row r="3" spans="1:26" s="2" customFormat="1" ht="14.25" x14ac:dyDescent="0.15">
      <c r="A3" s="16" t="s">
        <v>1</v>
      </c>
      <c r="B3" s="16" t="s">
        <v>3</v>
      </c>
      <c r="C3" s="16" t="s">
        <v>3</v>
      </c>
      <c r="D3" s="16" t="s">
        <v>3</v>
      </c>
      <c r="E3" s="16" t="s">
        <v>3</v>
      </c>
      <c r="F3" s="26"/>
      <c r="G3" s="47" t="s">
        <v>3</v>
      </c>
      <c r="H3" s="16" t="s">
        <v>18</v>
      </c>
      <c r="I3" s="23" t="s">
        <v>18</v>
      </c>
      <c r="J3" s="16" t="s">
        <v>18</v>
      </c>
      <c r="K3" s="23" t="s">
        <v>18</v>
      </c>
      <c r="L3" s="23" t="s">
        <v>18</v>
      </c>
      <c r="M3" s="23" t="s">
        <v>18</v>
      </c>
      <c r="N3" s="23" t="s">
        <v>18</v>
      </c>
      <c r="O3" s="23" t="s">
        <v>18</v>
      </c>
      <c r="P3" s="23" t="s">
        <v>3</v>
      </c>
      <c r="Q3" s="23" t="s">
        <v>3</v>
      </c>
      <c r="R3" s="23" t="s">
        <v>3</v>
      </c>
      <c r="S3" s="16" t="s">
        <v>3</v>
      </c>
      <c r="T3" s="2" t="s">
        <v>3</v>
      </c>
      <c r="U3" s="2" t="s">
        <v>3</v>
      </c>
      <c r="V3" s="2" t="s">
        <v>156</v>
      </c>
      <c r="W3" s="40" t="s">
        <v>157</v>
      </c>
      <c r="X3" s="2" t="s">
        <v>3</v>
      </c>
      <c r="Y3" s="16" t="s">
        <v>3</v>
      </c>
      <c r="Z3" s="16" t="s">
        <v>3</v>
      </c>
    </row>
    <row r="4" spans="1:26" s="2" customFormat="1" ht="14.25" x14ac:dyDescent="0.15">
      <c r="A4" s="16"/>
      <c r="B4" s="16" t="s">
        <v>4</v>
      </c>
      <c r="C4" s="16" t="s">
        <v>5</v>
      </c>
      <c r="D4" s="16" t="s">
        <v>29</v>
      </c>
      <c r="E4" s="16" t="s">
        <v>30</v>
      </c>
      <c r="F4" s="26"/>
      <c r="G4" s="47" t="s">
        <v>31</v>
      </c>
      <c r="H4" s="16" t="s">
        <v>32</v>
      </c>
      <c r="I4" s="23" t="s">
        <v>33</v>
      </c>
      <c r="J4" s="16" t="s">
        <v>21</v>
      </c>
      <c r="K4" s="23" t="s">
        <v>34</v>
      </c>
      <c r="L4" s="23" t="s">
        <v>19</v>
      </c>
      <c r="M4" s="23" t="s">
        <v>35</v>
      </c>
      <c r="N4" s="23" t="s">
        <v>36</v>
      </c>
      <c r="O4" s="23" t="s">
        <v>37</v>
      </c>
      <c r="P4" s="23" t="s">
        <v>38</v>
      </c>
      <c r="Q4" s="23" t="s">
        <v>39</v>
      </c>
      <c r="R4" s="23" t="s">
        <v>6</v>
      </c>
      <c r="S4" s="16" t="s">
        <v>40</v>
      </c>
      <c r="T4" s="2" t="s">
        <v>41</v>
      </c>
      <c r="U4" s="2" t="s">
        <v>42</v>
      </c>
      <c r="V4" s="2" t="s">
        <v>158</v>
      </c>
      <c r="W4" s="40" t="s">
        <v>159</v>
      </c>
      <c r="X4" s="2" t="s">
        <v>167</v>
      </c>
      <c r="Y4" s="16" t="s">
        <v>220</v>
      </c>
      <c r="Z4" s="16" t="s">
        <v>218</v>
      </c>
    </row>
    <row r="5" spans="1:26" s="2" customFormat="1" ht="14.25" x14ac:dyDescent="0.15">
      <c r="A5" s="16"/>
      <c r="B5" s="16" t="str">
        <f>IF(B3="","",IF(B3="INT","i",IF(B3="FLOAT","f",IF(B3="STRING","s"))))</f>
        <v>i</v>
      </c>
      <c r="C5" s="16" t="str">
        <f>IF(C3="","",IF(C3="INT","i",IF(C3="FLOAT","f",IF(C3="STRING","s"))))</f>
        <v>i</v>
      </c>
      <c r="D5" s="16" t="str">
        <f>IF(D3="","",IF(D3="INT","i",IF(D3="FLOAT","f",IF(D3="STRING","s"))))</f>
        <v>i</v>
      </c>
      <c r="E5" s="16" t="s">
        <v>10</v>
      </c>
      <c r="F5" s="26"/>
      <c r="G5" s="47" t="s">
        <v>10</v>
      </c>
      <c r="H5" s="16" t="str">
        <f>IF(H3="","",IF(H3="INT","i",IF(H3="FLOAT","f",IF(H3="STRING","s"))))</f>
        <v>s</v>
      </c>
      <c r="I5" s="23" t="str">
        <f>IF(I3="","",IF(I3="INT","i",IF(I3="FLOAT","f",IF(I3="STRING","s"))))</f>
        <v>s</v>
      </c>
      <c r="J5" s="16" t="s">
        <v>22</v>
      </c>
      <c r="K5" s="23" t="s">
        <v>22</v>
      </c>
      <c r="L5" s="23" t="s">
        <v>22</v>
      </c>
      <c r="M5" s="23" t="s">
        <v>22</v>
      </c>
      <c r="N5" s="23" t="s">
        <v>22</v>
      </c>
      <c r="O5" s="23" t="s">
        <v>22</v>
      </c>
      <c r="P5" s="23" t="s">
        <v>10</v>
      </c>
      <c r="Q5" s="23" t="s">
        <v>10</v>
      </c>
      <c r="R5" s="23" t="s">
        <v>10</v>
      </c>
      <c r="S5" s="16" t="s">
        <v>10</v>
      </c>
      <c r="T5" s="2" t="s">
        <v>10</v>
      </c>
      <c r="U5" s="2" t="s">
        <v>10</v>
      </c>
      <c r="V5" s="2" t="s">
        <v>154</v>
      </c>
      <c r="W5" s="40" t="s">
        <v>153</v>
      </c>
      <c r="X5" s="2" t="s">
        <v>10</v>
      </c>
      <c r="Y5" s="16" t="s">
        <v>10</v>
      </c>
      <c r="Z5" s="16" t="s">
        <v>10</v>
      </c>
    </row>
    <row r="6" spans="1:26" s="2" customFormat="1" ht="14.25" x14ac:dyDescent="0.15">
      <c r="A6" s="16" t="s">
        <v>1</v>
      </c>
      <c r="B6" s="16" t="str">
        <f>B5&amp;B4</f>
        <v>iID</v>
      </c>
      <c r="C6" s="16" t="str">
        <f>C5&amp;C4</f>
        <v>iTaskId</v>
      </c>
      <c r="D6" s="16" t="str">
        <f t="shared" ref="D6:I6" si="0">D5&amp;D4</f>
        <v>iNextTaskId</v>
      </c>
      <c r="E6" s="16" t="str">
        <f t="shared" si="0"/>
        <v>iTaskType</v>
      </c>
      <c r="F6" s="26"/>
      <c r="G6" s="47" t="str">
        <f>G5&amp;G4</f>
        <v>iTaskSubType</v>
      </c>
      <c r="H6" s="16" t="str">
        <f t="shared" si="0"/>
        <v>sTaskName</v>
      </c>
      <c r="I6" s="23" t="str">
        <f t="shared" si="0"/>
        <v>sTaskDesc</v>
      </c>
      <c r="J6" s="16" t="str">
        <f>J5&amp;J4</f>
        <v>sJumpTo</v>
      </c>
      <c r="K6" s="23" t="str">
        <f t="shared" ref="K6:R6" si="1">K5&amp;K4</f>
        <v>sIcon</v>
      </c>
      <c r="L6" s="23" t="str">
        <f t="shared" si="1"/>
        <v>sDesireDesc</v>
      </c>
      <c r="M6" s="23" t="str">
        <f t="shared" si="1"/>
        <v>sAcceptLimitDesc</v>
      </c>
      <c r="N6" s="23" t="str">
        <f t="shared" si="1"/>
        <v>sAwardDesc</v>
      </c>
      <c r="O6" s="23" t="str">
        <f t="shared" si="1"/>
        <v>sFinishDesc</v>
      </c>
      <c r="P6" s="23" t="str">
        <f t="shared" si="1"/>
        <v>iDateStart</v>
      </c>
      <c r="Q6" s="23" t="str">
        <f t="shared" si="1"/>
        <v>iDateEnd</v>
      </c>
      <c r="R6" s="23" t="str">
        <f t="shared" si="1"/>
        <v>iAwardType</v>
      </c>
      <c r="S6" s="16" t="str">
        <f>S5&amp;S4</f>
        <v>iGuideObjectID</v>
      </c>
      <c r="T6" s="2" t="str">
        <f>T5&amp;T4</f>
        <v>iChapter</v>
      </c>
      <c r="U6" s="2" t="str">
        <f>U5&amp;U4</f>
        <v>iFinalChapter</v>
      </c>
      <c r="V6" s="2" t="str">
        <f>V5&amp;V4</f>
        <v>iCalcRate</v>
      </c>
      <c r="W6" s="40" t="str">
        <f>W5&amp;W4</f>
        <v>sTaskDesireNum</v>
      </c>
      <c r="X6" s="2" t="s">
        <v>168</v>
      </c>
      <c r="Y6" s="16" t="str">
        <f>Y5&amp;Y4</f>
        <v>iAcceptDialog</v>
      </c>
      <c r="Z6" s="16" t="str">
        <f>Z5&amp;Z4</f>
        <v>iPreDialog</v>
      </c>
    </row>
    <row r="7" spans="1:26" s="3" customFormat="1" ht="14.25" x14ac:dyDescent="0.15">
      <c r="A7" s="16"/>
      <c r="B7" s="16" t="s">
        <v>4</v>
      </c>
      <c r="C7" s="16" t="s">
        <v>43</v>
      </c>
      <c r="D7" s="16" t="s">
        <v>44</v>
      </c>
      <c r="E7" s="16" t="s">
        <v>45</v>
      </c>
      <c r="F7" s="25" t="s">
        <v>241</v>
      </c>
      <c r="G7" s="47" t="s">
        <v>46</v>
      </c>
      <c r="H7" s="16" t="s">
        <v>47</v>
      </c>
      <c r="I7" s="23" t="s">
        <v>48</v>
      </c>
      <c r="J7" s="16" t="s">
        <v>49</v>
      </c>
      <c r="K7" s="23" t="s">
        <v>50</v>
      </c>
      <c r="L7" s="23" t="s">
        <v>51</v>
      </c>
      <c r="M7" s="23" t="s">
        <v>52</v>
      </c>
      <c r="N7" s="23" t="s">
        <v>53</v>
      </c>
      <c r="O7" s="23" t="s">
        <v>54</v>
      </c>
      <c r="P7" s="23" t="s">
        <v>55</v>
      </c>
      <c r="Q7" s="23" t="s">
        <v>56</v>
      </c>
      <c r="R7" s="23" t="s">
        <v>13</v>
      </c>
      <c r="S7" s="16" t="s">
        <v>57</v>
      </c>
      <c r="T7" s="3" t="s">
        <v>58</v>
      </c>
      <c r="U7" s="3" t="s">
        <v>59</v>
      </c>
      <c r="V7" s="3" t="s">
        <v>160</v>
      </c>
      <c r="W7" s="41" t="s">
        <v>161</v>
      </c>
      <c r="X7" s="3" t="s">
        <v>169</v>
      </c>
      <c r="Y7" s="16" t="s">
        <v>221</v>
      </c>
      <c r="Z7" s="16" t="s">
        <v>219</v>
      </c>
    </row>
    <row r="8" spans="1:26" s="3" customFormat="1" ht="14.25" x14ac:dyDescent="0.15">
      <c r="A8" s="16" t="s">
        <v>17</v>
      </c>
      <c r="B8" s="16">
        <v>0</v>
      </c>
      <c r="C8" s="16">
        <v>0</v>
      </c>
      <c r="D8" s="16">
        <v>0</v>
      </c>
      <c r="E8" s="16">
        <v>3</v>
      </c>
      <c r="F8" s="26"/>
      <c r="G8" s="47">
        <v>0</v>
      </c>
      <c r="H8" s="16">
        <v>0</v>
      </c>
      <c r="I8" s="16"/>
      <c r="J8" s="16"/>
      <c r="L8" s="16"/>
      <c r="M8" s="16"/>
      <c r="N8" s="16"/>
      <c r="O8" s="16"/>
      <c r="P8" s="16"/>
      <c r="Q8" s="16"/>
      <c r="R8" s="16">
        <v>1</v>
      </c>
      <c r="S8" s="16">
        <v>0</v>
      </c>
      <c r="T8" s="3">
        <v>0</v>
      </c>
      <c r="U8" s="3">
        <v>0</v>
      </c>
      <c r="V8" s="3">
        <v>10000</v>
      </c>
      <c r="W8" s="41" t="s">
        <v>162</v>
      </c>
      <c r="X8" s="3">
        <v>1</v>
      </c>
      <c r="Y8" s="16">
        <v>0</v>
      </c>
      <c r="Z8" s="16">
        <v>0</v>
      </c>
    </row>
    <row r="9" spans="1:26" s="65" customFormat="1" ht="69" customHeight="1" x14ac:dyDescent="0.15">
      <c r="A9" s="64"/>
      <c r="B9" s="64"/>
      <c r="C9" s="64"/>
      <c r="D9" s="64"/>
      <c r="E9" s="67" t="s">
        <v>321</v>
      </c>
      <c r="F9" s="64"/>
      <c r="G9" s="67" t="s">
        <v>322</v>
      </c>
      <c r="H9" s="64"/>
      <c r="I9" s="64"/>
      <c r="J9" s="64"/>
      <c r="L9" s="64"/>
      <c r="M9" s="64"/>
      <c r="N9" s="64"/>
      <c r="O9" s="64"/>
      <c r="P9" s="64"/>
      <c r="Q9" s="64"/>
      <c r="R9" s="67" t="s">
        <v>323</v>
      </c>
      <c r="S9" s="64"/>
      <c r="W9" s="66"/>
      <c r="X9" s="68" t="s">
        <v>324</v>
      </c>
      <c r="Y9" s="64"/>
      <c r="Z9" s="64"/>
    </row>
    <row r="10" spans="1:26" ht="14.25" x14ac:dyDescent="0.15">
      <c r="A10" s="17" t="s">
        <v>1</v>
      </c>
      <c r="B10" s="18">
        <v>10000</v>
      </c>
      <c r="C10" s="19" t="str">
        <f>IF(F10=F9,C9+1,1&amp;TEXT(F10,"00")&amp;"01")</f>
        <v>10101</v>
      </c>
      <c r="D10" s="19">
        <f t="shared" ref="D10:D80" si="2">C11</f>
        <v>10102</v>
      </c>
      <c r="E10" s="19">
        <v>3</v>
      </c>
      <c r="F10" s="4">
        <v>1</v>
      </c>
      <c r="G10" s="48">
        <v>0</v>
      </c>
      <c r="H10" s="19" t="s">
        <v>345</v>
      </c>
      <c r="I10" s="19" t="s">
        <v>560</v>
      </c>
      <c r="J10" s="19"/>
      <c r="S10" s="19">
        <v>1</v>
      </c>
      <c r="T10" s="4" t="str">
        <f>IF(F10=F9,T9,9&amp;TEXT(F10,"00"))</f>
        <v>901</v>
      </c>
      <c r="U10" s="4" t="str">
        <f>IF(T10=T11,"",1)</f>
        <v/>
      </c>
      <c r="Y10" s="19"/>
      <c r="Z10" s="19"/>
    </row>
    <row r="11" spans="1:26" ht="14.25" x14ac:dyDescent="0.15">
      <c r="A11" s="17" t="s">
        <v>1</v>
      </c>
      <c r="B11" s="18">
        <v>10001</v>
      </c>
      <c r="C11" s="19">
        <f t="shared" ref="C11:C81" si="3">IF(F11=F10,C10+1,1&amp;TEXT(F11,"00")&amp;"01")</f>
        <v>10102</v>
      </c>
      <c r="D11" s="19">
        <f t="shared" si="2"/>
        <v>10103</v>
      </c>
      <c r="E11" s="19">
        <v>3</v>
      </c>
      <c r="F11" s="4">
        <v>1</v>
      </c>
      <c r="G11" s="48">
        <v>0</v>
      </c>
      <c r="H11" s="19" t="s">
        <v>429</v>
      </c>
      <c r="I11" s="19" t="s">
        <v>502</v>
      </c>
      <c r="J11" s="19"/>
      <c r="S11" s="19">
        <v>5</v>
      </c>
      <c r="T11" s="4" t="str">
        <f t="shared" ref="T11:T81" si="4">IF(F11=F10,T10,9&amp;TEXT(F11,"00"))</f>
        <v>901</v>
      </c>
      <c r="U11" s="4" t="str">
        <f t="shared" ref="U11:U81" si="5">IF(T11=T12,"",1)</f>
        <v/>
      </c>
      <c r="Y11" s="19"/>
      <c r="Z11" s="19"/>
    </row>
    <row r="12" spans="1:26" ht="14.25" x14ac:dyDescent="0.15">
      <c r="A12" s="17" t="s">
        <v>1</v>
      </c>
      <c r="B12" s="18">
        <v>10002</v>
      </c>
      <c r="C12" s="19">
        <f t="shared" si="3"/>
        <v>10103</v>
      </c>
      <c r="D12" s="19">
        <f t="shared" si="2"/>
        <v>10104</v>
      </c>
      <c r="E12" s="19">
        <v>3</v>
      </c>
      <c r="F12" s="4">
        <v>1</v>
      </c>
      <c r="G12" s="48">
        <v>0</v>
      </c>
      <c r="H12" s="19" t="s">
        <v>430</v>
      </c>
      <c r="I12" s="19" t="s">
        <v>503</v>
      </c>
      <c r="J12" s="19"/>
      <c r="S12" s="19">
        <v>1</v>
      </c>
      <c r="T12" s="4" t="str">
        <f t="shared" si="4"/>
        <v>901</v>
      </c>
      <c r="U12" s="4" t="str">
        <f t="shared" si="5"/>
        <v/>
      </c>
      <c r="Y12" s="19"/>
      <c r="Z12" s="19"/>
    </row>
    <row r="13" spans="1:26" ht="14.25" x14ac:dyDescent="0.15">
      <c r="A13" s="17" t="s">
        <v>1</v>
      </c>
      <c r="B13" s="18">
        <v>10003</v>
      </c>
      <c r="C13" s="19">
        <f t="shared" si="3"/>
        <v>10104</v>
      </c>
      <c r="D13" s="19">
        <f t="shared" si="2"/>
        <v>10105</v>
      </c>
      <c r="E13" s="19">
        <v>3</v>
      </c>
      <c r="F13" s="4">
        <v>1</v>
      </c>
      <c r="G13" s="48">
        <v>2</v>
      </c>
      <c r="H13" s="19" t="s">
        <v>441</v>
      </c>
      <c r="I13" s="19" t="s">
        <v>561</v>
      </c>
      <c r="J13" s="19"/>
      <c r="S13" s="19">
        <v>1</v>
      </c>
      <c r="T13" s="4" t="str">
        <f t="shared" si="4"/>
        <v>901</v>
      </c>
      <c r="U13" s="4" t="str">
        <f t="shared" si="5"/>
        <v/>
      </c>
      <c r="Y13" s="19"/>
      <c r="Z13" s="19"/>
    </row>
    <row r="14" spans="1:26" ht="14.25" x14ac:dyDescent="0.15">
      <c r="A14" s="17" t="s">
        <v>1</v>
      </c>
      <c r="B14" s="18">
        <v>10004</v>
      </c>
      <c r="C14" s="19">
        <f t="shared" si="3"/>
        <v>10105</v>
      </c>
      <c r="D14" s="19">
        <f t="shared" si="2"/>
        <v>10106</v>
      </c>
      <c r="E14" s="19">
        <v>3</v>
      </c>
      <c r="F14" s="4">
        <v>1</v>
      </c>
      <c r="G14" s="48">
        <v>0</v>
      </c>
      <c r="H14" s="19" t="s">
        <v>431</v>
      </c>
      <c r="I14" s="19" t="s">
        <v>504</v>
      </c>
      <c r="J14" s="19"/>
      <c r="S14" s="19">
        <v>5</v>
      </c>
      <c r="T14" s="4" t="str">
        <f t="shared" si="4"/>
        <v>901</v>
      </c>
      <c r="U14" s="4" t="str">
        <f t="shared" si="5"/>
        <v/>
      </c>
      <c r="Y14" s="19"/>
      <c r="Z14" s="19"/>
    </row>
    <row r="15" spans="1:26" ht="14.25" x14ac:dyDescent="0.15">
      <c r="A15" s="17" t="s">
        <v>1</v>
      </c>
      <c r="B15" s="18">
        <v>10005</v>
      </c>
      <c r="C15" s="19">
        <f t="shared" si="3"/>
        <v>10106</v>
      </c>
      <c r="D15" s="19">
        <f t="shared" si="2"/>
        <v>10107</v>
      </c>
      <c r="E15" s="19">
        <v>3</v>
      </c>
      <c r="F15" s="4">
        <v>1</v>
      </c>
      <c r="G15" s="48">
        <v>1</v>
      </c>
      <c r="H15" s="19" t="s">
        <v>442</v>
      </c>
      <c r="I15" s="19" t="s">
        <v>562</v>
      </c>
      <c r="J15" s="19"/>
      <c r="S15" s="19">
        <v>5</v>
      </c>
      <c r="T15" s="4" t="str">
        <f t="shared" si="4"/>
        <v>901</v>
      </c>
      <c r="U15" s="4" t="str">
        <f t="shared" si="5"/>
        <v/>
      </c>
      <c r="Y15" s="19"/>
      <c r="Z15" s="19"/>
    </row>
    <row r="16" spans="1:26" ht="14.25" x14ac:dyDescent="0.15">
      <c r="A16" s="17" t="s">
        <v>1</v>
      </c>
      <c r="B16" s="18">
        <v>10006</v>
      </c>
      <c r="C16" s="19">
        <f t="shared" si="3"/>
        <v>10107</v>
      </c>
      <c r="D16" s="19">
        <f t="shared" si="2"/>
        <v>10108</v>
      </c>
      <c r="E16" s="19">
        <v>3</v>
      </c>
      <c r="F16" s="4">
        <v>1</v>
      </c>
      <c r="G16" s="48">
        <v>0</v>
      </c>
      <c r="H16" s="19" t="s">
        <v>563</v>
      </c>
      <c r="I16" s="19" t="s">
        <v>564</v>
      </c>
      <c r="J16" s="19"/>
      <c r="S16" s="19">
        <v>5</v>
      </c>
      <c r="T16" s="4" t="str">
        <f t="shared" si="4"/>
        <v>901</v>
      </c>
      <c r="U16" s="4" t="str">
        <f t="shared" si="5"/>
        <v/>
      </c>
      <c r="Y16" s="19"/>
      <c r="Z16" s="19"/>
    </row>
    <row r="17" spans="1:26" ht="14.25" x14ac:dyDescent="0.15">
      <c r="A17" s="17" t="s">
        <v>1</v>
      </c>
      <c r="B17" s="18">
        <v>10007</v>
      </c>
      <c r="C17" s="19">
        <f t="shared" si="3"/>
        <v>10108</v>
      </c>
      <c r="D17" s="19">
        <f t="shared" si="2"/>
        <v>10109</v>
      </c>
      <c r="E17" s="19">
        <v>3</v>
      </c>
      <c r="F17" s="4">
        <v>1</v>
      </c>
      <c r="G17" s="48">
        <v>3</v>
      </c>
      <c r="H17" s="19" t="s">
        <v>565</v>
      </c>
      <c r="I17" s="19" t="s">
        <v>505</v>
      </c>
      <c r="J17" s="19"/>
      <c r="S17" s="19">
        <v>5</v>
      </c>
      <c r="T17" s="4" t="str">
        <f t="shared" si="4"/>
        <v>901</v>
      </c>
      <c r="U17" s="4" t="str">
        <f t="shared" si="5"/>
        <v/>
      </c>
      <c r="Y17" s="19"/>
      <c r="Z17" s="19"/>
    </row>
    <row r="18" spans="1:26" ht="14.25" x14ac:dyDescent="0.15">
      <c r="A18" s="17" t="s">
        <v>1</v>
      </c>
      <c r="B18" s="18">
        <v>10008</v>
      </c>
      <c r="C18" s="19">
        <f t="shared" si="3"/>
        <v>10109</v>
      </c>
      <c r="D18" s="19">
        <f t="shared" si="2"/>
        <v>10110</v>
      </c>
      <c r="E18" s="19">
        <v>3</v>
      </c>
      <c r="F18" s="4">
        <v>1</v>
      </c>
      <c r="G18" s="48">
        <v>3</v>
      </c>
      <c r="H18" s="19" t="s">
        <v>566</v>
      </c>
      <c r="I18" s="19" t="s">
        <v>567</v>
      </c>
      <c r="J18" s="19"/>
      <c r="S18" s="19">
        <v>1</v>
      </c>
      <c r="T18" s="4" t="str">
        <f t="shared" si="4"/>
        <v>901</v>
      </c>
      <c r="U18" s="4" t="str">
        <f>IF(T18=T20,"",1)</f>
        <v/>
      </c>
      <c r="Y18" s="19"/>
      <c r="Z18" s="19"/>
    </row>
    <row r="19" spans="1:26" ht="14.25" x14ac:dyDescent="0.15">
      <c r="A19" s="17" t="s">
        <v>1</v>
      </c>
      <c r="B19" s="18">
        <v>10009</v>
      </c>
      <c r="C19" s="19">
        <f t="shared" si="3"/>
        <v>10110</v>
      </c>
      <c r="D19" s="19">
        <f t="shared" si="2"/>
        <v>10111</v>
      </c>
      <c r="E19" s="19">
        <v>3</v>
      </c>
      <c r="F19" s="4">
        <v>1</v>
      </c>
      <c r="G19" s="48">
        <v>0</v>
      </c>
      <c r="H19" s="19" t="s">
        <v>568</v>
      </c>
      <c r="I19" s="19" t="s">
        <v>569</v>
      </c>
      <c r="J19" s="19"/>
      <c r="S19" s="19">
        <v>5</v>
      </c>
      <c r="T19" s="4" t="str">
        <f t="shared" ref="T19" si="6">IF(F19=F18,T18,9&amp;TEXT(F19,"00"))</f>
        <v>901</v>
      </c>
      <c r="Y19" s="19"/>
      <c r="Z19" s="19"/>
    </row>
    <row r="20" spans="1:26" ht="14.25" x14ac:dyDescent="0.15">
      <c r="A20" s="17" t="s">
        <v>1</v>
      </c>
      <c r="B20" s="18">
        <v>10010</v>
      </c>
      <c r="C20" s="19">
        <f t="shared" si="3"/>
        <v>10111</v>
      </c>
      <c r="D20" s="19">
        <f t="shared" si="2"/>
        <v>10112</v>
      </c>
      <c r="E20" s="19">
        <v>3</v>
      </c>
      <c r="F20" s="4">
        <v>1</v>
      </c>
      <c r="G20" s="48">
        <v>1</v>
      </c>
      <c r="H20" s="19" t="s">
        <v>757</v>
      </c>
      <c r="I20" s="19" t="s">
        <v>761</v>
      </c>
      <c r="J20" s="19"/>
      <c r="S20" s="19">
        <v>1</v>
      </c>
      <c r="T20" s="4" t="str">
        <f>IF(F20=F18,T18,9&amp;TEXT(F20,"00"))</f>
        <v>901</v>
      </c>
      <c r="U20" s="4" t="str">
        <f t="shared" si="5"/>
        <v/>
      </c>
      <c r="Y20" s="19"/>
      <c r="Z20" s="19"/>
    </row>
    <row r="21" spans="1:26" ht="14.25" x14ac:dyDescent="0.15">
      <c r="A21" s="17" t="s">
        <v>1</v>
      </c>
      <c r="B21" s="18">
        <v>10011</v>
      </c>
      <c r="C21" s="19">
        <f t="shared" si="3"/>
        <v>10112</v>
      </c>
      <c r="D21" s="19">
        <f t="shared" si="2"/>
        <v>10113</v>
      </c>
      <c r="E21" s="19">
        <v>3</v>
      </c>
      <c r="F21" s="4">
        <v>1</v>
      </c>
      <c r="G21" s="48">
        <v>1</v>
      </c>
      <c r="H21" s="19" t="s">
        <v>570</v>
      </c>
      <c r="I21" s="19" t="s">
        <v>506</v>
      </c>
      <c r="S21" s="19">
        <v>5</v>
      </c>
      <c r="T21" s="4" t="str">
        <f t="shared" si="4"/>
        <v>901</v>
      </c>
      <c r="U21" s="4" t="str">
        <f t="shared" si="5"/>
        <v/>
      </c>
      <c r="Y21" s="19"/>
      <c r="Z21" s="19"/>
    </row>
    <row r="22" spans="1:26" ht="14.25" x14ac:dyDescent="0.15">
      <c r="A22" s="17" t="s">
        <v>1</v>
      </c>
      <c r="B22" s="18">
        <v>10012</v>
      </c>
      <c r="C22" s="19">
        <f t="shared" si="3"/>
        <v>10113</v>
      </c>
      <c r="D22" s="19">
        <f t="shared" si="2"/>
        <v>10114</v>
      </c>
      <c r="E22" s="19">
        <v>3</v>
      </c>
      <c r="F22" s="4">
        <v>1</v>
      </c>
      <c r="G22" s="48">
        <v>0</v>
      </c>
      <c r="H22" s="19" t="s">
        <v>571</v>
      </c>
      <c r="I22" s="19" t="s">
        <v>572</v>
      </c>
      <c r="S22" s="4">
        <v>14</v>
      </c>
      <c r="T22" s="4" t="str">
        <f t="shared" si="4"/>
        <v>901</v>
      </c>
      <c r="U22" s="4" t="str">
        <f t="shared" si="5"/>
        <v/>
      </c>
    </row>
    <row r="23" spans="1:26" ht="14.25" x14ac:dyDescent="0.15">
      <c r="A23" s="17" t="s">
        <v>1</v>
      </c>
      <c r="B23" s="18">
        <v>10013</v>
      </c>
      <c r="C23" s="19">
        <f t="shared" si="3"/>
        <v>10114</v>
      </c>
      <c r="D23" s="19">
        <f t="shared" si="2"/>
        <v>10115</v>
      </c>
      <c r="E23" s="19">
        <v>3</v>
      </c>
      <c r="F23" s="4">
        <v>1</v>
      </c>
      <c r="G23" s="48">
        <v>1</v>
      </c>
      <c r="H23" s="19" t="s">
        <v>573</v>
      </c>
      <c r="I23" s="19" t="s">
        <v>574</v>
      </c>
      <c r="K23" s="7"/>
      <c r="S23" s="4">
        <v>1</v>
      </c>
      <c r="T23" s="4" t="str">
        <f t="shared" si="4"/>
        <v>901</v>
      </c>
      <c r="U23" s="4" t="str">
        <f t="shared" si="5"/>
        <v/>
      </c>
    </row>
    <row r="24" spans="1:26" ht="14.25" x14ac:dyDescent="0.15">
      <c r="A24" s="17" t="s">
        <v>1</v>
      </c>
      <c r="B24" s="18">
        <v>10013</v>
      </c>
      <c r="C24" s="19">
        <f t="shared" si="3"/>
        <v>10115</v>
      </c>
      <c r="D24" s="19" t="str">
        <f t="shared" si="2"/>
        <v>10201</v>
      </c>
      <c r="E24" s="19">
        <v>3</v>
      </c>
      <c r="F24" s="4">
        <v>1</v>
      </c>
      <c r="G24" s="48">
        <v>3</v>
      </c>
      <c r="H24" s="19" t="s">
        <v>575</v>
      </c>
      <c r="I24" s="19" t="s">
        <v>576</v>
      </c>
      <c r="K24" s="7"/>
      <c r="S24" s="4">
        <v>1</v>
      </c>
      <c r="T24" s="4" t="str">
        <f t="shared" si="4"/>
        <v>901</v>
      </c>
      <c r="U24" s="4">
        <f t="shared" si="5"/>
        <v>1</v>
      </c>
    </row>
    <row r="25" spans="1:26" ht="14.25" x14ac:dyDescent="0.15">
      <c r="A25" s="17" t="s">
        <v>1</v>
      </c>
      <c r="B25" s="18">
        <v>10014</v>
      </c>
      <c r="C25" s="19" t="str">
        <f t="shared" si="3"/>
        <v>10201</v>
      </c>
      <c r="D25" s="19">
        <f t="shared" si="2"/>
        <v>10202</v>
      </c>
      <c r="E25" s="19">
        <v>3</v>
      </c>
      <c r="F25" s="4">
        <v>2</v>
      </c>
      <c r="G25" s="48">
        <v>0</v>
      </c>
      <c r="H25" s="19" t="s">
        <v>577</v>
      </c>
      <c r="I25" s="19" t="s">
        <v>508</v>
      </c>
      <c r="K25" s="7"/>
      <c r="S25" s="4">
        <v>1</v>
      </c>
      <c r="T25" s="4" t="str">
        <f t="shared" si="4"/>
        <v>902</v>
      </c>
      <c r="U25" s="4" t="str">
        <f t="shared" si="5"/>
        <v/>
      </c>
    </row>
    <row r="26" spans="1:26" ht="14.25" x14ac:dyDescent="0.15">
      <c r="A26" s="17" t="s">
        <v>1</v>
      </c>
      <c r="B26" s="18">
        <v>10015</v>
      </c>
      <c r="C26" s="19">
        <f t="shared" si="3"/>
        <v>10202</v>
      </c>
      <c r="D26" s="19">
        <f t="shared" si="2"/>
        <v>10203</v>
      </c>
      <c r="E26" s="19">
        <v>3</v>
      </c>
      <c r="F26" s="4">
        <v>2</v>
      </c>
      <c r="G26" s="48">
        <v>0</v>
      </c>
      <c r="H26" s="19" t="s">
        <v>578</v>
      </c>
      <c r="I26" s="19" t="s">
        <v>509</v>
      </c>
      <c r="K26" s="7"/>
      <c r="S26" s="4">
        <v>5</v>
      </c>
      <c r="T26" s="4" t="str">
        <f>IF(F26=F25,T25,9&amp;TEXT(F26,"00"))</f>
        <v>902</v>
      </c>
      <c r="U26" s="4" t="str">
        <f t="shared" si="5"/>
        <v/>
      </c>
    </row>
    <row r="27" spans="1:26" ht="14.25" x14ac:dyDescent="0.15">
      <c r="A27" s="17" t="s">
        <v>1</v>
      </c>
      <c r="B27" s="18">
        <v>10016</v>
      </c>
      <c r="C27" s="19">
        <f t="shared" si="3"/>
        <v>10203</v>
      </c>
      <c r="D27" s="19">
        <f t="shared" si="2"/>
        <v>10204</v>
      </c>
      <c r="E27" s="19">
        <v>3</v>
      </c>
      <c r="F27" s="4">
        <v>2</v>
      </c>
      <c r="G27" s="48">
        <v>3</v>
      </c>
      <c r="H27" s="19" t="s">
        <v>444</v>
      </c>
      <c r="I27" s="19" t="s">
        <v>510</v>
      </c>
      <c r="K27" s="7"/>
      <c r="S27" s="4">
        <v>5</v>
      </c>
      <c r="T27" s="4" t="str">
        <f t="shared" si="4"/>
        <v>902</v>
      </c>
      <c r="U27" s="4" t="str">
        <f t="shared" si="5"/>
        <v/>
      </c>
    </row>
    <row r="28" spans="1:26" ht="14.25" x14ac:dyDescent="0.15">
      <c r="A28" s="17" t="s">
        <v>1</v>
      </c>
      <c r="B28" s="18">
        <v>10017</v>
      </c>
      <c r="C28" s="19">
        <f t="shared" si="3"/>
        <v>10204</v>
      </c>
      <c r="D28" s="19">
        <f t="shared" si="2"/>
        <v>10205</v>
      </c>
      <c r="E28" s="19">
        <v>3</v>
      </c>
      <c r="F28" s="4">
        <v>2</v>
      </c>
      <c r="G28" s="48">
        <v>0</v>
      </c>
      <c r="H28" s="19" t="s">
        <v>579</v>
      </c>
      <c r="I28" s="19" t="s">
        <v>511</v>
      </c>
      <c r="K28" s="7"/>
      <c r="S28" s="4">
        <v>12</v>
      </c>
      <c r="T28" s="4" t="str">
        <f t="shared" si="4"/>
        <v>902</v>
      </c>
      <c r="U28" s="4" t="str">
        <f t="shared" si="5"/>
        <v/>
      </c>
    </row>
    <row r="29" spans="1:26" ht="14.25" x14ac:dyDescent="0.15">
      <c r="A29" s="17" t="s">
        <v>1</v>
      </c>
      <c r="B29" s="18">
        <v>10018</v>
      </c>
      <c r="C29" s="19">
        <f t="shared" si="3"/>
        <v>10205</v>
      </c>
      <c r="D29" s="19">
        <f t="shared" si="2"/>
        <v>10206</v>
      </c>
      <c r="E29" s="19">
        <v>3</v>
      </c>
      <c r="F29" s="4">
        <v>2</v>
      </c>
      <c r="G29" s="48">
        <v>1</v>
      </c>
      <c r="H29" s="19" t="s">
        <v>445</v>
      </c>
      <c r="I29" s="19" t="s">
        <v>514</v>
      </c>
      <c r="K29" s="7"/>
      <c r="S29" s="4">
        <v>12</v>
      </c>
      <c r="T29" s="4" t="str">
        <f t="shared" si="4"/>
        <v>902</v>
      </c>
      <c r="U29" s="4" t="str">
        <f t="shared" si="5"/>
        <v/>
      </c>
    </row>
    <row r="30" spans="1:26" ht="14.25" x14ac:dyDescent="0.15">
      <c r="A30" s="17" t="s">
        <v>1</v>
      </c>
      <c r="B30" s="18">
        <v>10019</v>
      </c>
      <c r="C30" s="19">
        <f t="shared" si="3"/>
        <v>10206</v>
      </c>
      <c r="D30" s="19">
        <f t="shared" si="2"/>
        <v>10207</v>
      </c>
      <c r="E30" s="19">
        <v>3</v>
      </c>
      <c r="F30" s="4">
        <v>2</v>
      </c>
      <c r="G30" s="48">
        <v>3</v>
      </c>
      <c r="H30" s="19" t="s">
        <v>565</v>
      </c>
      <c r="I30" s="19" t="s">
        <v>510</v>
      </c>
      <c r="K30" s="7"/>
      <c r="S30" s="4">
        <v>5</v>
      </c>
      <c r="T30" s="4" t="str">
        <f t="shared" si="4"/>
        <v>902</v>
      </c>
      <c r="U30" s="4" t="str">
        <f t="shared" si="5"/>
        <v/>
      </c>
    </row>
    <row r="31" spans="1:26" ht="14.25" x14ac:dyDescent="0.15">
      <c r="A31" s="17" t="s">
        <v>1</v>
      </c>
      <c r="B31" s="18">
        <v>10020</v>
      </c>
      <c r="C31" s="19">
        <f t="shared" si="3"/>
        <v>10207</v>
      </c>
      <c r="D31" s="19">
        <f t="shared" si="2"/>
        <v>10208</v>
      </c>
      <c r="E31" s="19">
        <v>3</v>
      </c>
      <c r="F31" s="4">
        <v>2</v>
      </c>
      <c r="G31" s="48">
        <v>0</v>
      </c>
      <c r="H31" s="19" t="s">
        <v>580</v>
      </c>
      <c r="I31" s="19" t="s">
        <v>512</v>
      </c>
      <c r="K31" s="7"/>
      <c r="S31" s="4">
        <v>5</v>
      </c>
      <c r="T31" s="4" t="str">
        <f t="shared" si="4"/>
        <v>902</v>
      </c>
      <c r="U31" s="4" t="str">
        <f t="shared" si="5"/>
        <v/>
      </c>
    </row>
    <row r="32" spans="1:26" ht="14.25" x14ac:dyDescent="0.15">
      <c r="A32" s="17" t="s">
        <v>1</v>
      </c>
      <c r="B32" s="18">
        <v>10021</v>
      </c>
      <c r="C32" s="19">
        <f t="shared" si="3"/>
        <v>10208</v>
      </c>
      <c r="D32" s="19">
        <f t="shared" si="2"/>
        <v>10209</v>
      </c>
      <c r="E32" s="19">
        <v>3</v>
      </c>
      <c r="F32" s="4">
        <v>2</v>
      </c>
      <c r="G32" s="48">
        <v>0</v>
      </c>
      <c r="H32" s="19" t="s">
        <v>581</v>
      </c>
      <c r="I32" s="19" t="s">
        <v>513</v>
      </c>
      <c r="K32" s="7"/>
      <c r="S32" s="4">
        <v>5</v>
      </c>
      <c r="T32" s="4" t="str">
        <f t="shared" si="4"/>
        <v>902</v>
      </c>
      <c r="U32" s="4" t="str">
        <f t="shared" si="5"/>
        <v/>
      </c>
    </row>
    <row r="33" spans="1:21" ht="14.25" x14ac:dyDescent="0.15">
      <c r="A33" s="17" t="s">
        <v>1</v>
      </c>
      <c r="B33" s="18">
        <v>10022</v>
      </c>
      <c r="C33" s="19">
        <f t="shared" si="3"/>
        <v>10209</v>
      </c>
      <c r="D33" s="19">
        <f t="shared" si="2"/>
        <v>10210</v>
      </c>
      <c r="E33" s="19">
        <v>3</v>
      </c>
      <c r="F33" s="4">
        <v>2</v>
      </c>
      <c r="G33" s="48">
        <v>1</v>
      </c>
      <c r="H33" s="19" t="s">
        <v>757</v>
      </c>
      <c r="I33" s="19" t="s">
        <v>582</v>
      </c>
      <c r="K33" s="7"/>
      <c r="S33" s="4">
        <v>1</v>
      </c>
      <c r="T33" s="4" t="str">
        <f t="shared" si="4"/>
        <v>902</v>
      </c>
      <c r="U33" s="4" t="str">
        <f t="shared" si="5"/>
        <v/>
      </c>
    </row>
    <row r="34" spans="1:21" ht="14.25" x14ac:dyDescent="0.15">
      <c r="A34" s="17" t="s">
        <v>1</v>
      </c>
      <c r="B34" s="18">
        <v>10023</v>
      </c>
      <c r="C34" s="19">
        <f t="shared" si="3"/>
        <v>10210</v>
      </c>
      <c r="D34" s="19">
        <f t="shared" si="2"/>
        <v>10211</v>
      </c>
      <c r="E34" s="19">
        <v>3</v>
      </c>
      <c r="F34" s="4">
        <v>2</v>
      </c>
      <c r="G34" s="48">
        <v>3</v>
      </c>
      <c r="H34" s="19" t="s">
        <v>565</v>
      </c>
      <c r="I34" s="19" t="s">
        <v>510</v>
      </c>
      <c r="K34" s="7"/>
      <c r="S34" s="4">
        <v>12</v>
      </c>
      <c r="T34" s="4" t="str">
        <f t="shared" si="4"/>
        <v>902</v>
      </c>
      <c r="U34" s="4" t="str">
        <f t="shared" si="5"/>
        <v/>
      </c>
    </row>
    <row r="35" spans="1:21" ht="14.25" x14ac:dyDescent="0.15">
      <c r="A35" s="17" t="s">
        <v>1</v>
      </c>
      <c r="B35" s="18">
        <v>10024</v>
      </c>
      <c r="C35" s="19">
        <f t="shared" si="3"/>
        <v>10211</v>
      </c>
      <c r="D35" s="19">
        <f t="shared" si="2"/>
        <v>10212</v>
      </c>
      <c r="E35" s="19">
        <v>3</v>
      </c>
      <c r="F35" s="4">
        <v>2</v>
      </c>
      <c r="G35" s="48">
        <v>1</v>
      </c>
      <c r="H35" s="19" t="s">
        <v>755</v>
      </c>
      <c r="I35" s="19" t="s">
        <v>762</v>
      </c>
      <c r="K35" s="7"/>
      <c r="S35" s="4">
        <v>5</v>
      </c>
      <c r="T35" s="4" t="str">
        <f t="shared" si="4"/>
        <v>902</v>
      </c>
      <c r="U35" s="4" t="str">
        <f t="shared" si="5"/>
        <v/>
      </c>
    </row>
    <row r="36" spans="1:21" ht="14.25" x14ac:dyDescent="0.15">
      <c r="A36" s="17" t="s">
        <v>1</v>
      </c>
      <c r="B36" s="18">
        <v>10025</v>
      </c>
      <c r="C36" s="19">
        <f t="shared" si="3"/>
        <v>10212</v>
      </c>
      <c r="D36" s="19">
        <f t="shared" si="2"/>
        <v>10213</v>
      </c>
      <c r="E36" s="19">
        <v>3</v>
      </c>
      <c r="F36" s="4">
        <v>2</v>
      </c>
      <c r="G36" s="48">
        <v>0</v>
      </c>
      <c r="H36" s="19" t="s">
        <v>583</v>
      </c>
      <c r="I36" s="19" t="s">
        <v>515</v>
      </c>
      <c r="K36" s="7"/>
      <c r="S36" s="4">
        <v>3</v>
      </c>
      <c r="T36" s="4" t="str">
        <f t="shared" si="4"/>
        <v>902</v>
      </c>
      <c r="U36" s="4" t="str">
        <f t="shared" si="5"/>
        <v/>
      </c>
    </row>
    <row r="37" spans="1:21" ht="14.25" x14ac:dyDescent="0.15">
      <c r="A37" s="17" t="s">
        <v>1</v>
      </c>
      <c r="B37" s="18">
        <v>10026</v>
      </c>
      <c r="C37" s="19">
        <f t="shared" si="3"/>
        <v>10213</v>
      </c>
      <c r="D37" s="19">
        <f t="shared" si="2"/>
        <v>10214</v>
      </c>
      <c r="E37" s="19">
        <v>3</v>
      </c>
      <c r="F37" s="4">
        <v>2</v>
      </c>
      <c r="G37" s="48">
        <v>3</v>
      </c>
      <c r="H37" s="19" t="s">
        <v>507</v>
      </c>
      <c r="I37" s="19" t="s">
        <v>529</v>
      </c>
      <c r="K37" s="7"/>
      <c r="S37" s="4">
        <v>3</v>
      </c>
      <c r="T37" s="4" t="str">
        <f t="shared" si="4"/>
        <v>902</v>
      </c>
      <c r="U37" s="4" t="str">
        <f t="shared" si="5"/>
        <v/>
      </c>
    </row>
    <row r="38" spans="1:21" ht="14.25" x14ac:dyDescent="0.15">
      <c r="A38" s="17" t="s">
        <v>1</v>
      </c>
      <c r="B38" s="18">
        <v>10027</v>
      </c>
      <c r="C38" s="19">
        <f t="shared" si="3"/>
        <v>10214</v>
      </c>
      <c r="D38" s="19">
        <f t="shared" si="2"/>
        <v>10215</v>
      </c>
      <c r="E38" s="19">
        <v>3</v>
      </c>
      <c r="F38" s="4">
        <v>2</v>
      </c>
      <c r="G38" s="48">
        <v>0</v>
      </c>
      <c r="H38" s="19" t="s">
        <v>584</v>
      </c>
      <c r="I38" s="19" t="s">
        <v>516</v>
      </c>
      <c r="K38" s="7"/>
      <c r="S38" s="4">
        <v>12</v>
      </c>
      <c r="T38" s="4" t="str">
        <f t="shared" si="4"/>
        <v>902</v>
      </c>
      <c r="U38" s="4" t="str">
        <f t="shared" si="5"/>
        <v/>
      </c>
    </row>
    <row r="39" spans="1:21" ht="14.25" x14ac:dyDescent="0.15">
      <c r="A39" s="17" t="s">
        <v>1</v>
      </c>
      <c r="B39" s="18">
        <v>10028</v>
      </c>
      <c r="C39" s="19">
        <f t="shared" si="3"/>
        <v>10215</v>
      </c>
      <c r="D39" s="19">
        <f t="shared" si="2"/>
        <v>10216</v>
      </c>
      <c r="E39" s="19">
        <v>3</v>
      </c>
      <c r="F39" s="4">
        <v>2</v>
      </c>
      <c r="G39" s="48">
        <v>1</v>
      </c>
      <c r="H39" s="19" t="s">
        <v>445</v>
      </c>
      <c r="I39" s="19" t="s">
        <v>514</v>
      </c>
      <c r="K39" s="7"/>
      <c r="S39" s="4">
        <v>1</v>
      </c>
      <c r="T39" s="4" t="str">
        <f t="shared" si="4"/>
        <v>902</v>
      </c>
      <c r="U39" s="4" t="str">
        <f t="shared" si="5"/>
        <v/>
      </c>
    </row>
    <row r="40" spans="1:21" ht="14.25" x14ac:dyDescent="0.15">
      <c r="A40" s="17" t="s">
        <v>1</v>
      </c>
      <c r="B40" s="18">
        <v>10029</v>
      </c>
      <c r="C40" s="19">
        <f t="shared" si="3"/>
        <v>10216</v>
      </c>
      <c r="D40" s="19">
        <f t="shared" si="2"/>
        <v>10217</v>
      </c>
      <c r="E40" s="19">
        <v>3</v>
      </c>
      <c r="F40" s="4">
        <v>2</v>
      </c>
      <c r="G40" s="48">
        <v>0</v>
      </c>
      <c r="H40" s="19" t="s">
        <v>586</v>
      </c>
      <c r="I40" s="19" t="s">
        <v>517</v>
      </c>
      <c r="K40" s="7"/>
      <c r="S40" s="4">
        <v>5</v>
      </c>
      <c r="T40" s="4" t="str">
        <f t="shared" si="4"/>
        <v>902</v>
      </c>
      <c r="U40" s="4" t="str">
        <f t="shared" si="5"/>
        <v/>
      </c>
    </row>
    <row r="41" spans="1:21" ht="14.25" x14ac:dyDescent="0.15">
      <c r="A41" s="17" t="s">
        <v>1</v>
      </c>
      <c r="B41" s="18">
        <v>10030</v>
      </c>
      <c r="C41" s="19">
        <f t="shared" si="3"/>
        <v>10217</v>
      </c>
      <c r="D41" s="19">
        <f t="shared" si="2"/>
        <v>10218</v>
      </c>
      <c r="E41" s="19">
        <v>3</v>
      </c>
      <c r="F41" s="4">
        <v>2</v>
      </c>
      <c r="G41" s="48">
        <v>3</v>
      </c>
      <c r="H41" s="19" t="s">
        <v>565</v>
      </c>
      <c r="I41" s="19" t="s">
        <v>510</v>
      </c>
      <c r="K41" s="7"/>
      <c r="S41" s="4">
        <v>9</v>
      </c>
      <c r="T41" s="4" t="str">
        <f t="shared" si="4"/>
        <v>902</v>
      </c>
      <c r="U41" s="4" t="str">
        <f t="shared" si="5"/>
        <v/>
      </c>
    </row>
    <row r="42" spans="1:21" ht="14.25" x14ac:dyDescent="0.15">
      <c r="A42" s="17" t="s">
        <v>1</v>
      </c>
      <c r="B42" s="18">
        <v>10031</v>
      </c>
      <c r="C42" s="19">
        <f t="shared" si="3"/>
        <v>10218</v>
      </c>
      <c r="D42" s="19">
        <f t="shared" si="2"/>
        <v>10219</v>
      </c>
      <c r="E42" s="19">
        <v>3</v>
      </c>
      <c r="F42" s="4">
        <v>2</v>
      </c>
      <c r="G42" s="48">
        <v>0</v>
      </c>
      <c r="H42" s="19" t="s">
        <v>587</v>
      </c>
      <c r="I42" s="19" t="s">
        <v>518</v>
      </c>
      <c r="K42" s="7"/>
      <c r="S42" s="4">
        <v>9</v>
      </c>
      <c r="T42" s="4" t="str">
        <f t="shared" si="4"/>
        <v>902</v>
      </c>
      <c r="U42" s="4" t="str">
        <f t="shared" si="5"/>
        <v/>
      </c>
    </row>
    <row r="43" spans="1:21" ht="14.25" x14ac:dyDescent="0.15">
      <c r="A43" s="17" t="s">
        <v>1</v>
      </c>
      <c r="B43" s="18">
        <v>10032</v>
      </c>
      <c r="C43" s="19">
        <f t="shared" si="3"/>
        <v>10219</v>
      </c>
      <c r="D43" s="19">
        <f t="shared" si="2"/>
        <v>10220</v>
      </c>
      <c r="E43" s="19">
        <v>3</v>
      </c>
      <c r="F43" s="4">
        <v>2</v>
      </c>
      <c r="G43" s="48">
        <v>0</v>
      </c>
      <c r="H43" s="19" t="s">
        <v>588</v>
      </c>
      <c r="I43" s="19" t="s">
        <v>519</v>
      </c>
      <c r="K43" s="7"/>
      <c r="S43" s="4">
        <v>9</v>
      </c>
      <c r="T43" s="4" t="str">
        <f t="shared" si="4"/>
        <v>902</v>
      </c>
      <c r="U43" s="4" t="str">
        <f t="shared" si="5"/>
        <v/>
      </c>
    </row>
    <row r="44" spans="1:21" ht="14.25" x14ac:dyDescent="0.15">
      <c r="A44" s="17" t="s">
        <v>1</v>
      </c>
      <c r="B44" s="18">
        <v>10033</v>
      </c>
      <c r="C44" s="19">
        <f t="shared" si="3"/>
        <v>10220</v>
      </c>
      <c r="D44" s="19">
        <f t="shared" si="2"/>
        <v>10221</v>
      </c>
      <c r="E44" s="19">
        <v>3</v>
      </c>
      <c r="F44" s="4">
        <v>2</v>
      </c>
      <c r="G44" s="48">
        <v>3</v>
      </c>
      <c r="H44" s="19" t="s">
        <v>507</v>
      </c>
      <c r="I44" s="19" t="s">
        <v>529</v>
      </c>
      <c r="K44" s="7"/>
      <c r="S44" s="4">
        <v>9</v>
      </c>
      <c r="T44" s="4" t="str">
        <f t="shared" si="4"/>
        <v>902</v>
      </c>
      <c r="U44" s="4" t="str">
        <f t="shared" si="5"/>
        <v/>
      </c>
    </row>
    <row r="45" spans="1:21" ht="14.25" x14ac:dyDescent="0.15">
      <c r="A45" s="17" t="s">
        <v>1</v>
      </c>
      <c r="B45" s="18">
        <v>10034</v>
      </c>
      <c r="C45" s="19">
        <f t="shared" si="3"/>
        <v>10221</v>
      </c>
      <c r="D45" s="19">
        <f t="shared" si="2"/>
        <v>10222</v>
      </c>
      <c r="E45" s="19">
        <v>3</v>
      </c>
      <c r="F45" s="4">
        <v>2</v>
      </c>
      <c r="G45" s="48">
        <v>0</v>
      </c>
      <c r="H45" s="19" t="s">
        <v>589</v>
      </c>
      <c r="I45" s="19" t="s">
        <v>520</v>
      </c>
      <c r="K45" s="7"/>
      <c r="S45" s="4">
        <v>9</v>
      </c>
      <c r="T45" s="4" t="str">
        <f t="shared" si="4"/>
        <v>902</v>
      </c>
      <c r="U45" s="4" t="str">
        <f t="shared" si="5"/>
        <v/>
      </c>
    </row>
    <row r="46" spans="1:21" ht="14.25" x14ac:dyDescent="0.15">
      <c r="A46" s="17" t="s">
        <v>1</v>
      </c>
      <c r="B46" s="18">
        <v>10035</v>
      </c>
      <c r="C46" s="19">
        <f t="shared" si="3"/>
        <v>10222</v>
      </c>
      <c r="D46" s="19">
        <f t="shared" si="2"/>
        <v>10223</v>
      </c>
      <c r="E46" s="19">
        <v>3</v>
      </c>
      <c r="F46" s="4">
        <v>2</v>
      </c>
      <c r="G46" s="48">
        <v>1</v>
      </c>
      <c r="H46" s="19" t="s">
        <v>585</v>
      </c>
      <c r="I46" s="19" t="s">
        <v>514</v>
      </c>
      <c r="K46" s="7"/>
      <c r="S46" s="4">
        <v>9</v>
      </c>
      <c r="T46" s="4" t="str">
        <f t="shared" si="4"/>
        <v>902</v>
      </c>
      <c r="U46" s="4" t="str">
        <f t="shared" si="5"/>
        <v/>
      </c>
    </row>
    <row r="47" spans="1:21" ht="14.25" x14ac:dyDescent="0.15">
      <c r="A47" s="17" t="s">
        <v>1</v>
      </c>
      <c r="B47" s="18">
        <v>10036</v>
      </c>
      <c r="C47" s="19">
        <f t="shared" si="3"/>
        <v>10223</v>
      </c>
      <c r="D47" s="19">
        <f t="shared" si="2"/>
        <v>10224</v>
      </c>
      <c r="E47" s="19">
        <v>3</v>
      </c>
      <c r="F47" s="4">
        <v>2</v>
      </c>
      <c r="G47" s="48">
        <v>0</v>
      </c>
      <c r="H47" s="19" t="s">
        <v>590</v>
      </c>
      <c r="I47" s="19" t="s">
        <v>521</v>
      </c>
      <c r="K47" s="7"/>
      <c r="S47" s="4">
        <v>6</v>
      </c>
      <c r="T47" s="4" t="str">
        <f t="shared" si="4"/>
        <v>902</v>
      </c>
      <c r="U47" s="4" t="str">
        <f t="shared" si="5"/>
        <v/>
      </c>
    </row>
    <row r="48" spans="1:21" ht="14.25" x14ac:dyDescent="0.15">
      <c r="A48" s="17" t="s">
        <v>1</v>
      </c>
      <c r="B48" s="18">
        <v>10037</v>
      </c>
      <c r="C48" s="19">
        <f t="shared" si="3"/>
        <v>10224</v>
      </c>
      <c r="D48" s="19">
        <f t="shared" si="2"/>
        <v>10225</v>
      </c>
      <c r="E48" s="19">
        <v>3</v>
      </c>
      <c r="F48" s="4">
        <v>2</v>
      </c>
      <c r="G48" s="48">
        <v>3</v>
      </c>
      <c r="H48" s="19" t="s">
        <v>565</v>
      </c>
      <c r="I48" s="19" t="s">
        <v>510</v>
      </c>
      <c r="K48" s="7"/>
      <c r="S48" s="4">
        <v>6</v>
      </c>
      <c r="T48" s="4" t="str">
        <f t="shared" si="4"/>
        <v>902</v>
      </c>
      <c r="U48" s="4" t="str">
        <f t="shared" si="5"/>
        <v/>
      </c>
    </row>
    <row r="49" spans="1:21" ht="14.25" x14ac:dyDescent="0.15">
      <c r="A49" s="17" t="s">
        <v>1</v>
      </c>
      <c r="B49" s="18">
        <v>10038</v>
      </c>
      <c r="C49" s="19">
        <f t="shared" si="3"/>
        <v>10225</v>
      </c>
      <c r="D49" s="19">
        <f t="shared" si="2"/>
        <v>10226</v>
      </c>
      <c r="E49" s="19">
        <v>3</v>
      </c>
      <c r="F49" s="4">
        <v>2</v>
      </c>
      <c r="G49" s="48">
        <v>1</v>
      </c>
      <c r="H49" s="19" t="s">
        <v>570</v>
      </c>
      <c r="I49" s="19" t="s">
        <v>506</v>
      </c>
      <c r="K49" s="7"/>
      <c r="S49" s="4">
        <v>6</v>
      </c>
      <c r="T49" s="4" t="str">
        <f t="shared" si="4"/>
        <v>902</v>
      </c>
      <c r="U49" s="4" t="str">
        <f t="shared" si="5"/>
        <v/>
      </c>
    </row>
    <row r="50" spans="1:21" ht="14.25" x14ac:dyDescent="0.15">
      <c r="A50" s="17" t="s">
        <v>1</v>
      </c>
      <c r="B50" s="18">
        <v>10039</v>
      </c>
      <c r="C50" s="19">
        <f t="shared" si="3"/>
        <v>10226</v>
      </c>
      <c r="D50" s="19">
        <f t="shared" si="2"/>
        <v>10227</v>
      </c>
      <c r="E50" s="19">
        <v>3</v>
      </c>
      <c r="F50" s="4">
        <v>2</v>
      </c>
      <c r="G50" s="48">
        <v>0</v>
      </c>
      <c r="H50" s="19" t="s">
        <v>591</v>
      </c>
      <c r="I50" s="19" t="s">
        <v>522</v>
      </c>
      <c r="K50" s="7"/>
      <c r="S50" s="4">
        <v>6</v>
      </c>
      <c r="T50" s="4" t="str">
        <f t="shared" si="4"/>
        <v>902</v>
      </c>
      <c r="U50" s="4" t="str">
        <f t="shared" si="5"/>
        <v/>
      </c>
    </row>
    <row r="51" spans="1:21" ht="14.25" x14ac:dyDescent="0.15">
      <c r="A51" s="17" t="s">
        <v>1</v>
      </c>
      <c r="B51" s="18">
        <v>10040</v>
      </c>
      <c r="C51" s="19">
        <f t="shared" si="3"/>
        <v>10227</v>
      </c>
      <c r="D51" s="19">
        <f t="shared" si="2"/>
        <v>10228</v>
      </c>
      <c r="E51" s="19">
        <v>3</v>
      </c>
      <c r="F51" s="4">
        <v>2</v>
      </c>
      <c r="G51" s="48">
        <v>0</v>
      </c>
      <c r="H51" s="19" t="s">
        <v>592</v>
      </c>
      <c r="I51" s="19" t="s">
        <v>523</v>
      </c>
      <c r="K51" s="7"/>
      <c r="S51" s="4">
        <v>6</v>
      </c>
      <c r="T51" s="4" t="str">
        <f t="shared" si="4"/>
        <v>902</v>
      </c>
      <c r="U51" s="4" t="str">
        <f t="shared" si="5"/>
        <v/>
      </c>
    </row>
    <row r="52" spans="1:21" ht="14.25" x14ac:dyDescent="0.15">
      <c r="A52" s="17" t="s">
        <v>1</v>
      </c>
      <c r="B52" s="18">
        <v>10041</v>
      </c>
      <c r="C52" s="19">
        <f t="shared" si="3"/>
        <v>10228</v>
      </c>
      <c r="D52" s="19">
        <f t="shared" si="2"/>
        <v>10229</v>
      </c>
      <c r="E52" s="19">
        <v>3</v>
      </c>
      <c r="F52" s="4">
        <v>2</v>
      </c>
      <c r="G52" s="48">
        <v>3</v>
      </c>
      <c r="H52" s="19" t="s">
        <v>507</v>
      </c>
      <c r="I52" s="19" t="s">
        <v>529</v>
      </c>
      <c r="K52" s="7"/>
      <c r="S52" s="4">
        <v>6</v>
      </c>
      <c r="T52" s="4" t="str">
        <f t="shared" si="4"/>
        <v>902</v>
      </c>
      <c r="U52" s="4" t="str">
        <f t="shared" si="5"/>
        <v/>
      </c>
    </row>
    <row r="53" spans="1:21" ht="14.25" x14ac:dyDescent="0.15">
      <c r="A53" s="17" t="s">
        <v>1</v>
      </c>
      <c r="B53" s="18">
        <v>10042</v>
      </c>
      <c r="C53" s="19">
        <f t="shared" si="3"/>
        <v>10229</v>
      </c>
      <c r="D53" s="19">
        <f t="shared" si="2"/>
        <v>10230</v>
      </c>
      <c r="E53" s="19">
        <v>3</v>
      </c>
      <c r="F53" s="4">
        <v>2</v>
      </c>
      <c r="G53" s="48">
        <v>0</v>
      </c>
      <c r="H53" s="19" t="s">
        <v>524</v>
      </c>
      <c r="I53" s="19" t="s">
        <v>525</v>
      </c>
      <c r="K53" s="7"/>
      <c r="S53" s="4">
        <v>1</v>
      </c>
      <c r="T53" s="4" t="str">
        <f t="shared" si="4"/>
        <v>902</v>
      </c>
      <c r="U53" s="4" t="str">
        <f t="shared" si="5"/>
        <v/>
      </c>
    </row>
    <row r="54" spans="1:21" ht="14.25" x14ac:dyDescent="0.15">
      <c r="A54" s="17" t="s">
        <v>1</v>
      </c>
      <c r="B54" s="18">
        <v>10043</v>
      </c>
      <c r="C54" s="19">
        <f t="shared" si="3"/>
        <v>10230</v>
      </c>
      <c r="D54" s="19">
        <f t="shared" si="2"/>
        <v>10231</v>
      </c>
      <c r="E54" s="19">
        <v>3</v>
      </c>
      <c r="F54" s="4">
        <v>2</v>
      </c>
      <c r="G54" s="48">
        <v>0</v>
      </c>
      <c r="H54" s="19" t="s">
        <v>593</v>
      </c>
      <c r="I54" s="19" t="s">
        <v>526</v>
      </c>
      <c r="K54" s="7"/>
      <c r="S54" s="4">
        <v>1</v>
      </c>
      <c r="T54" s="4" t="str">
        <f t="shared" si="4"/>
        <v>902</v>
      </c>
    </row>
    <row r="55" spans="1:21" ht="14.25" x14ac:dyDescent="0.15">
      <c r="A55" s="17" t="s">
        <v>1</v>
      </c>
      <c r="B55" s="18">
        <v>10044</v>
      </c>
      <c r="C55" s="19">
        <f t="shared" ref="C55:C60" si="7">IF(F55=F54,C54+1,1&amp;TEXT(F55,"00")&amp;"01")</f>
        <v>10231</v>
      </c>
      <c r="D55" s="19">
        <f t="shared" si="2"/>
        <v>10232</v>
      </c>
      <c r="E55" s="19">
        <v>3</v>
      </c>
      <c r="F55" s="4">
        <v>2</v>
      </c>
      <c r="G55" s="48">
        <v>1</v>
      </c>
      <c r="H55" s="19" t="s">
        <v>585</v>
      </c>
      <c r="I55" s="19" t="s">
        <v>514</v>
      </c>
      <c r="K55" s="7"/>
      <c r="S55" s="4">
        <v>1</v>
      </c>
      <c r="T55" s="4" t="str">
        <f t="shared" si="4"/>
        <v>902</v>
      </c>
    </row>
    <row r="56" spans="1:21" ht="14.25" x14ac:dyDescent="0.15">
      <c r="A56" s="17" t="s">
        <v>1</v>
      </c>
      <c r="B56" s="18">
        <v>10045</v>
      </c>
      <c r="C56" s="19">
        <f t="shared" si="7"/>
        <v>10232</v>
      </c>
      <c r="D56" s="19">
        <f t="shared" si="2"/>
        <v>10233</v>
      </c>
      <c r="E56" s="19">
        <v>3</v>
      </c>
      <c r="F56" s="4">
        <v>2</v>
      </c>
      <c r="G56" s="48">
        <v>0</v>
      </c>
      <c r="H56" s="19" t="s">
        <v>594</v>
      </c>
      <c r="I56" s="19" t="s">
        <v>447</v>
      </c>
      <c r="K56" s="7"/>
      <c r="S56" s="4">
        <v>1</v>
      </c>
      <c r="T56" s="4" t="str">
        <f t="shared" si="4"/>
        <v>902</v>
      </c>
    </row>
    <row r="57" spans="1:21" ht="14.25" x14ac:dyDescent="0.15">
      <c r="A57" s="17" t="s">
        <v>1</v>
      </c>
      <c r="B57" s="18">
        <v>10046</v>
      </c>
      <c r="C57" s="19">
        <f t="shared" si="7"/>
        <v>10233</v>
      </c>
      <c r="D57" s="19">
        <f t="shared" si="2"/>
        <v>10234</v>
      </c>
      <c r="E57" s="19">
        <v>3</v>
      </c>
      <c r="F57" s="4">
        <v>2</v>
      </c>
      <c r="G57" s="48">
        <v>0</v>
      </c>
      <c r="H57" s="19" t="s">
        <v>595</v>
      </c>
      <c r="I57" s="19" t="s">
        <v>527</v>
      </c>
      <c r="K57" s="7"/>
      <c r="S57" s="4">
        <v>1</v>
      </c>
      <c r="T57" s="4" t="str">
        <f t="shared" si="4"/>
        <v>902</v>
      </c>
    </row>
    <row r="58" spans="1:21" ht="14.25" x14ac:dyDescent="0.15">
      <c r="A58" s="17" t="s">
        <v>1</v>
      </c>
      <c r="B58" s="18">
        <v>10047</v>
      </c>
      <c r="C58" s="19">
        <f t="shared" si="7"/>
        <v>10234</v>
      </c>
      <c r="D58" s="19">
        <f t="shared" si="2"/>
        <v>10235</v>
      </c>
      <c r="E58" s="19">
        <v>3</v>
      </c>
      <c r="F58" s="4">
        <v>2</v>
      </c>
      <c r="G58" s="48">
        <v>3</v>
      </c>
      <c r="H58" s="19" t="s">
        <v>565</v>
      </c>
      <c r="I58" s="19" t="s">
        <v>510</v>
      </c>
      <c r="K58" s="7"/>
      <c r="S58" s="4">
        <v>1</v>
      </c>
      <c r="T58" s="4" t="str">
        <f t="shared" si="4"/>
        <v>902</v>
      </c>
    </row>
    <row r="59" spans="1:21" ht="14.25" x14ac:dyDescent="0.15">
      <c r="A59" s="17" t="s">
        <v>1</v>
      </c>
      <c r="B59" s="18">
        <v>10048</v>
      </c>
      <c r="C59" s="19">
        <f t="shared" si="7"/>
        <v>10235</v>
      </c>
      <c r="D59" s="19">
        <f t="shared" si="2"/>
        <v>10236</v>
      </c>
      <c r="E59" s="19">
        <v>3</v>
      </c>
      <c r="F59" s="4">
        <v>2</v>
      </c>
      <c r="G59" s="48">
        <v>0</v>
      </c>
      <c r="H59" s="19" t="s">
        <v>596</v>
      </c>
      <c r="I59" s="19" t="s">
        <v>528</v>
      </c>
      <c r="K59" s="7"/>
      <c r="S59" s="4">
        <v>1</v>
      </c>
      <c r="T59" s="4" t="str">
        <f t="shared" si="4"/>
        <v>902</v>
      </c>
    </row>
    <row r="60" spans="1:21" ht="14.25" x14ac:dyDescent="0.15">
      <c r="A60" s="17" t="s">
        <v>1</v>
      </c>
      <c r="B60" s="18">
        <v>10049</v>
      </c>
      <c r="C60" s="19">
        <f t="shared" si="7"/>
        <v>10236</v>
      </c>
      <c r="D60" s="19" t="str">
        <f t="shared" si="2"/>
        <v>10301</v>
      </c>
      <c r="E60" s="19">
        <v>3</v>
      </c>
      <c r="F60" s="4">
        <v>2</v>
      </c>
      <c r="G60" s="48">
        <v>3</v>
      </c>
      <c r="H60" s="19" t="s">
        <v>575</v>
      </c>
      <c r="I60" s="19" t="s">
        <v>529</v>
      </c>
      <c r="K60" s="7"/>
      <c r="S60" s="4">
        <v>1</v>
      </c>
      <c r="T60" s="4" t="str">
        <f t="shared" si="4"/>
        <v>902</v>
      </c>
      <c r="U60" s="4">
        <v>1</v>
      </c>
    </row>
    <row r="61" spans="1:21" ht="14.25" x14ac:dyDescent="0.15">
      <c r="A61" s="17" t="s">
        <v>1</v>
      </c>
      <c r="B61" s="18">
        <v>10050</v>
      </c>
      <c r="C61" s="19" t="str">
        <f t="shared" ref="C61" si="8">IF(F61=F60,C60+1,1&amp;TEXT(F61,"00")&amp;"01")</f>
        <v>10301</v>
      </c>
      <c r="D61" s="19">
        <f t="shared" si="2"/>
        <v>10302</v>
      </c>
      <c r="E61" s="19">
        <v>3</v>
      </c>
      <c r="F61" s="4">
        <v>3</v>
      </c>
      <c r="G61" s="48">
        <v>0</v>
      </c>
      <c r="H61" s="19" t="s">
        <v>597</v>
      </c>
      <c r="I61" s="19" t="s">
        <v>530</v>
      </c>
      <c r="S61" s="4">
        <v>1</v>
      </c>
      <c r="T61" s="4" t="str">
        <f>IF(F61=F54,T54,9&amp;TEXT(F61,"00"))</f>
        <v>903</v>
      </c>
      <c r="U61" s="4" t="str">
        <f t="shared" si="5"/>
        <v/>
      </c>
    </row>
    <row r="62" spans="1:21" ht="14.25" x14ac:dyDescent="0.15">
      <c r="A62" s="17" t="s">
        <v>1</v>
      </c>
      <c r="B62" s="18">
        <v>10051</v>
      </c>
      <c r="C62" s="19">
        <f t="shared" si="3"/>
        <v>10302</v>
      </c>
      <c r="D62" s="19">
        <f t="shared" si="2"/>
        <v>10303</v>
      </c>
      <c r="E62" s="19">
        <v>3</v>
      </c>
      <c r="F62" s="4">
        <v>3</v>
      </c>
      <c r="G62" s="48">
        <v>1</v>
      </c>
      <c r="H62" s="19" t="s">
        <v>445</v>
      </c>
      <c r="I62" s="19" t="s">
        <v>514</v>
      </c>
      <c r="S62" s="4">
        <v>3</v>
      </c>
      <c r="T62" s="4" t="str">
        <f t="shared" si="4"/>
        <v>903</v>
      </c>
      <c r="U62" s="4" t="str">
        <f t="shared" si="5"/>
        <v/>
      </c>
    </row>
    <row r="63" spans="1:21" ht="14.25" x14ac:dyDescent="0.15">
      <c r="A63" s="17" t="s">
        <v>1</v>
      </c>
      <c r="B63" s="18">
        <v>10052</v>
      </c>
      <c r="C63" s="19">
        <f t="shared" si="3"/>
        <v>10303</v>
      </c>
      <c r="D63" s="19">
        <f t="shared" si="2"/>
        <v>10304</v>
      </c>
      <c r="E63" s="19">
        <v>3</v>
      </c>
      <c r="F63" s="4">
        <v>3</v>
      </c>
      <c r="G63" s="48">
        <v>0</v>
      </c>
      <c r="H63" s="19" t="s">
        <v>598</v>
      </c>
      <c r="I63" s="19" t="s">
        <v>531</v>
      </c>
      <c r="S63" s="4">
        <v>12</v>
      </c>
      <c r="T63" s="4" t="str">
        <f t="shared" si="4"/>
        <v>903</v>
      </c>
      <c r="U63" s="4" t="str">
        <f t="shared" si="5"/>
        <v/>
      </c>
    </row>
    <row r="64" spans="1:21" ht="14.25" x14ac:dyDescent="0.15">
      <c r="A64" s="17" t="s">
        <v>1</v>
      </c>
      <c r="B64" s="18">
        <v>10053</v>
      </c>
      <c r="C64" s="19">
        <f t="shared" si="3"/>
        <v>10304</v>
      </c>
      <c r="D64" s="19">
        <f t="shared" si="2"/>
        <v>10305</v>
      </c>
      <c r="E64" s="19">
        <v>3</v>
      </c>
      <c r="F64" s="4">
        <v>3</v>
      </c>
      <c r="G64" s="48">
        <v>0</v>
      </c>
      <c r="H64" s="19" t="s">
        <v>532</v>
      </c>
      <c r="I64" s="19" t="s">
        <v>533</v>
      </c>
      <c r="S64" s="4">
        <v>3</v>
      </c>
      <c r="T64" s="4" t="str">
        <f t="shared" si="4"/>
        <v>903</v>
      </c>
      <c r="U64" s="4" t="str">
        <f t="shared" si="5"/>
        <v/>
      </c>
    </row>
    <row r="65" spans="1:21" ht="14.25" x14ac:dyDescent="0.15">
      <c r="A65" s="17" t="s">
        <v>1</v>
      </c>
      <c r="B65" s="18">
        <v>10054</v>
      </c>
      <c r="C65" s="19">
        <f t="shared" si="3"/>
        <v>10305</v>
      </c>
      <c r="D65" s="19">
        <f t="shared" si="2"/>
        <v>10306</v>
      </c>
      <c r="E65" s="19">
        <v>3</v>
      </c>
      <c r="F65" s="4">
        <v>3</v>
      </c>
      <c r="G65" s="48">
        <v>0</v>
      </c>
      <c r="H65" s="19" t="s">
        <v>599</v>
      </c>
      <c r="I65" s="19" t="s">
        <v>534</v>
      </c>
      <c r="S65" s="4">
        <v>3</v>
      </c>
      <c r="T65" s="4" t="str">
        <f t="shared" si="4"/>
        <v>903</v>
      </c>
      <c r="U65" s="4" t="str">
        <f t="shared" si="5"/>
        <v/>
      </c>
    </row>
    <row r="66" spans="1:21" ht="14.25" x14ac:dyDescent="0.15">
      <c r="A66" s="17" t="s">
        <v>1</v>
      </c>
      <c r="B66" s="18">
        <v>10055</v>
      </c>
      <c r="C66" s="19">
        <f t="shared" si="3"/>
        <v>10306</v>
      </c>
      <c r="D66" s="19">
        <f t="shared" si="2"/>
        <v>10307</v>
      </c>
      <c r="E66" s="19">
        <v>3</v>
      </c>
      <c r="F66" s="4">
        <v>3</v>
      </c>
      <c r="G66" s="48">
        <v>3</v>
      </c>
      <c r="H66" s="19" t="s">
        <v>565</v>
      </c>
      <c r="I66" s="19" t="s">
        <v>510</v>
      </c>
      <c r="S66" s="4">
        <v>12</v>
      </c>
      <c r="T66" s="4" t="str">
        <f t="shared" si="4"/>
        <v>903</v>
      </c>
      <c r="U66" s="4" t="str">
        <f t="shared" si="5"/>
        <v/>
      </c>
    </row>
    <row r="67" spans="1:21" ht="14.25" x14ac:dyDescent="0.15">
      <c r="A67" s="17" t="s">
        <v>1</v>
      </c>
      <c r="B67" s="18">
        <v>10056</v>
      </c>
      <c r="C67" s="19">
        <f t="shared" si="3"/>
        <v>10307</v>
      </c>
      <c r="D67" s="19">
        <f t="shared" si="2"/>
        <v>10308</v>
      </c>
      <c r="E67" s="19">
        <v>3</v>
      </c>
      <c r="F67" s="4">
        <v>3</v>
      </c>
      <c r="G67" s="48">
        <v>0</v>
      </c>
      <c r="H67" s="19" t="s">
        <v>600</v>
      </c>
      <c r="I67" s="19" t="s">
        <v>535</v>
      </c>
      <c r="K67" s="7"/>
      <c r="S67" s="4">
        <v>14</v>
      </c>
      <c r="T67" s="4" t="str">
        <f t="shared" si="4"/>
        <v>903</v>
      </c>
      <c r="U67" s="4" t="str">
        <f t="shared" si="5"/>
        <v/>
      </c>
    </row>
    <row r="68" spans="1:21" ht="14.25" x14ac:dyDescent="0.15">
      <c r="A68" s="17" t="s">
        <v>1</v>
      </c>
      <c r="B68" s="18">
        <v>10057</v>
      </c>
      <c r="C68" s="19">
        <f t="shared" si="3"/>
        <v>10308</v>
      </c>
      <c r="D68" s="19">
        <f t="shared" si="2"/>
        <v>10309</v>
      </c>
      <c r="E68" s="19">
        <v>3</v>
      </c>
      <c r="F68" s="4">
        <v>3</v>
      </c>
      <c r="G68" s="48">
        <v>0</v>
      </c>
      <c r="H68" s="19" t="s">
        <v>601</v>
      </c>
      <c r="I68" s="19" t="s">
        <v>536</v>
      </c>
      <c r="K68" s="7"/>
      <c r="S68" s="4">
        <v>7</v>
      </c>
      <c r="T68" s="4" t="str">
        <f t="shared" si="4"/>
        <v>903</v>
      </c>
      <c r="U68" s="4" t="str">
        <f t="shared" si="5"/>
        <v/>
      </c>
    </row>
    <row r="69" spans="1:21" ht="14.25" x14ac:dyDescent="0.15">
      <c r="A69" s="17" t="s">
        <v>1</v>
      </c>
      <c r="B69" s="18">
        <v>10058</v>
      </c>
      <c r="C69" s="19">
        <f t="shared" si="3"/>
        <v>10309</v>
      </c>
      <c r="D69" s="19">
        <f t="shared" si="2"/>
        <v>10310</v>
      </c>
      <c r="E69" s="19">
        <v>3</v>
      </c>
      <c r="F69" s="4">
        <v>3</v>
      </c>
      <c r="G69" s="48">
        <v>3</v>
      </c>
      <c r="H69" s="19" t="s">
        <v>463</v>
      </c>
      <c r="I69" s="75" t="s">
        <v>529</v>
      </c>
      <c r="K69" s="7"/>
      <c r="S69" s="4">
        <v>1</v>
      </c>
      <c r="T69" s="4" t="str">
        <f t="shared" si="4"/>
        <v>903</v>
      </c>
      <c r="U69" s="4" t="str">
        <f t="shared" si="5"/>
        <v/>
      </c>
    </row>
    <row r="70" spans="1:21" ht="14.25" x14ac:dyDescent="0.15">
      <c r="A70" s="17" t="s">
        <v>1</v>
      </c>
      <c r="B70" s="18">
        <v>10059</v>
      </c>
      <c r="C70" s="19">
        <f t="shared" si="3"/>
        <v>10310</v>
      </c>
      <c r="D70" s="19">
        <f t="shared" si="2"/>
        <v>10311</v>
      </c>
      <c r="E70" s="19">
        <v>3</v>
      </c>
      <c r="F70" s="4">
        <v>3</v>
      </c>
      <c r="G70" s="48">
        <v>0</v>
      </c>
      <c r="H70" s="19" t="s">
        <v>602</v>
      </c>
      <c r="I70" s="19" t="s">
        <v>537</v>
      </c>
      <c r="K70" s="7"/>
      <c r="S70" s="4">
        <v>13</v>
      </c>
      <c r="T70" s="4" t="str">
        <f t="shared" si="4"/>
        <v>903</v>
      </c>
      <c r="U70" s="4" t="str">
        <f t="shared" si="5"/>
        <v/>
      </c>
    </row>
    <row r="71" spans="1:21" ht="14.25" x14ac:dyDescent="0.15">
      <c r="A71" s="17" t="s">
        <v>1</v>
      </c>
      <c r="B71" s="18">
        <v>10060</v>
      </c>
      <c r="C71" s="19">
        <f t="shared" si="3"/>
        <v>10311</v>
      </c>
      <c r="D71" s="19">
        <f t="shared" si="2"/>
        <v>10312</v>
      </c>
      <c r="E71" s="19">
        <v>3</v>
      </c>
      <c r="F71" s="4">
        <v>3</v>
      </c>
      <c r="G71" s="48">
        <v>0</v>
      </c>
      <c r="H71" s="19" t="s">
        <v>603</v>
      </c>
      <c r="I71" s="19" t="s">
        <v>538</v>
      </c>
      <c r="K71" s="7"/>
      <c r="S71" s="4">
        <v>13</v>
      </c>
      <c r="T71" s="4" t="str">
        <f t="shared" si="4"/>
        <v>903</v>
      </c>
      <c r="U71" s="4" t="str">
        <f t="shared" si="5"/>
        <v/>
      </c>
    </row>
    <row r="72" spans="1:21" ht="14.25" x14ac:dyDescent="0.15">
      <c r="A72" s="17" t="s">
        <v>1</v>
      </c>
      <c r="B72" s="18">
        <v>10061</v>
      </c>
      <c r="C72" s="19">
        <f t="shared" si="3"/>
        <v>10312</v>
      </c>
      <c r="D72" s="19">
        <f t="shared" si="2"/>
        <v>10313</v>
      </c>
      <c r="E72" s="19">
        <v>3</v>
      </c>
      <c r="F72" s="4">
        <v>3</v>
      </c>
      <c r="G72" s="48">
        <v>3</v>
      </c>
      <c r="H72" s="19" t="s">
        <v>757</v>
      </c>
      <c r="I72" s="19" t="s">
        <v>763</v>
      </c>
      <c r="K72" s="7"/>
      <c r="S72" s="4">
        <v>6</v>
      </c>
      <c r="T72" s="4" t="str">
        <f t="shared" si="4"/>
        <v>903</v>
      </c>
      <c r="U72" s="4" t="str">
        <f t="shared" si="5"/>
        <v/>
      </c>
    </row>
    <row r="73" spans="1:21" ht="14.25" x14ac:dyDescent="0.15">
      <c r="A73" s="17" t="s">
        <v>1</v>
      </c>
      <c r="B73" s="18">
        <v>10062</v>
      </c>
      <c r="C73" s="19">
        <f t="shared" si="3"/>
        <v>10313</v>
      </c>
      <c r="D73" s="19">
        <f t="shared" si="2"/>
        <v>10314</v>
      </c>
      <c r="E73" s="19">
        <v>3</v>
      </c>
      <c r="F73" s="4">
        <v>3</v>
      </c>
      <c r="G73" s="48">
        <v>0</v>
      </c>
      <c r="H73" s="19" t="s">
        <v>604</v>
      </c>
      <c r="I73" s="19" t="s">
        <v>539</v>
      </c>
      <c r="K73" s="7"/>
      <c r="S73" s="4">
        <v>7</v>
      </c>
      <c r="T73" s="4" t="str">
        <f t="shared" si="4"/>
        <v>903</v>
      </c>
      <c r="U73" s="4" t="str">
        <f t="shared" si="5"/>
        <v/>
      </c>
    </row>
    <row r="74" spans="1:21" ht="14.25" x14ac:dyDescent="0.15">
      <c r="A74" s="17" t="s">
        <v>1</v>
      </c>
      <c r="B74" s="18">
        <v>10063</v>
      </c>
      <c r="C74" s="19">
        <f t="shared" si="3"/>
        <v>10314</v>
      </c>
      <c r="D74" s="19">
        <f t="shared" si="2"/>
        <v>10315</v>
      </c>
      <c r="E74" s="19">
        <v>3</v>
      </c>
      <c r="F74" s="4">
        <v>3</v>
      </c>
      <c r="G74" s="48">
        <v>1</v>
      </c>
      <c r="H74" s="19" t="s">
        <v>445</v>
      </c>
      <c r="I74" s="19" t="s">
        <v>514</v>
      </c>
      <c r="K74" s="7"/>
      <c r="S74" s="4">
        <v>6</v>
      </c>
      <c r="T74" s="4" t="str">
        <f t="shared" si="4"/>
        <v>903</v>
      </c>
      <c r="U74" s="4" t="str">
        <f t="shared" si="5"/>
        <v/>
      </c>
    </row>
    <row r="75" spans="1:21" ht="14.25" x14ac:dyDescent="0.15">
      <c r="A75" s="17" t="s">
        <v>1</v>
      </c>
      <c r="B75" s="18">
        <v>10064</v>
      </c>
      <c r="C75" s="19">
        <f t="shared" si="3"/>
        <v>10315</v>
      </c>
      <c r="D75" s="19">
        <f t="shared" si="2"/>
        <v>10316</v>
      </c>
      <c r="E75" s="19">
        <v>3</v>
      </c>
      <c r="F75" s="4">
        <v>3</v>
      </c>
      <c r="G75" s="48">
        <v>0</v>
      </c>
      <c r="H75" s="19" t="s">
        <v>605</v>
      </c>
      <c r="I75" s="19" t="s">
        <v>540</v>
      </c>
      <c r="K75" s="7"/>
      <c r="S75" s="4">
        <v>7</v>
      </c>
      <c r="T75" s="4" t="str">
        <f t="shared" si="4"/>
        <v>903</v>
      </c>
      <c r="U75" s="4" t="str">
        <f t="shared" si="5"/>
        <v/>
      </c>
    </row>
    <row r="76" spans="1:21" ht="14.25" x14ac:dyDescent="0.15">
      <c r="A76" s="17" t="s">
        <v>1</v>
      </c>
      <c r="B76" s="18">
        <v>10065</v>
      </c>
      <c r="C76" s="19">
        <f t="shared" si="3"/>
        <v>10316</v>
      </c>
      <c r="D76" s="19">
        <f t="shared" si="2"/>
        <v>10317</v>
      </c>
      <c r="E76" s="19">
        <v>3</v>
      </c>
      <c r="F76" s="4">
        <v>3</v>
      </c>
      <c r="G76" s="48">
        <v>0</v>
      </c>
      <c r="H76" s="19" t="s">
        <v>606</v>
      </c>
      <c r="I76" s="19" t="s">
        <v>541</v>
      </c>
      <c r="K76" s="7"/>
      <c r="S76" s="4">
        <v>12</v>
      </c>
      <c r="T76" s="4" t="str">
        <f t="shared" si="4"/>
        <v>903</v>
      </c>
      <c r="U76" s="4" t="str">
        <f t="shared" si="5"/>
        <v/>
      </c>
    </row>
    <row r="77" spans="1:21" ht="14.25" x14ac:dyDescent="0.15">
      <c r="A77" s="17" t="s">
        <v>1</v>
      </c>
      <c r="B77" s="18">
        <v>10066</v>
      </c>
      <c r="C77" s="19">
        <f t="shared" si="3"/>
        <v>10317</v>
      </c>
      <c r="D77" s="19">
        <f t="shared" si="2"/>
        <v>10318</v>
      </c>
      <c r="E77" s="19">
        <v>3</v>
      </c>
      <c r="F77" s="4">
        <v>3</v>
      </c>
      <c r="G77" s="48">
        <v>3</v>
      </c>
      <c r="H77" s="19" t="s">
        <v>565</v>
      </c>
      <c r="I77" s="19" t="s">
        <v>510</v>
      </c>
      <c r="K77" s="7"/>
      <c r="S77" s="4">
        <v>7</v>
      </c>
      <c r="T77" s="4" t="str">
        <f t="shared" si="4"/>
        <v>903</v>
      </c>
      <c r="U77" s="4" t="str">
        <f t="shared" si="5"/>
        <v/>
      </c>
    </row>
    <row r="78" spans="1:21" ht="14.25" x14ac:dyDescent="0.15">
      <c r="A78" s="17" t="s">
        <v>1</v>
      </c>
      <c r="B78" s="18">
        <v>10067</v>
      </c>
      <c r="C78" s="19">
        <f t="shared" si="3"/>
        <v>10318</v>
      </c>
      <c r="D78" s="19">
        <f t="shared" si="2"/>
        <v>10319</v>
      </c>
      <c r="E78" s="19">
        <v>3</v>
      </c>
      <c r="F78" s="4">
        <v>3</v>
      </c>
      <c r="G78" s="48">
        <v>1</v>
      </c>
      <c r="H78" s="19" t="s">
        <v>570</v>
      </c>
      <c r="I78" s="19" t="s">
        <v>506</v>
      </c>
      <c r="K78" s="7"/>
      <c r="S78" s="4">
        <v>7</v>
      </c>
      <c r="T78" s="4" t="str">
        <f t="shared" si="4"/>
        <v>903</v>
      </c>
      <c r="U78" s="4" t="str">
        <f t="shared" si="5"/>
        <v/>
      </c>
    </row>
    <row r="79" spans="1:21" ht="14.25" x14ac:dyDescent="0.15">
      <c r="A79" s="17" t="s">
        <v>1</v>
      </c>
      <c r="B79" s="18">
        <v>10068</v>
      </c>
      <c r="C79" s="19">
        <f t="shared" si="3"/>
        <v>10319</v>
      </c>
      <c r="D79" s="19">
        <f t="shared" si="2"/>
        <v>10320</v>
      </c>
      <c r="E79" s="19">
        <v>3</v>
      </c>
      <c r="F79" s="4">
        <v>3</v>
      </c>
      <c r="G79" s="48">
        <v>0</v>
      </c>
      <c r="H79" s="19" t="s">
        <v>607</v>
      </c>
      <c r="I79" s="19" t="s">
        <v>542</v>
      </c>
      <c r="K79" s="7"/>
      <c r="S79" s="4">
        <v>7</v>
      </c>
      <c r="T79" s="4" t="str">
        <f t="shared" si="4"/>
        <v>903</v>
      </c>
      <c r="U79" s="4" t="str">
        <f t="shared" si="5"/>
        <v/>
      </c>
    </row>
    <row r="80" spans="1:21" ht="14.25" x14ac:dyDescent="0.15">
      <c r="A80" s="17" t="s">
        <v>1</v>
      </c>
      <c r="B80" s="18">
        <v>10069</v>
      </c>
      <c r="C80" s="19">
        <f t="shared" si="3"/>
        <v>10320</v>
      </c>
      <c r="D80" s="19">
        <f t="shared" si="2"/>
        <v>10321</v>
      </c>
      <c r="E80" s="19">
        <v>3</v>
      </c>
      <c r="F80" s="4">
        <v>3</v>
      </c>
      <c r="G80" s="48">
        <v>0</v>
      </c>
      <c r="H80" s="19" t="s">
        <v>608</v>
      </c>
      <c r="I80" s="19" t="s">
        <v>543</v>
      </c>
      <c r="K80" s="7"/>
      <c r="S80" s="4">
        <v>7</v>
      </c>
      <c r="T80" s="4" t="str">
        <f t="shared" si="4"/>
        <v>903</v>
      </c>
      <c r="U80" s="4" t="str">
        <f t="shared" si="5"/>
        <v/>
      </c>
    </row>
    <row r="81" spans="1:21" ht="14.25" x14ac:dyDescent="0.15">
      <c r="A81" s="17" t="s">
        <v>1</v>
      </c>
      <c r="B81" s="18">
        <v>10070</v>
      </c>
      <c r="C81" s="19">
        <f t="shared" si="3"/>
        <v>10321</v>
      </c>
      <c r="D81" s="19">
        <f t="shared" ref="D81:D126" si="9">C82</f>
        <v>10322</v>
      </c>
      <c r="E81" s="19">
        <v>3</v>
      </c>
      <c r="F81" s="4">
        <v>3</v>
      </c>
      <c r="G81" s="48">
        <v>0</v>
      </c>
      <c r="H81" s="19" t="s">
        <v>609</v>
      </c>
      <c r="I81" s="19" t="s">
        <v>544</v>
      </c>
      <c r="K81" s="7"/>
      <c r="S81" s="4">
        <v>7</v>
      </c>
      <c r="T81" s="4" t="str">
        <f t="shared" si="4"/>
        <v>903</v>
      </c>
      <c r="U81" s="4" t="str">
        <f t="shared" si="5"/>
        <v/>
      </c>
    </row>
    <row r="82" spans="1:21" ht="14.25" x14ac:dyDescent="0.15">
      <c r="A82" s="17" t="s">
        <v>1</v>
      </c>
      <c r="B82" s="18">
        <v>10071</v>
      </c>
      <c r="C82" s="19">
        <f t="shared" ref="C82:C127" si="10">IF(F82=F81,C81+1,1&amp;TEXT(F82,"00")&amp;"01")</f>
        <v>10322</v>
      </c>
      <c r="D82" s="19">
        <f t="shared" si="9"/>
        <v>10323</v>
      </c>
      <c r="E82" s="19">
        <v>3</v>
      </c>
      <c r="F82" s="4">
        <v>3</v>
      </c>
      <c r="G82" s="48">
        <v>0</v>
      </c>
      <c r="H82" s="19" t="s">
        <v>610</v>
      </c>
      <c r="I82" s="19" t="s">
        <v>545</v>
      </c>
      <c r="K82" s="7"/>
      <c r="S82" s="4">
        <v>7</v>
      </c>
      <c r="T82" s="4" t="str">
        <f t="shared" ref="T82:T120" si="11">IF(F82=F81,T81,9&amp;TEXT(F82,"00"))</f>
        <v>903</v>
      </c>
      <c r="U82" s="4" t="str">
        <f t="shared" ref="U82:U117" si="12">IF(T82=T83,"",1)</f>
        <v/>
      </c>
    </row>
    <row r="83" spans="1:21" ht="14.25" x14ac:dyDescent="0.15">
      <c r="A83" s="17" t="s">
        <v>1</v>
      </c>
      <c r="B83" s="18">
        <v>10072</v>
      </c>
      <c r="C83" s="19">
        <f t="shared" si="10"/>
        <v>10323</v>
      </c>
      <c r="D83" s="19">
        <f t="shared" si="9"/>
        <v>10324</v>
      </c>
      <c r="E83" s="19">
        <v>3</v>
      </c>
      <c r="F83" s="4">
        <v>3</v>
      </c>
      <c r="G83" s="48">
        <v>3</v>
      </c>
      <c r="H83" s="19" t="s">
        <v>463</v>
      </c>
      <c r="I83" s="75" t="s">
        <v>529</v>
      </c>
      <c r="K83" s="7"/>
      <c r="S83" s="4">
        <v>5</v>
      </c>
      <c r="T83" s="4" t="str">
        <f t="shared" si="11"/>
        <v>903</v>
      </c>
      <c r="U83" s="4" t="str">
        <f t="shared" si="12"/>
        <v/>
      </c>
    </row>
    <row r="84" spans="1:21" ht="14.25" x14ac:dyDescent="0.15">
      <c r="A84" s="17" t="s">
        <v>1</v>
      </c>
      <c r="B84" s="18">
        <v>10073</v>
      </c>
      <c r="C84" s="19">
        <f t="shared" si="10"/>
        <v>10324</v>
      </c>
      <c r="D84" s="19">
        <f t="shared" si="9"/>
        <v>10325</v>
      </c>
      <c r="E84" s="19">
        <v>3</v>
      </c>
      <c r="F84" s="4">
        <v>3</v>
      </c>
      <c r="G84" s="48">
        <v>0</v>
      </c>
      <c r="H84" s="19" t="s">
        <v>611</v>
      </c>
      <c r="I84" s="19" t="s">
        <v>546</v>
      </c>
      <c r="K84" s="7"/>
      <c r="S84" s="4">
        <v>7</v>
      </c>
      <c r="T84" s="4" t="str">
        <f t="shared" si="11"/>
        <v>903</v>
      </c>
      <c r="U84" s="4" t="str">
        <f t="shared" si="12"/>
        <v/>
      </c>
    </row>
    <row r="85" spans="1:21" ht="14.25" x14ac:dyDescent="0.15">
      <c r="A85" s="17" t="s">
        <v>1</v>
      </c>
      <c r="B85" s="18">
        <v>10074</v>
      </c>
      <c r="C85" s="19">
        <f t="shared" si="10"/>
        <v>10325</v>
      </c>
      <c r="D85" s="19">
        <f t="shared" si="9"/>
        <v>10326</v>
      </c>
      <c r="E85" s="19">
        <v>3</v>
      </c>
      <c r="F85" s="4">
        <v>3</v>
      </c>
      <c r="G85" s="48">
        <v>0</v>
      </c>
      <c r="H85" s="19" t="s">
        <v>612</v>
      </c>
      <c r="I85" s="19" t="s">
        <v>547</v>
      </c>
      <c r="K85" s="7"/>
      <c r="S85" s="4">
        <v>1</v>
      </c>
      <c r="T85" s="4" t="str">
        <f t="shared" si="11"/>
        <v>903</v>
      </c>
      <c r="U85" s="4" t="str">
        <f t="shared" si="12"/>
        <v/>
      </c>
    </row>
    <row r="86" spans="1:21" ht="14.25" x14ac:dyDescent="0.15">
      <c r="A86" s="17" t="s">
        <v>1</v>
      </c>
      <c r="B86" s="18">
        <v>10075</v>
      </c>
      <c r="C86" s="19">
        <f t="shared" si="10"/>
        <v>10326</v>
      </c>
      <c r="D86" s="19">
        <f t="shared" si="9"/>
        <v>10327</v>
      </c>
      <c r="E86" s="19">
        <v>3</v>
      </c>
      <c r="F86" s="4">
        <v>3</v>
      </c>
      <c r="G86" s="48">
        <v>1</v>
      </c>
      <c r="H86" s="19" t="s">
        <v>445</v>
      </c>
      <c r="I86" s="19" t="s">
        <v>514</v>
      </c>
      <c r="K86" s="7"/>
      <c r="S86" s="4">
        <v>1</v>
      </c>
      <c r="T86" s="4" t="str">
        <f t="shared" si="11"/>
        <v>903</v>
      </c>
      <c r="U86" s="4" t="str">
        <f t="shared" si="12"/>
        <v/>
      </c>
    </row>
    <row r="87" spans="1:21" ht="14.25" x14ac:dyDescent="0.15">
      <c r="A87" s="17" t="s">
        <v>1</v>
      </c>
      <c r="B87" s="18">
        <v>10076</v>
      </c>
      <c r="C87" s="19">
        <f t="shared" si="10"/>
        <v>10327</v>
      </c>
      <c r="D87" s="19">
        <f t="shared" si="9"/>
        <v>10328</v>
      </c>
      <c r="E87" s="19">
        <v>3</v>
      </c>
      <c r="F87" s="4">
        <v>3</v>
      </c>
      <c r="G87" s="48">
        <v>0</v>
      </c>
      <c r="H87" s="19" t="s">
        <v>613</v>
      </c>
      <c r="I87" s="19" t="s">
        <v>548</v>
      </c>
      <c r="K87" s="7"/>
      <c r="S87" s="4">
        <v>12</v>
      </c>
      <c r="T87" s="4" t="str">
        <f t="shared" si="11"/>
        <v>903</v>
      </c>
      <c r="U87" s="4" t="str">
        <f t="shared" si="12"/>
        <v/>
      </c>
    </row>
    <row r="88" spans="1:21" ht="14.25" x14ac:dyDescent="0.15">
      <c r="A88" s="17" t="s">
        <v>1</v>
      </c>
      <c r="B88" s="18">
        <v>10077</v>
      </c>
      <c r="C88" s="19">
        <f t="shared" si="10"/>
        <v>10328</v>
      </c>
      <c r="D88" s="19">
        <f t="shared" si="9"/>
        <v>10329</v>
      </c>
      <c r="E88" s="19">
        <v>3</v>
      </c>
      <c r="F88" s="4">
        <v>3</v>
      </c>
      <c r="G88" s="48">
        <v>3</v>
      </c>
      <c r="H88" s="19" t="s">
        <v>444</v>
      </c>
      <c r="I88" s="19" t="s">
        <v>510</v>
      </c>
      <c r="K88" s="7"/>
      <c r="S88" s="4">
        <v>12</v>
      </c>
      <c r="T88" s="4" t="str">
        <f t="shared" si="11"/>
        <v>903</v>
      </c>
      <c r="U88" s="4" t="str">
        <f t="shared" si="12"/>
        <v/>
      </c>
    </row>
    <row r="89" spans="1:21" ht="14.25" x14ac:dyDescent="0.15">
      <c r="A89" s="17" t="s">
        <v>1</v>
      </c>
      <c r="B89" s="18">
        <v>10078</v>
      </c>
      <c r="C89" s="19">
        <f t="shared" si="10"/>
        <v>10329</v>
      </c>
      <c r="D89" s="19">
        <f t="shared" si="9"/>
        <v>10330</v>
      </c>
      <c r="E89" s="19">
        <v>3</v>
      </c>
      <c r="F89" s="4">
        <v>3</v>
      </c>
      <c r="G89" s="48">
        <v>0</v>
      </c>
      <c r="H89" s="19" t="s">
        <v>614</v>
      </c>
      <c r="I89" s="19" t="s">
        <v>549</v>
      </c>
      <c r="K89" s="7"/>
      <c r="S89" s="4">
        <v>12</v>
      </c>
      <c r="T89" s="4" t="str">
        <f t="shared" si="11"/>
        <v>903</v>
      </c>
      <c r="U89" s="4" t="str">
        <f t="shared" si="12"/>
        <v/>
      </c>
    </row>
    <row r="90" spans="1:21" ht="14.25" x14ac:dyDescent="0.15">
      <c r="A90" s="17" t="s">
        <v>1</v>
      </c>
      <c r="B90" s="18">
        <v>10079</v>
      </c>
      <c r="C90" s="19">
        <f t="shared" si="10"/>
        <v>10330</v>
      </c>
      <c r="D90" s="19">
        <f t="shared" si="9"/>
        <v>10331</v>
      </c>
      <c r="E90" s="19">
        <v>3</v>
      </c>
      <c r="F90" s="4">
        <v>3</v>
      </c>
      <c r="G90" s="48">
        <v>0</v>
      </c>
      <c r="H90" s="19" t="s">
        <v>615</v>
      </c>
      <c r="I90" s="19" t="s">
        <v>550</v>
      </c>
      <c r="K90" s="7"/>
      <c r="S90" s="4">
        <v>12</v>
      </c>
      <c r="T90" s="4" t="str">
        <f t="shared" si="11"/>
        <v>903</v>
      </c>
    </row>
    <row r="91" spans="1:21" ht="14.25" x14ac:dyDescent="0.15">
      <c r="A91" s="17" t="s">
        <v>1</v>
      </c>
      <c r="B91" s="18">
        <v>10080</v>
      </c>
      <c r="C91" s="19">
        <f t="shared" si="10"/>
        <v>10331</v>
      </c>
      <c r="D91" s="19">
        <f t="shared" si="9"/>
        <v>10332</v>
      </c>
      <c r="E91" s="19">
        <v>3</v>
      </c>
      <c r="F91" s="4">
        <v>3</v>
      </c>
      <c r="G91" s="48">
        <v>3</v>
      </c>
      <c r="H91" s="19" t="s">
        <v>463</v>
      </c>
      <c r="I91" s="75" t="s">
        <v>529</v>
      </c>
      <c r="K91" s="7"/>
      <c r="S91" s="4">
        <v>12</v>
      </c>
      <c r="T91" s="4" t="str">
        <f t="shared" ref="T91:T96" si="13">IF(F91=F90,T90,9&amp;TEXT(F91,"00"))</f>
        <v>903</v>
      </c>
    </row>
    <row r="92" spans="1:21" ht="14.25" x14ac:dyDescent="0.15">
      <c r="A92" s="17" t="s">
        <v>1</v>
      </c>
      <c r="B92" s="18">
        <v>10081</v>
      </c>
      <c r="C92" s="19">
        <f t="shared" si="10"/>
        <v>10332</v>
      </c>
      <c r="D92" s="19">
        <f t="shared" si="9"/>
        <v>10333</v>
      </c>
      <c r="E92" s="19">
        <v>3</v>
      </c>
      <c r="F92" s="4">
        <v>3</v>
      </c>
      <c r="G92" s="48">
        <v>0</v>
      </c>
      <c r="H92" s="19" t="s">
        <v>616</v>
      </c>
      <c r="I92" s="19" t="s">
        <v>551</v>
      </c>
      <c r="K92" s="7"/>
      <c r="S92" s="4">
        <v>12</v>
      </c>
      <c r="T92" s="4" t="str">
        <f t="shared" si="13"/>
        <v>903</v>
      </c>
    </row>
    <row r="93" spans="1:21" ht="14.25" x14ac:dyDescent="0.15">
      <c r="A93" s="17" t="s">
        <v>1</v>
      </c>
      <c r="B93" s="18">
        <v>10082</v>
      </c>
      <c r="C93" s="19">
        <f t="shared" si="10"/>
        <v>10333</v>
      </c>
      <c r="D93" s="19">
        <f t="shared" si="9"/>
        <v>10334</v>
      </c>
      <c r="E93" s="19">
        <v>3</v>
      </c>
      <c r="F93" s="4">
        <v>3</v>
      </c>
      <c r="G93" s="48">
        <v>0</v>
      </c>
      <c r="H93" s="19" t="s">
        <v>617</v>
      </c>
      <c r="I93" s="19" t="s">
        <v>552</v>
      </c>
      <c r="K93" s="7"/>
      <c r="S93" s="4">
        <v>12</v>
      </c>
      <c r="T93" s="4" t="str">
        <f t="shared" si="13"/>
        <v>903</v>
      </c>
    </row>
    <row r="94" spans="1:21" ht="14.25" x14ac:dyDescent="0.15">
      <c r="A94" s="17" t="s">
        <v>1</v>
      </c>
      <c r="B94" s="18">
        <v>10083</v>
      </c>
      <c r="C94" s="19">
        <f t="shared" si="10"/>
        <v>10334</v>
      </c>
      <c r="D94" s="19">
        <f t="shared" si="9"/>
        <v>10335</v>
      </c>
      <c r="E94" s="19">
        <v>3</v>
      </c>
      <c r="F94" s="4">
        <v>3</v>
      </c>
      <c r="G94" s="48">
        <v>1</v>
      </c>
      <c r="H94" s="19" t="s">
        <v>585</v>
      </c>
      <c r="I94" s="19" t="s">
        <v>514</v>
      </c>
      <c r="K94" s="7"/>
      <c r="S94" s="4">
        <v>12</v>
      </c>
      <c r="T94" s="4" t="str">
        <f t="shared" si="13"/>
        <v>903</v>
      </c>
    </row>
    <row r="95" spans="1:21" ht="14.25" x14ac:dyDescent="0.15">
      <c r="A95" s="17" t="s">
        <v>1</v>
      </c>
      <c r="B95" s="18">
        <v>10084</v>
      </c>
      <c r="C95" s="19">
        <f t="shared" si="10"/>
        <v>10335</v>
      </c>
      <c r="D95" s="19">
        <f t="shared" si="9"/>
        <v>10336</v>
      </c>
      <c r="E95" s="19">
        <v>3</v>
      </c>
      <c r="F95" s="4">
        <v>3</v>
      </c>
      <c r="G95" s="48">
        <v>0</v>
      </c>
      <c r="H95" s="19" t="s">
        <v>618</v>
      </c>
      <c r="I95" s="19" t="s">
        <v>553</v>
      </c>
      <c r="K95" s="7"/>
      <c r="S95" s="4">
        <v>12</v>
      </c>
      <c r="T95" s="4" t="str">
        <f t="shared" si="13"/>
        <v>903</v>
      </c>
    </row>
    <row r="96" spans="1:21" ht="14.25" x14ac:dyDescent="0.15">
      <c r="A96" s="17" t="s">
        <v>1</v>
      </c>
      <c r="B96" s="18">
        <v>10085</v>
      </c>
      <c r="C96" s="19">
        <f t="shared" si="10"/>
        <v>10336</v>
      </c>
      <c r="D96" s="19" t="str">
        <f t="shared" si="9"/>
        <v>10401</v>
      </c>
      <c r="E96" s="19">
        <v>3</v>
      </c>
      <c r="F96" s="4">
        <v>3</v>
      </c>
      <c r="G96" s="48">
        <v>3</v>
      </c>
      <c r="H96" s="19" t="s">
        <v>565</v>
      </c>
      <c r="I96" s="19" t="s">
        <v>510</v>
      </c>
      <c r="K96" s="7"/>
      <c r="S96" s="4">
        <v>12</v>
      </c>
      <c r="T96" s="4" t="str">
        <f t="shared" si="13"/>
        <v>903</v>
      </c>
      <c r="U96" s="4">
        <v>1</v>
      </c>
    </row>
    <row r="97" spans="1:21" ht="14.25" x14ac:dyDescent="0.15">
      <c r="A97" s="17" t="s">
        <v>1</v>
      </c>
      <c r="B97" s="18">
        <v>10086</v>
      </c>
      <c r="C97" s="19" t="str">
        <f t="shared" si="10"/>
        <v>10401</v>
      </c>
      <c r="D97" s="19">
        <f t="shared" si="9"/>
        <v>10402</v>
      </c>
      <c r="E97" s="19">
        <v>3</v>
      </c>
      <c r="F97" s="4">
        <v>4</v>
      </c>
      <c r="G97" s="48">
        <v>0</v>
      </c>
      <c r="H97" s="19" t="s">
        <v>619</v>
      </c>
      <c r="I97" s="19" t="s">
        <v>620</v>
      </c>
      <c r="S97" s="4">
        <v>5</v>
      </c>
      <c r="T97" s="4" t="str">
        <f>IF(F97=F90,T90,9&amp;TEXT(F97,"00"))</f>
        <v>904</v>
      </c>
      <c r="U97" s="4" t="str">
        <f t="shared" si="12"/>
        <v/>
      </c>
    </row>
    <row r="98" spans="1:21" ht="14.25" x14ac:dyDescent="0.15">
      <c r="A98" s="17" t="s">
        <v>1</v>
      </c>
      <c r="B98" s="18">
        <v>10087</v>
      </c>
      <c r="C98" s="19">
        <f t="shared" si="10"/>
        <v>10402</v>
      </c>
      <c r="D98" s="19">
        <f t="shared" si="9"/>
        <v>10403</v>
      </c>
      <c r="E98" s="19">
        <v>3</v>
      </c>
      <c r="F98" s="4">
        <v>4</v>
      </c>
      <c r="G98" s="48">
        <v>0</v>
      </c>
      <c r="H98" s="19" t="s">
        <v>621</v>
      </c>
      <c r="I98" s="19" t="s">
        <v>622</v>
      </c>
      <c r="S98" s="4">
        <v>5</v>
      </c>
      <c r="T98" s="4" t="str">
        <f t="shared" si="11"/>
        <v>904</v>
      </c>
      <c r="U98" s="4" t="str">
        <f t="shared" si="12"/>
        <v/>
      </c>
    </row>
    <row r="99" spans="1:21" ht="14.25" x14ac:dyDescent="0.15">
      <c r="A99" s="17" t="s">
        <v>1</v>
      </c>
      <c r="B99" s="18">
        <v>10088</v>
      </c>
      <c r="C99" s="19">
        <f t="shared" si="10"/>
        <v>10403</v>
      </c>
      <c r="D99" s="19">
        <f t="shared" si="9"/>
        <v>10404</v>
      </c>
      <c r="E99" s="19">
        <v>3</v>
      </c>
      <c r="F99" s="4">
        <v>4</v>
      </c>
      <c r="G99" s="48">
        <v>0</v>
      </c>
      <c r="H99" s="19" t="s">
        <v>623</v>
      </c>
      <c r="I99" s="19" t="s">
        <v>448</v>
      </c>
      <c r="S99" s="4">
        <v>1</v>
      </c>
      <c r="T99" s="4" t="str">
        <f t="shared" si="11"/>
        <v>904</v>
      </c>
      <c r="U99" s="4" t="str">
        <f t="shared" si="12"/>
        <v/>
      </c>
    </row>
    <row r="100" spans="1:21" ht="14.25" x14ac:dyDescent="0.15">
      <c r="A100" s="17" t="s">
        <v>1</v>
      </c>
      <c r="B100" s="18">
        <v>10089</v>
      </c>
      <c r="C100" s="19">
        <f t="shared" si="10"/>
        <v>10404</v>
      </c>
      <c r="D100" s="19">
        <f t="shared" si="9"/>
        <v>10405</v>
      </c>
      <c r="E100" s="19">
        <v>3</v>
      </c>
      <c r="F100" s="4">
        <v>4</v>
      </c>
      <c r="G100" s="48">
        <v>3</v>
      </c>
      <c r="H100" s="19" t="s">
        <v>575</v>
      </c>
      <c r="I100" s="19" t="s">
        <v>529</v>
      </c>
      <c r="S100" s="4">
        <v>1</v>
      </c>
      <c r="T100" s="4" t="str">
        <f t="shared" si="11"/>
        <v>904</v>
      </c>
      <c r="U100" s="4" t="str">
        <f t="shared" si="12"/>
        <v/>
      </c>
    </row>
    <row r="101" spans="1:21" ht="14.25" x14ac:dyDescent="0.15">
      <c r="A101" s="17" t="s">
        <v>1</v>
      </c>
      <c r="B101" s="18">
        <v>10090</v>
      </c>
      <c r="C101" s="19">
        <f t="shared" si="10"/>
        <v>10405</v>
      </c>
      <c r="D101" s="19">
        <f t="shared" si="9"/>
        <v>10406</v>
      </c>
      <c r="E101" s="19">
        <v>3</v>
      </c>
      <c r="F101" s="4">
        <v>4</v>
      </c>
      <c r="G101" s="48">
        <v>0</v>
      </c>
      <c r="H101" s="19" t="s">
        <v>624</v>
      </c>
      <c r="I101" s="19" t="s">
        <v>625</v>
      </c>
      <c r="S101" s="4">
        <v>5</v>
      </c>
      <c r="T101" s="4" t="str">
        <f t="shared" si="11"/>
        <v>904</v>
      </c>
      <c r="U101" s="4" t="str">
        <f t="shared" si="12"/>
        <v/>
      </c>
    </row>
    <row r="102" spans="1:21" ht="14.25" x14ac:dyDescent="0.15">
      <c r="A102" s="17" t="s">
        <v>1</v>
      </c>
      <c r="B102" s="18">
        <v>10091</v>
      </c>
      <c r="C102" s="19">
        <f t="shared" si="10"/>
        <v>10406</v>
      </c>
      <c r="D102" s="19">
        <f t="shared" si="9"/>
        <v>10407</v>
      </c>
      <c r="E102" s="19">
        <v>3</v>
      </c>
      <c r="F102" s="4">
        <v>4</v>
      </c>
      <c r="G102" s="48">
        <v>1</v>
      </c>
      <c r="H102" s="19" t="s">
        <v>585</v>
      </c>
      <c r="I102" s="19" t="s">
        <v>514</v>
      </c>
      <c r="S102" s="4">
        <v>5</v>
      </c>
      <c r="T102" s="4" t="str">
        <f t="shared" si="11"/>
        <v>904</v>
      </c>
      <c r="U102" s="4" t="str">
        <f t="shared" si="12"/>
        <v/>
      </c>
    </row>
    <row r="103" spans="1:21" ht="14.25" x14ac:dyDescent="0.15">
      <c r="A103" s="17" t="s">
        <v>1</v>
      </c>
      <c r="B103" s="18">
        <v>10092</v>
      </c>
      <c r="C103" s="19">
        <f t="shared" si="10"/>
        <v>10407</v>
      </c>
      <c r="D103" s="19">
        <f t="shared" si="9"/>
        <v>10408</v>
      </c>
      <c r="E103" s="19">
        <v>3</v>
      </c>
      <c r="F103" s="4">
        <v>4</v>
      </c>
      <c r="G103" s="48">
        <v>0</v>
      </c>
      <c r="H103" s="19" t="s">
        <v>626</v>
      </c>
      <c r="I103" s="19" t="s">
        <v>627</v>
      </c>
      <c r="K103" s="7"/>
      <c r="S103" s="4">
        <v>5</v>
      </c>
      <c r="T103" s="4" t="str">
        <f t="shared" si="11"/>
        <v>904</v>
      </c>
      <c r="U103" s="4" t="str">
        <f t="shared" si="12"/>
        <v/>
      </c>
    </row>
    <row r="104" spans="1:21" ht="14.25" x14ac:dyDescent="0.15">
      <c r="A104" s="17" t="s">
        <v>1</v>
      </c>
      <c r="B104" s="18">
        <v>10093</v>
      </c>
      <c r="C104" s="19">
        <f t="shared" si="10"/>
        <v>10408</v>
      </c>
      <c r="D104" s="19">
        <f t="shared" si="9"/>
        <v>10409</v>
      </c>
      <c r="E104" s="19">
        <v>3</v>
      </c>
      <c r="F104" s="4">
        <v>4</v>
      </c>
      <c r="G104" s="48">
        <v>0</v>
      </c>
      <c r="H104" s="19" t="s">
        <v>628</v>
      </c>
      <c r="I104" s="19" t="s">
        <v>629</v>
      </c>
      <c r="K104" s="7"/>
      <c r="S104" s="4">
        <v>5</v>
      </c>
      <c r="T104" s="4" t="str">
        <f t="shared" si="11"/>
        <v>904</v>
      </c>
      <c r="U104" s="4" t="str">
        <f t="shared" si="12"/>
        <v/>
      </c>
    </row>
    <row r="105" spans="1:21" ht="14.25" x14ac:dyDescent="0.15">
      <c r="A105" s="17" t="s">
        <v>1</v>
      </c>
      <c r="B105" s="18">
        <v>10094</v>
      </c>
      <c r="C105" s="19">
        <f t="shared" si="10"/>
        <v>10409</v>
      </c>
      <c r="D105" s="19">
        <f t="shared" si="9"/>
        <v>10410</v>
      </c>
      <c r="E105" s="19">
        <v>3</v>
      </c>
      <c r="F105" s="4">
        <v>4</v>
      </c>
      <c r="G105" s="48">
        <v>3</v>
      </c>
      <c r="H105" s="19" t="s">
        <v>565</v>
      </c>
      <c r="I105" s="19" t="s">
        <v>510</v>
      </c>
      <c r="K105" s="7"/>
      <c r="S105" s="4">
        <v>12</v>
      </c>
      <c r="T105" s="4" t="str">
        <f t="shared" si="11"/>
        <v>904</v>
      </c>
      <c r="U105" s="4" t="str">
        <f>IF(T105=T106,"",1)</f>
        <v/>
      </c>
    </row>
    <row r="106" spans="1:21" ht="14.25" x14ac:dyDescent="0.15">
      <c r="A106" s="17" t="s">
        <v>1</v>
      </c>
      <c r="B106" s="18">
        <v>10095</v>
      </c>
      <c r="C106" s="19">
        <f>IF(F106=F105,C105+1,1&amp;TEXT(F106,"00")&amp;"01")</f>
        <v>10410</v>
      </c>
      <c r="D106" s="19">
        <f t="shared" si="9"/>
        <v>10411</v>
      </c>
      <c r="E106" s="19">
        <v>3</v>
      </c>
      <c r="F106" s="4">
        <v>4</v>
      </c>
      <c r="G106" s="48">
        <v>0</v>
      </c>
      <c r="H106" s="19" t="s">
        <v>630</v>
      </c>
      <c r="I106" s="19" t="s">
        <v>631</v>
      </c>
      <c r="K106" s="7"/>
      <c r="S106" s="4">
        <v>5</v>
      </c>
      <c r="T106" s="4" t="str">
        <f>IF(F106=F105,T105,9&amp;TEXT(F106,"00"))</f>
        <v>904</v>
      </c>
      <c r="U106" s="4" t="str">
        <f t="shared" si="12"/>
        <v/>
      </c>
    </row>
    <row r="107" spans="1:21" ht="14.25" x14ac:dyDescent="0.15">
      <c r="A107" s="17" t="s">
        <v>1</v>
      </c>
      <c r="B107" s="18">
        <v>10096</v>
      </c>
      <c r="C107" s="19">
        <f t="shared" si="10"/>
        <v>10411</v>
      </c>
      <c r="D107" s="19">
        <f t="shared" si="9"/>
        <v>10412</v>
      </c>
      <c r="E107" s="19">
        <v>3</v>
      </c>
      <c r="F107" s="4">
        <v>4</v>
      </c>
      <c r="G107" s="48">
        <v>0</v>
      </c>
      <c r="H107" s="19" t="s">
        <v>632</v>
      </c>
      <c r="I107" s="19" t="s">
        <v>633</v>
      </c>
      <c r="K107" s="7"/>
      <c r="S107" s="4">
        <v>5</v>
      </c>
      <c r="T107" s="4" t="str">
        <f t="shared" si="11"/>
        <v>904</v>
      </c>
      <c r="U107" s="4" t="str">
        <f t="shared" si="12"/>
        <v/>
      </c>
    </row>
    <row r="108" spans="1:21" ht="14.25" x14ac:dyDescent="0.15">
      <c r="A108" s="17" t="s">
        <v>1</v>
      </c>
      <c r="B108" s="18">
        <v>10097</v>
      </c>
      <c r="C108" s="19">
        <f t="shared" si="10"/>
        <v>10412</v>
      </c>
      <c r="D108" s="19">
        <f t="shared" si="9"/>
        <v>10413</v>
      </c>
      <c r="E108" s="19">
        <v>3</v>
      </c>
      <c r="F108" s="4">
        <v>4</v>
      </c>
      <c r="G108" s="48">
        <v>3</v>
      </c>
      <c r="H108" s="19" t="s">
        <v>507</v>
      </c>
      <c r="I108" s="19" t="s">
        <v>529</v>
      </c>
      <c r="K108" s="7"/>
      <c r="S108" s="4">
        <v>5</v>
      </c>
      <c r="T108" s="4" t="str">
        <f t="shared" si="11"/>
        <v>904</v>
      </c>
      <c r="U108" s="4" t="str">
        <f t="shared" si="12"/>
        <v/>
      </c>
    </row>
    <row r="109" spans="1:21" ht="14.25" x14ac:dyDescent="0.15">
      <c r="A109" s="17" t="s">
        <v>1</v>
      </c>
      <c r="B109" s="18">
        <v>10098</v>
      </c>
      <c r="C109" s="19">
        <f t="shared" si="10"/>
        <v>10413</v>
      </c>
      <c r="D109" s="19">
        <f t="shared" si="9"/>
        <v>10414</v>
      </c>
      <c r="E109" s="19">
        <v>3</v>
      </c>
      <c r="F109" s="4">
        <v>4</v>
      </c>
      <c r="G109" s="48">
        <v>0</v>
      </c>
      <c r="H109" s="19" t="s">
        <v>634</v>
      </c>
      <c r="I109" s="19" t="s">
        <v>635</v>
      </c>
      <c r="K109" s="7"/>
      <c r="S109" s="4">
        <v>5</v>
      </c>
      <c r="T109" s="4" t="str">
        <f t="shared" si="11"/>
        <v>904</v>
      </c>
      <c r="U109" s="4" t="str">
        <f t="shared" si="12"/>
        <v/>
      </c>
    </row>
    <row r="110" spans="1:21" ht="14.25" x14ac:dyDescent="0.15">
      <c r="A110" s="17" t="s">
        <v>1</v>
      </c>
      <c r="B110" s="18">
        <v>10099</v>
      </c>
      <c r="C110" s="19">
        <f t="shared" si="10"/>
        <v>10414</v>
      </c>
      <c r="D110" s="19">
        <f t="shared" si="9"/>
        <v>10415</v>
      </c>
      <c r="E110" s="19">
        <v>3</v>
      </c>
      <c r="F110" s="4">
        <v>4</v>
      </c>
      <c r="G110" s="48">
        <v>0</v>
      </c>
      <c r="H110" s="19" t="s">
        <v>636</v>
      </c>
      <c r="I110" s="19" t="s">
        <v>637</v>
      </c>
      <c r="K110" s="7"/>
      <c r="S110" s="4">
        <v>5</v>
      </c>
      <c r="T110" s="4" t="str">
        <f t="shared" si="11"/>
        <v>904</v>
      </c>
      <c r="U110" s="4" t="str">
        <f t="shared" si="12"/>
        <v/>
      </c>
    </row>
    <row r="111" spans="1:21" ht="14.25" x14ac:dyDescent="0.15">
      <c r="A111" s="17" t="s">
        <v>1</v>
      </c>
      <c r="B111" s="18">
        <v>10100</v>
      </c>
      <c r="C111" s="19">
        <f t="shared" si="10"/>
        <v>10415</v>
      </c>
      <c r="D111" s="19">
        <f t="shared" si="9"/>
        <v>10416</v>
      </c>
      <c r="E111" s="19">
        <v>3</v>
      </c>
      <c r="F111" s="4">
        <v>4</v>
      </c>
      <c r="G111" s="48">
        <v>1</v>
      </c>
      <c r="H111" s="19" t="s">
        <v>585</v>
      </c>
      <c r="I111" s="19" t="s">
        <v>514</v>
      </c>
      <c r="K111" s="7"/>
      <c r="S111" s="4">
        <v>5</v>
      </c>
      <c r="T111" s="4" t="str">
        <f t="shared" si="11"/>
        <v>904</v>
      </c>
      <c r="U111" s="4" t="str">
        <f t="shared" si="12"/>
        <v/>
      </c>
    </row>
    <row r="112" spans="1:21" ht="14.25" x14ac:dyDescent="0.15">
      <c r="A112" s="17" t="s">
        <v>1</v>
      </c>
      <c r="B112" s="18">
        <v>10101</v>
      </c>
      <c r="C112" s="19">
        <f t="shared" si="10"/>
        <v>10416</v>
      </c>
      <c r="D112" s="19">
        <f t="shared" si="9"/>
        <v>10417</v>
      </c>
      <c r="E112" s="19">
        <v>3</v>
      </c>
      <c r="F112" s="4">
        <v>4</v>
      </c>
      <c r="G112" s="48">
        <v>0</v>
      </c>
      <c r="H112" s="19" t="s">
        <v>638</v>
      </c>
      <c r="I112" s="19" t="s">
        <v>639</v>
      </c>
      <c r="K112" s="7"/>
      <c r="S112" s="4">
        <v>5</v>
      </c>
      <c r="T112" s="4" t="str">
        <f t="shared" si="11"/>
        <v>904</v>
      </c>
      <c r="U112" s="4" t="str">
        <f t="shared" si="12"/>
        <v/>
      </c>
    </row>
    <row r="113" spans="1:21" ht="14.25" x14ac:dyDescent="0.15">
      <c r="A113" s="17" t="s">
        <v>1</v>
      </c>
      <c r="B113" s="18">
        <v>10102</v>
      </c>
      <c r="C113" s="19">
        <f t="shared" si="10"/>
        <v>10417</v>
      </c>
      <c r="D113" s="19">
        <f t="shared" si="9"/>
        <v>10418</v>
      </c>
      <c r="E113" s="19">
        <v>3</v>
      </c>
      <c r="F113" s="4">
        <v>4</v>
      </c>
      <c r="G113" s="48">
        <v>3</v>
      </c>
      <c r="H113" s="19" t="s">
        <v>565</v>
      </c>
      <c r="I113" s="19" t="s">
        <v>510</v>
      </c>
      <c r="K113" s="7"/>
      <c r="S113" s="4">
        <v>5</v>
      </c>
      <c r="T113" s="4" t="str">
        <f t="shared" si="11"/>
        <v>904</v>
      </c>
      <c r="U113" s="4" t="str">
        <f t="shared" si="12"/>
        <v/>
      </c>
    </row>
    <row r="114" spans="1:21" ht="14.25" x14ac:dyDescent="0.15">
      <c r="A114" s="17" t="s">
        <v>1</v>
      </c>
      <c r="B114" s="18">
        <v>10103</v>
      </c>
      <c r="C114" s="19">
        <f t="shared" si="10"/>
        <v>10418</v>
      </c>
      <c r="D114" s="19">
        <f t="shared" si="9"/>
        <v>10419</v>
      </c>
      <c r="E114" s="19">
        <v>3</v>
      </c>
      <c r="F114" s="4">
        <v>4</v>
      </c>
      <c r="G114" s="48">
        <v>0</v>
      </c>
      <c r="H114" s="19" t="s">
        <v>640</v>
      </c>
      <c r="I114" s="19" t="s">
        <v>449</v>
      </c>
      <c r="K114" s="7"/>
      <c r="S114" s="4">
        <v>5</v>
      </c>
      <c r="T114" s="4" t="str">
        <f t="shared" si="11"/>
        <v>904</v>
      </c>
      <c r="U114" s="4" t="str">
        <f t="shared" si="12"/>
        <v/>
      </c>
    </row>
    <row r="115" spans="1:21" ht="14.25" x14ac:dyDescent="0.15">
      <c r="A115" s="17" t="s">
        <v>1</v>
      </c>
      <c r="B115" s="18">
        <v>10104</v>
      </c>
      <c r="C115" s="19">
        <f t="shared" si="10"/>
        <v>10419</v>
      </c>
      <c r="D115" s="19">
        <f t="shared" si="9"/>
        <v>10420</v>
      </c>
      <c r="E115" s="19">
        <v>3</v>
      </c>
      <c r="F115" s="4">
        <v>4</v>
      </c>
      <c r="G115" s="48">
        <v>0</v>
      </c>
      <c r="H115" s="19" t="s">
        <v>641</v>
      </c>
      <c r="I115" s="19" t="s">
        <v>450</v>
      </c>
      <c r="K115" s="7"/>
      <c r="S115" s="4">
        <v>5</v>
      </c>
      <c r="T115" s="4" t="str">
        <f t="shared" si="11"/>
        <v>904</v>
      </c>
      <c r="U115" s="4" t="str">
        <f t="shared" si="12"/>
        <v/>
      </c>
    </row>
    <row r="116" spans="1:21" ht="14.25" x14ac:dyDescent="0.15">
      <c r="A116" s="17" t="s">
        <v>1</v>
      </c>
      <c r="B116" s="18">
        <v>10105</v>
      </c>
      <c r="C116" s="19">
        <f t="shared" si="10"/>
        <v>10420</v>
      </c>
      <c r="D116" s="19">
        <f t="shared" si="9"/>
        <v>10421</v>
      </c>
      <c r="E116" s="19">
        <v>3</v>
      </c>
      <c r="F116" s="4">
        <v>4</v>
      </c>
      <c r="G116" s="48">
        <v>3</v>
      </c>
      <c r="H116" s="19" t="s">
        <v>507</v>
      </c>
      <c r="I116" s="19" t="s">
        <v>529</v>
      </c>
      <c r="K116" s="7"/>
      <c r="S116" s="4">
        <v>8</v>
      </c>
      <c r="T116" s="4" t="str">
        <f t="shared" si="11"/>
        <v>904</v>
      </c>
      <c r="U116" s="4" t="str">
        <f t="shared" si="12"/>
        <v/>
      </c>
    </row>
    <row r="117" spans="1:21" ht="14.25" x14ac:dyDescent="0.15">
      <c r="A117" s="17" t="s">
        <v>1</v>
      </c>
      <c r="B117" s="18">
        <v>10106</v>
      </c>
      <c r="C117" s="19">
        <f t="shared" si="10"/>
        <v>10421</v>
      </c>
      <c r="D117" s="19">
        <f t="shared" si="9"/>
        <v>10422</v>
      </c>
      <c r="E117" s="19">
        <v>3</v>
      </c>
      <c r="F117" s="4">
        <v>4</v>
      </c>
      <c r="G117" s="48">
        <v>0</v>
      </c>
      <c r="H117" s="19" t="s">
        <v>642</v>
      </c>
      <c r="I117" s="19" t="s">
        <v>643</v>
      </c>
      <c r="K117" s="7"/>
      <c r="S117" s="4">
        <v>8</v>
      </c>
      <c r="T117" s="4" t="str">
        <f t="shared" si="11"/>
        <v>904</v>
      </c>
      <c r="U117" s="4" t="str">
        <f t="shared" si="12"/>
        <v/>
      </c>
    </row>
    <row r="118" spans="1:21" ht="14.25" x14ac:dyDescent="0.15">
      <c r="A118" s="17" t="s">
        <v>1</v>
      </c>
      <c r="B118" s="18">
        <v>10107</v>
      </c>
      <c r="C118" s="19">
        <f t="shared" si="10"/>
        <v>10422</v>
      </c>
      <c r="D118" s="19">
        <f t="shared" si="9"/>
        <v>10423</v>
      </c>
      <c r="E118" s="19">
        <v>3</v>
      </c>
      <c r="F118" s="4">
        <v>4</v>
      </c>
      <c r="G118" s="48">
        <v>1</v>
      </c>
      <c r="H118" s="19" t="s">
        <v>585</v>
      </c>
      <c r="I118" s="19" t="s">
        <v>514</v>
      </c>
      <c r="J118" s="4"/>
      <c r="K118" s="7"/>
      <c r="S118" s="4">
        <v>1</v>
      </c>
      <c r="T118" s="4" t="str">
        <f t="shared" si="11"/>
        <v>904</v>
      </c>
      <c r="U118" s="4" t="str">
        <f>IF(T118=T127,"",1)</f>
        <v/>
      </c>
    </row>
    <row r="119" spans="1:21" ht="14.25" x14ac:dyDescent="0.15">
      <c r="A119" s="17" t="s">
        <v>1</v>
      </c>
      <c r="B119" s="18">
        <v>10108</v>
      </c>
      <c r="C119" s="19">
        <f t="shared" si="10"/>
        <v>10423</v>
      </c>
      <c r="D119" s="19">
        <f t="shared" si="9"/>
        <v>10424</v>
      </c>
      <c r="E119" s="19">
        <v>3</v>
      </c>
      <c r="F119" s="4">
        <v>4</v>
      </c>
      <c r="G119" s="48">
        <v>0</v>
      </c>
      <c r="H119" s="19" t="s">
        <v>644</v>
      </c>
      <c r="I119" s="19" t="s">
        <v>645</v>
      </c>
      <c r="J119" s="4"/>
      <c r="K119" s="7"/>
      <c r="S119" s="4">
        <v>1</v>
      </c>
      <c r="T119" s="4" t="str">
        <f t="shared" si="11"/>
        <v>904</v>
      </c>
    </row>
    <row r="120" spans="1:21" ht="14.25" x14ac:dyDescent="0.15">
      <c r="A120" s="17" t="s">
        <v>1</v>
      </c>
      <c r="B120" s="18">
        <v>10109</v>
      </c>
      <c r="C120" s="19">
        <f t="shared" si="10"/>
        <v>10424</v>
      </c>
      <c r="D120" s="19">
        <f t="shared" si="9"/>
        <v>10425</v>
      </c>
      <c r="E120" s="19">
        <v>3</v>
      </c>
      <c r="F120" s="4">
        <v>4</v>
      </c>
      <c r="G120" s="48">
        <v>3</v>
      </c>
      <c r="H120" s="19" t="s">
        <v>565</v>
      </c>
      <c r="I120" s="19" t="s">
        <v>510</v>
      </c>
      <c r="J120" s="4"/>
      <c r="K120" s="7"/>
      <c r="S120" s="4">
        <v>1</v>
      </c>
      <c r="T120" s="4" t="str">
        <f t="shared" si="11"/>
        <v>904</v>
      </c>
    </row>
    <row r="121" spans="1:21" ht="14.25" x14ac:dyDescent="0.15">
      <c r="A121" s="17" t="s">
        <v>1</v>
      </c>
      <c r="B121" s="18">
        <v>10110</v>
      </c>
      <c r="C121" s="19">
        <f t="shared" si="10"/>
        <v>10425</v>
      </c>
      <c r="D121" s="19">
        <f t="shared" si="9"/>
        <v>10426</v>
      </c>
      <c r="E121" s="19">
        <v>3</v>
      </c>
      <c r="F121" s="4">
        <v>4</v>
      </c>
      <c r="G121" s="48">
        <v>0</v>
      </c>
      <c r="H121" s="19" t="s">
        <v>646</v>
      </c>
      <c r="I121" s="19" t="s">
        <v>647</v>
      </c>
      <c r="J121" s="4"/>
      <c r="K121" s="7"/>
      <c r="S121" s="4">
        <v>1</v>
      </c>
      <c r="T121" s="4" t="str">
        <f t="shared" ref="T121:T126" si="14">IF(F121=F120,T120,9&amp;TEXT(F121,"00"))</f>
        <v>904</v>
      </c>
    </row>
    <row r="122" spans="1:21" ht="14.25" x14ac:dyDescent="0.15">
      <c r="A122" s="17" t="s">
        <v>1</v>
      </c>
      <c r="B122" s="18">
        <v>10111</v>
      </c>
      <c r="C122" s="19">
        <f t="shared" si="10"/>
        <v>10426</v>
      </c>
      <c r="D122" s="19">
        <f t="shared" si="9"/>
        <v>10427</v>
      </c>
      <c r="E122" s="19">
        <v>3</v>
      </c>
      <c r="F122" s="4">
        <v>4</v>
      </c>
      <c r="G122" s="48">
        <v>3</v>
      </c>
      <c r="H122" s="19" t="s">
        <v>507</v>
      </c>
      <c r="I122" s="19" t="s">
        <v>529</v>
      </c>
      <c r="J122" s="4"/>
      <c r="K122" s="7"/>
      <c r="S122" s="4">
        <v>1</v>
      </c>
      <c r="T122" s="4" t="str">
        <f t="shared" si="14"/>
        <v>904</v>
      </c>
    </row>
    <row r="123" spans="1:21" ht="14.25" x14ac:dyDescent="0.15">
      <c r="A123" s="17" t="s">
        <v>1</v>
      </c>
      <c r="B123" s="18">
        <v>10112</v>
      </c>
      <c r="C123" s="19">
        <f t="shared" si="10"/>
        <v>10427</v>
      </c>
      <c r="D123" s="19">
        <f t="shared" si="9"/>
        <v>10428</v>
      </c>
      <c r="E123" s="19">
        <v>3</v>
      </c>
      <c r="F123" s="4">
        <v>4</v>
      </c>
      <c r="G123" s="48">
        <v>0</v>
      </c>
      <c r="H123" s="19" t="s">
        <v>648</v>
      </c>
      <c r="I123" s="19" t="s">
        <v>649</v>
      </c>
      <c r="J123" s="4"/>
      <c r="K123" s="7"/>
      <c r="S123" s="4">
        <v>1</v>
      </c>
      <c r="T123" s="4" t="str">
        <f t="shared" si="14"/>
        <v>904</v>
      </c>
    </row>
    <row r="124" spans="1:21" ht="14.25" x14ac:dyDescent="0.15">
      <c r="A124" s="17" t="s">
        <v>1</v>
      </c>
      <c r="B124" s="18">
        <v>10113</v>
      </c>
      <c r="C124" s="19">
        <f t="shared" si="10"/>
        <v>10428</v>
      </c>
      <c r="D124" s="19">
        <f t="shared" si="9"/>
        <v>10429</v>
      </c>
      <c r="E124" s="19">
        <v>3</v>
      </c>
      <c r="F124" s="4">
        <v>4</v>
      </c>
      <c r="G124" s="48">
        <v>0</v>
      </c>
      <c r="H124" s="19" t="s">
        <v>758</v>
      </c>
      <c r="I124" s="19" t="s">
        <v>759</v>
      </c>
      <c r="J124" s="4"/>
      <c r="K124" s="7"/>
      <c r="S124" s="4">
        <v>1</v>
      </c>
      <c r="T124" s="4" t="str">
        <f t="shared" si="14"/>
        <v>904</v>
      </c>
    </row>
    <row r="125" spans="1:21" ht="14.25" x14ac:dyDescent="0.15">
      <c r="A125" s="17" t="s">
        <v>1</v>
      </c>
      <c r="B125" s="18">
        <v>10114</v>
      </c>
      <c r="C125" s="19">
        <f t="shared" si="10"/>
        <v>10429</v>
      </c>
      <c r="D125" s="19">
        <f t="shared" si="9"/>
        <v>10430</v>
      </c>
      <c r="E125" s="19">
        <v>3</v>
      </c>
      <c r="F125" s="4">
        <v>4</v>
      </c>
      <c r="G125" s="48">
        <v>1</v>
      </c>
      <c r="H125" s="19" t="s">
        <v>585</v>
      </c>
      <c r="I125" s="19" t="s">
        <v>514</v>
      </c>
      <c r="J125" s="4"/>
      <c r="K125" s="7"/>
      <c r="S125" s="4">
        <v>1</v>
      </c>
      <c r="T125" s="4" t="str">
        <f t="shared" si="14"/>
        <v>904</v>
      </c>
    </row>
    <row r="126" spans="1:21" ht="14.25" x14ac:dyDescent="0.15">
      <c r="A126" s="17" t="s">
        <v>1</v>
      </c>
      <c r="B126" s="18">
        <v>10115</v>
      </c>
      <c r="C126" s="19">
        <f t="shared" si="10"/>
        <v>10430</v>
      </c>
      <c r="D126" s="19">
        <f t="shared" si="9"/>
        <v>10431</v>
      </c>
      <c r="E126" s="19">
        <v>3</v>
      </c>
      <c r="F126" s="4">
        <v>4</v>
      </c>
      <c r="G126" s="48">
        <v>0</v>
      </c>
      <c r="H126" s="19" t="s">
        <v>650</v>
      </c>
      <c r="I126" s="19" t="s">
        <v>651</v>
      </c>
      <c r="J126" s="4"/>
      <c r="K126" s="7"/>
      <c r="S126" s="4">
        <v>1</v>
      </c>
      <c r="T126" s="4" t="str">
        <f t="shared" si="14"/>
        <v>904</v>
      </c>
    </row>
    <row r="127" spans="1:21" s="69" customFormat="1" ht="14.25" x14ac:dyDescent="0.15">
      <c r="A127" s="17" t="s">
        <v>1</v>
      </c>
      <c r="B127" s="18">
        <v>10116</v>
      </c>
      <c r="C127" s="19">
        <f t="shared" si="10"/>
        <v>10431</v>
      </c>
      <c r="D127" s="72">
        <v>0</v>
      </c>
      <c r="E127" s="72">
        <v>3</v>
      </c>
      <c r="F127" s="69">
        <v>4</v>
      </c>
      <c r="G127" s="72">
        <v>3</v>
      </c>
      <c r="H127" s="72" t="s">
        <v>446</v>
      </c>
      <c r="I127" s="72" t="s">
        <v>760</v>
      </c>
      <c r="K127" s="74"/>
      <c r="S127" s="69">
        <v>1</v>
      </c>
      <c r="T127" s="4" t="str">
        <f>IF(F127=F118,T118,9&amp;TEXT(F127,"00"))</f>
        <v>904</v>
      </c>
      <c r="U127" s="4">
        <f>IF(T127=T128,"",1)</f>
        <v>1</v>
      </c>
    </row>
    <row r="128" spans="1:21" ht="14.25" x14ac:dyDescent="0.15">
      <c r="A128" s="17"/>
      <c r="B128" s="18"/>
      <c r="C128" s="19"/>
      <c r="D128" s="19"/>
      <c r="E128" s="19"/>
      <c r="F128" s="4"/>
      <c r="G128" s="48"/>
      <c r="H128" s="19"/>
      <c r="I128" s="19"/>
      <c r="K128" s="7"/>
    </row>
    <row r="129" spans="1:21" ht="14.25" x14ac:dyDescent="0.15">
      <c r="A129" s="17"/>
      <c r="B129" s="18"/>
      <c r="C129" s="19"/>
      <c r="D129" s="19"/>
      <c r="E129" s="19"/>
      <c r="F129" s="4"/>
      <c r="G129" s="48"/>
      <c r="H129" s="19"/>
      <c r="I129" s="19"/>
      <c r="K129" s="7"/>
    </row>
    <row r="130" spans="1:21" ht="14.25" x14ac:dyDescent="0.15">
      <c r="A130" s="17"/>
      <c r="B130" s="18"/>
      <c r="C130" s="19"/>
      <c r="D130" s="19"/>
      <c r="E130" s="19"/>
      <c r="F130" s="4"/>
      <c r="G130" s="48"/>
      <c r="H130" s="19"/>
      <c r="I130" s="19"/>
      <c r="K130" s="7"/>
    </row>
    <row r="131" spans="1:21" ht="14.25" x14ac:dyDescent="0.15">
      <c r="A131" s="17"/>
      <c r="B131" s="18"/>
      <c r="C131" s="19"/>
      <c r="D131" s="19"/>
      <c r="E131" s="19"/>
      <c r="F131" s="4"/>
      <c r="G131" s="48"/>
      <c r="H131" s="19"/>
      <c r="I131" s="19"/>
      <c r="K131" s="7"/>
    </row>
    <row r="132" spans="1:21" ht="14.25" x14ac:dyDescent="0.15">
      <c r="A132" s="17"/>
      <c r="B132" s="18">
        <v>10036</v>
      </c>
      <c r="C132" s="19">
        <f>IF(F132=F62,C62+1,1&amp;TEXT(F132,"00")&amp;"01")</f>
        <v>10303</v>
      </c>
      <c r="D132" s="19">
        <f t="shared" ref="D132:D144" si="15">C133</f>
        <v>10304</v>
      </c>
      <c r="E132" s="19">
        <v>3</v>
      </c>
      <c r="F132" s="4">
        <v>3</v>
      </c>
      <c r="G132" s="48">
        <v>0</v>
      </c>
      <c r="H132" s="19" t="s">
        <v>331</v>
      </c>
      <c r="I132" s="19" t="s">
        <v>240</v>
      </c>
      <c r="K132" s="7"/>
      <c r="S132" s="4">
        <v>5</v>
      </c>
      <c r="T132" s="4">
        <v>903</v>
      </c>
    </row>
    <row r="133" spans="1:21" ht="14.25" x14ac:dyDescent="0.15">
      <c r="A133" s="17"/>
      <c r="B133" s="18">
        <v>10037</v>
      </c>
      <c r="C133" s="19">
        <f t="shared" ref="C133:C144" si="16">IF(F133=F132,C132+1,1&amp;TEXT(F133,"00")&amp;"01")</f>
        <v>10304</v>
      </c>
      <c r="D133" s="19">
        <f t="shared" si="15"/>
        <v>10305</v>
      </c>
      <c r="E133" s="19">
        <v>3</v>
      </c>
      <c r="F133" s="4">
        <v>3</v>
      </c>
      <c r="G133" s="48">
        <v>0</v>
      </c>
      <c r="H133" s="19" t="s">
        <v>332</v>
      </c>
      <c r="I133" s="19" t="s">
        <v>239</v>
      </c>
      <c r="K133" s="7"/>
      <c r="S133" s="4">
        <v>1</v>
      </c>
      <c r="T133" s="4">
        <v>903</v>
      </c>
    </row>
    <row r="134" spans="1:21" ht="14.25" x14ac:dyDescent="0.15">
      <c r="A134" s="17"/>
      <c r="B134" s="18">
        <v>10038</v>
      </c>
      <c r="C134" s="19">
        <f t="shared" si="16"/>
        <v>10305</v>
      </c>
      <c r="D134" s="19">
        <f t="shared" si="15"/>
        <v>10306</v>
      </c>
      <c r="E134" s="19">
        <v>3</v>
      </c>
      <c r="F134" s="4">
        <v>3</v>
      </c>
      <c r="G134" s="48">
        <v>0</v>
      </c>
      <c r="H134" s="19" t="s">
        <v>333</v>
      </c>
      <c r="I134" s="19" t="s">
        <v>242</v>
      </c>
      <c r="K134" s="7"/>
      <c r="S134" s="4">
        <v>14</v>
      </c>
      <c r="T134" s="4">
        <v>903</v>
      </c>
    </row>
    <row r="135" spans="1:21" ht="14.25" x14ac:dyDescent="0.15">
      <c r="A135" s="17"/>
      <c r="B135" s="18">
        <v>10039</v>
      </c>
      <c r="C135" s="19">
        <f t="shared" si="16"/>
        <v>10306</v>
      </c>
      <c r="D135" s="19">
        <f t="shared" si="15"/>
        <v>10307</v>
      </c>
      <c r="E135" s="19">
        <v>3</v>
      </c>
      <c r="F135" s="4">
        <v>3</v>
      </c>
      <c r="G135" s="48">
        <v>0</v>
      </c>
      <c r="H135" s="19" t="s">
        <v>334</v>
      </c>
      <c r="I135" s="19" t="s">
        <v>239</v>
      </c>
      <c r="K135" s="7"/>
      <c r="S135" s="4">
        <v>5</v>
      </c>
      <c r="T135" s="4">
        <v>903</v>
      </c>
    </row>
    <row r="136" spans="1:21" ht="14.25" x14ac:dyDescent="0.15">
      <c r="A136" s="17"/>
      <c r="B136" s="18">
        <v>10040</v>
      </c>
      <c r="C136" s="19">
        <f t="shared" si="16"/>
        <v>10307</v>
      </c>
      <c r="D136" s="19">
        <f t="shared" si="15"/>
        <v>10308</v>
      </c>
      <c r="E136" s="19">
        <v>3</v>
      </c>
      <c r="F136" s="4">
        <v>3</v>
      </c>
      <c r="G136" s="48">
        <v>0</v>
      </c>
      <c r="H136" s="19" t="s">
        <v>335</v>
      </c>
      <c r="I136" s="19" t="s">
        <v>243</v>
      </c>
      <c r="K136" s="7"/>
      <c r="S136" s="4">
        <v>5</v>
      </c>
      <c r="T136" s="4">
        <v>903</v>
      </c>
    </row>
    <row r="137" spans="1:21" ht="14.25" x14ac:dyDescent="0.15">
      <c r="A137" s="17"/>
      <c r="B137" s="18">
        <v>10041</v>
      </c>
      <c r="C137" s="19">
        <f t="shared" si="16"/>
        <v>10308</v>
      </c>
      <c r="D137" s="19">
        <f t="shared" si="15"/>
        <v>10309</v>
      </c>
      <c r="E137" s="19">
        <v>3</v>
      </c>
      <c r="F137" s="4">
        <v>3</v>
      </c>
      <c r="G137" s="48">
        <v>0</v>
      </c>
      <c r="H137" s="19" t="s">
        <v>336</v>
      </c>
      <c r="I137" s="19" t="s">
        <v>239</v>
      </c>
      <c r="K137" s="7"/>
      <c r="S137" s="4">
        <v>5</v>
      </c>
      <c r="T137" s="4">
        <v>903</v>
      </c>
    </row>
    <row r="138" spans="1:21" ht="14.25" x14ac:dyDescent="0.15">
      <c r="A138" s="17"/>
      <c r="B138" s="18">
        <v>10042</v>
      </c>
      <c r="C138" s="19">
        <f t="shared" si="16"/>
        <v>10309</v>
      </c>
      <c r="D138" s="19">
        <f t="shared" si="15"/>
        <v>10310</v>
      </c>
      <c r="E138" s="19">
        <v>3</v>
      </c>
      <c r="F138" s="4">
        <v>3</v>
      </c>
      <c r="G138" s="48">
        <v>0</v>
      </c>
      <c r="H138" s="19" t="s">
        <v>337</v>
      </c>
      <c r="I138" s="19" t="s">
        <v>244</v>
      </c>
      <c r="K138" s="7"/>
      <c r="T138" s="4">
        <v>903</v>
      </c>
    </row>
    <row r="139" spans="1:21" ht="14.25" x14ac:dyDescent="0.15">
      <c r="A139" s="17"/>
      <c r="B139" s="18">
        <v>10043</v>
      </c>
      <c r="C139" s="19">
        <f t="shared" si="16"/>
        <v>10310</v>
      </c>
      <c r="D139" s="19">
        <f t="shared" si="15"/>
        <v>10311</v>
      </c>
      <c r="E139" s="19">
        <v>3</v>
      </c>
      <c r="F139" s="4">
        <v>3</v>
      </c>
      <c r="G139" s="48">
        <v>0</v>
      </c>
      <c r="H139" s="19" t="s">
        <v>338</v>
      </c>
      <c r="I139" s="19" t="s">
        <v>239</v>
      </c>
      <c r="K139" s="7"/>
      <c r="T139" s="4">
        <v>903</v>
      </c>
    </row>
    <row r="140" spans="1:21" ht="14.25" x14ac:dyDescent="0.15">
      <c r="A140" s="17"/>
      <c r="B140" s="18">
        <v>10044</v>
      </c>
      <c r="C140" s="19">
        <f t="shared" si="16"/>
        <v>10311</v>
      </c>
      <c r="D140" s="19">
        <f t="shared" si="15"/>
        <v>10312</v>
      </c>
      <c r="E140" s="19">
        <v>3</v>
      </c>
      <c r="F140" s="4">
        <v>3</v>
      </c>
      <c r="G140" s="48">
        <v>0</v>
      </c>
      <c r="H140" s="19" t="s">
        <v>339</v>
      </c>
      <c r="I140" s="19" t="s">
        <v>245</v>
      </c>
      <c r="K140" s="7"/>
      <c r="T140" s="4">
        <v>903</v>
      </c>
    </row>
    <row r="141" spans="1:21" ht="14.25" x14ac:dyDescent="0.15">
      <c r="A141" s="17"/>
      <c r="B141" s="18">
        <v>10045</v>
      </c>
      <c r="C141" s="19">
        <f t="shared" si="16"/>
        <v>10312</v>
      </c>
      <c r="D141" s="19">
        <f t="shared" si="15"/>
        <v>10313</v>
      </c>
      <c r="E141" s="19">
        <v>3</v>
      </c>
      <c r="F141" s="4">
        <v>3</v>
      </c>
      <c r="G141" s="48">
        <v>0</v>
      </c>
      <c r="H141" s="19" t="s">
        <v>340</v>
      </c>
      <c r="I141" s="19" t="s">
        <v>239</v>
      </c>
      <c r="K141" s="7"/>
      <c r="T141" s="4">
        <v>903</v>
      </c>
    </row>
    <row r="142" spans="1:21" ht="14.25" x14ac:dyDescent="0.15">
      <c r="A142" s="17"/>
      <c r="B142" s="18">
        <v>10046</v>
      </c>
      <c r="C142" s="19">
        <f t="shared" si="16"/>
        <v>10313</v>
      </c>
      <c r="D142" s="19">
        <f t="shared" si="15"/>
        <v>10314</v>
      </c>
      <c r="E142" s="19">
        <v>3</v>
      </c>
      <c r="F142" s="4">
        <v>3</v>
      </c>
      <c r="G142" s="48">
        <v>0</v>
      </c>
      <c r="H142" s="19" t="s">
        <v>341</v>
      </c>
      <c r="I142" s="19" t="s">
        <v>246</v>
      </c>
      <c r="T142" s="4">
        <v>903</v>
      </c>
    </row>
    <row r="143" spans="1:21" ht="14.25" x14ac:dyDescent="0.15">
      <c r="A143" s="17"/>
      <c r="B143" s="18">
        <v>10047</v>
      </c>
      <c r="C143" s="19">
        <f t="shared" si="16"/>
        <v>10314</v>
      </c>
      <c r="D143" s="19">
        <f t="shared" si="15"/>
        <v>10315</v>
      </c>
      <c r="E143" s="19">
        <v>3</v>
      </c>
      <c r="F143" s="4">
        <v>3</v>
      </c>
      <c r="G143" s="48">
        <v>0</v>
      </c>
      <c r="H143" s="19" t="s">
        <v>342</v>
      </c>
      <c r="I143" s="19" t="s">
        <v>239</v>
      </c>
      <c r="T143" s="4">
        <v>903</v>
      </c>
    </row>
    <row r="144" spans="1:21" ht="14.25" x14ac:dyDescent="0.15">
      <c r="A144" s="17"/>
      <c r="B144" s="18">
        <v>10048</v>
      </c>
      <c r="C144" s="19">
        <f t="shared" si="16"/>
        <v>10315</v>
      </c>
      <c r="D144" s="19">
        <f t="shared" si="15"/>
        <v>0</v>
      </c>
      <c r="E144" s="19">
        <v>3</v>
      </c>
      <c r="F144" s="4">
        <v>3</v>
      </c>
      <c r="G144" s="48">
        <v>0</v>
      </c>
      <c r="H144" s="19" t="s">
        <v>343</v>
      </c>
      <c r="I144" s="19" t="s">
        <v>247</v>
      </c>
      <c r="T144" s="4">
        <v>903</v>
      </c>
      <c r="U144" s="4">
        <v>1</v>
      </c>
    </row>
    <row r="145" spans="1:26" ht="14.25" x14ac:dyDescent="0.15">
      <c r="A145" s="17"/>
      <c r="B145" s="18"/>
      <c r="C145" s="19"/>
      <c r="D145" s="19"/>
      <c r="E145" s="19"/>
      <c r="F145" s="4"/>
      <c r="G145" s="48"/>
      <c r="H145" s="19"/>
      <c r="I145" s="19"/>
    </row>
    <row r="146" spans="1:26" ht="14.25" x14ac:dyDescent="0.15">
      <c r="A146" s="17"/>
      <c r="B146" s="18"/>
      <c r="C146" s="19"/>
      <c r="D146" s="19"/>
      <c r="E146" s="19"/>
      <c r="F146" s="4"/>
      <c r="G146" s="48"/>
      <c r="H146" s="19"/>
      <c r="I146" s="19"/>
    </row>
    <row r="147" spans="1:26" ht="14.25" x14ac:dyDescent="0.15">
      <c r="A147" s="17"/>
      <c r="B147" s="18"/>
      <c r="C147" s="19"/>
      <c r="D147" s="19"/>
      <c r="E147" s="19"/>
      <c r="F147" s="4"/>
      <c r="G147" s="48"/>
      <c r="H147" s="19"/>
      <c r="I147" s="19"/>
    </row>
    <row r="148" spans="1:26" ht="14.25" x14ac:dyDescent="0.15">
      <c r="A148" s="17"/>
      <c r="B148" s="18"/>
      <c r="C148" s="19"/>
      <c r="D148" s="19"/>
      <c r="E148" s="19"/>
      <c r="F148" s="4"/>
      <c r="G148" s="48"/>
      <c r="H148" s="19"/>
      <c r="I148" s="19"/>
      <c r="K148" s="35"/>
      <c r="L148" s="35"/>
    </row>
    <row r="149" spans="1:26" ht="14.25" x14ac:dyDescent="0.15">
      <c r="A149" s="17"/>
      <c r="B149" s="18"/>
      <c r="C149" s="19"/>
      <c r="D149" s="19"/>
      <c r="E149" s="19"/>
      <c r="F149" s="4"/>
      <c r="G149" s="48"/>
      <c r="H149" s="19"/>
      <c r="I149" s="19"/>
      <c r="J149" s="35"/>
      <c r="K149" s="35"/>
      <c r="L149" s="35"/>
    </row>
    <row r="150" spans="1:26" ht="14.25" x14ac:dyDescent="0.15">
      <c r="B150" s="4"/>
      <c r="C150" s="4"/>
      <c r="D150" s="4"/>
      <c r="E150" s="4"/>
      <c r="F150" s="4"/>
      <c r="H150" s="4"/>
      <c r="I150" s="4"/>
      <c r="J150" s="35"/>
      <c r="K150" s="35"/>
      <c r="L150" s="35"/>
      <c r="Y150" s="19"/>
      <c r="Z150" s="19"/>
    </row>
    <row r="151" spans="1:26" s="35" customFormat="1" ht="14.25" x14ac:dyDescent="0.15">
      <c r="G151" s="49"/>
      <c r="K151" s="4"/>
      <c r="L151" s="4"/>
      <c r="W151" s="37"/>
      <c r="Y151" s="19"/>
      <c r="Z151" s="19"/>
    </row>
    <row r="152" spans="1:26" s="35" customFormat="1" ht="14.25" x14ac:dyDescent="0.15">
      <c r="G152" s="49"/>
      <c r="J152" s="6"/>
      <c r="K152" s="7"/>
      <c r="L152" s="4"/>
      <c r="W152" s="37"/>
      <c r="Y152" s="19"/>
      <c r="Z152" s="19"/>
    </row>
    <row r="153" spans="1:26" s="35" customFormat="1" ht="14.25" x14ac:dyDescent="0.15">
      <c r="G153" s="49"/>
      <c r="J153" s="6"/>
      <c r="K153" s="7"/>
      <c r="L153" s="4"/>
      <c r="W153" s="37"/>
      <c r="Y153" s="19"/>
      <c r="Z153" s="19"/>
    </row>
    <row r="154" spans="1:26" ht="14.25" x14ac:dyDescent="0.15">
      <c r="B154" s="35"/>
      <c r="C154" s="4"/>
      <c r="D154" s="4"/>
      <c r="E154" s="4"/>
      <c r="F154" s="4"/>
      <c r="H154" s="4"/>
      <c r="I154" s="4"/>
      <c r="K154" s="7"/>
      <c r="W154" s="38"/>
      <c r="Y154" s="19"/>
      <c r="Z154" s="19"/>
    </row>
    <row r="155" spans="1:26" ht="14.25" x14ac:dyDescent="0.15">
      <c r="B155" s="35"/>
      <c r="C155" s="4"/>
      <c r="D155" s="4"/>
      <c r="E155" s="4"/>
      <c r="F155" s="4"/>
      <c r="H155" s="4"/>
      <c r="I155" s="4"/>
      <c r="K155" s="7"/>
      <c r="W155" s="38"/>
      <c r="Y155" s="19"/>
      <c r="Z155" s="19"/>
    </row>
    <row r="156" spans="1:26" ht="14.25" x14ac:dyDescent="0.15">
      <c r="B156" s="35"/>
      <c r="C156" s="4"/>
      <c r="D156" s="4"/>
      <c r="E156" s="4"/>
      <c r="F156" s="4"/>
      <c r="H156" s="4"/>
      <c r="I156" s="4"/>
      <c r="W156" s="38"/>
      <c r="Y156" s="19"/>
      <c r="Z156" s="19"/>
    </row>
    <row r="157" spans="1:26" ht="14.25" x14ac:dyDescent="0.15">
      <c r="B157" s="35"/>
      <c r="C157" s="4"/>
      <c r="D157" s="4"/>
      <c r="E157" s="4"/>
      <c r="F157" s="4"/>
      <c r="H157" s="4"/>
      <c r="I157" s="4"/>
      <c r="Y157" s="19"/>
      <c r="Z157" s="19"/>
    </row>
    <row r="158" spans="1:26" ht="14.25" x14ac:dyDescent="0.15">
      <c r="B158" s="35"/>
      <c r="C158" s="4"/>
      <c r="D158" s="4"/>
      <c r="E158" s="4"/>
      <c r="F158" s="4"/>
      <c r="H158" s="4"/>
      <c r="I158" s="4"/>
      <c r="Y158" s="19"/>
      <c r="Z158" s="19"/>
    </row>
    <row r="159" spans="1:26" ht="14.25" x14ac:dyDescent="0.15">
      <c r="B159" s="4"/>
      <c r="C159" s="4"/>
      <c r="D159" s="4"/>
      <c r="E159" s="4"/>
      <c r="F159" s="4"/>
      <c r="H159" s="4"/>
      <c r="I159" s="4"/>
      <c r="Y159" s="19"/>
      <c r="Z159" s="19"/>
    </row>
    <row r="160" spans="1:26" ht="14.25" x14ac:dyDescent="0.15">
      <c r="B160" s="4"/>
      <c r="C160" s="4"/>
      <c r="D160" s="4"/>
      <c r="E160" s="4"/>
      <c r="F160" s="4"/>
      <c r="H160" s="4"/>
      <c r="I160" s="4"/>
      <c r="Y160" s="19"/>
      <c r="Z160" s="19"/>
    </row>
    <row r="161" spans="2:26" ht="14.25" x14ac:dyDescent="0.15">
      <c r="B161" s="4"/>
      <c r="C161" s="4"/>
      <c r="D161" s="4"/>
      <c r="E161" s="4"/>
      <c r="F161" s="4"/>
      <c r="H161" s="4"/>
      <c r="Y161" s="19"/>
      <c r="Z161" s="19"/>
    </row>
    <row r="162" spans="2:26" ht="14.25" x14ac:dyDescent="0.15">
      <c r="B162" s="4"/>
      <c r="C162" s="4"/>
      <c r="D162" s="4"/>
      <c r="E162" s="4"/>
      <c r="F162" s="4"/>
      <c r="H162" s="4"/>
      <c r="I162" s="4"/>
      <c r="Y162" s="19"/>
      <c r="Z162" s="19"/>
    </row>
    <row r="163" spans="2:26" ht="14.25" x14ac:dyDescent="0.15">
      <c r="B163" s="4"/>
      <c r="C163" s="4"/>
      <c r="D163" s="4"/>
      <c r="E163" s="4"/>
      <c r="F163" s="4"/>
      <c r="H163" s="4"/>
      <c r="I163" s="4"/>
      <c r="Y163" s="19"/>
      <c r="Z163" s="19"/>
    </row>
    <row r="164" spans="2:26" ht="14.25" x14ac:dyDescent="0.15">
      <c r="B164" s="4"/>
      <c r="C164" s="4"/>
      <c r="D164" s="4"/>
      <c r="E164" s="4"/>
      <c r="F164" s="4"/>
      <c r="H164" s="4"/>
      <c r="I164" s="4"/>
      <c r="Y164" s="19"/>
      <c r="Z164" s="19"/>
    </row>
    <row r="165" spans="2:26" ht="14.25" x14ac:dyDescent="0.15">
      <c r="B165" s="4"/>
      <c r="C165" s="4"/>
      <c r="D165" s="4"/>
      <c r="E165" s="4"/>
      <c r="F165" s="4"/>
      <c r="H165" s="53"/>
      <c r="I165" s="4"/>
      <c r="Y165" s="19"/>
      <c r="Z165" s="19"/>
    </row>
    <row r="166" spans="2:26" ht="14.25" x14ac:dyDescent="0.15">
      <c r="B166" s="4"/>
      <c r="C166" s="4"/>
      <c r="D166" s="4"/>
      <c r="E166" s="4"/>
      <c r="F166" s="4"/>
      <c r="H166" s="53"/>
      <c r="I166" s="4"/>
      <c r="Y166" s="19"/>
      <c r="Z166" s="19"/>
    </row>
    <row r="167" spans="2:26" ht="14.25" x14ac:dyDescent="0.15">
      <c r="B167" s="4"/>
      <c r="C167" s="4"/>
      <c r="D167" s="4"/>
      <c r="E167" s="4"/>
      <c r="F167" s="4"/>
      <c r="H167" s="53"/>
      <c r="I167" s="4"/>
      <c r="Y167" s="19"/>
      <c r="Z167" s="19"/>
    </row>
    <row r="168" spans="2:26" ht="14.25" x14ac:dyDescent="0.15">
      <c r="B168" s="4"/>
      <c r="C168" s="4"/>
      <c r="D168" s="4"/>
      <c r="E168" s="4"/>
      <c r="F168" s="4"/>
      <c r="H168" s="53"/>
      <c r="I168" s="4"/>
      <c r="Y168" s="19"/>
      <c r="Z168" s="19"/>
    </row>
    <row r="169" spans="2:26" ht="14.25" x14ac:dyDescent="0.15">
      <c r="B169" s="4"/>
      <c r="C169" s="4"/>
      <c r="D169" s="4"/>
      <c r="E169" s="4"/>
      <c r="F169" s="4"/>
      <c r="H169" s="53"/>
      <c r="I169" s="4"/>
    </row>
    <row r="170" spans="2:26" ht="14.25" x14ac:dyDescent="0.15">
      <c r="B170" s="4"/>
      <c r="C170" s="4"/>
      <c r="D170" s="4"/>
      <c r="E170" s="4"/>
      <c r="F170" s="4"/>
      <c r="H170" s="53"/>
      <c r="I170" s="4"/>
    </row>
    <row r="171" spans="2:26" ht="14.25" x14ac:dyDescent="0.15">
      <c r="B171" s="4"/>
      <c r="C171" s="4"/>
      <c r="D171" s="4"/>
      <c r="E171" s="4"/>
      <c r="F171" s="4"/>
      <c r="H171" s="4"/>
      <c r="I171" s="4"/>
      <c r="Y171" s="19"/>
      <c r="Z171" s="19"/>
    </row>
    <row r="172" spans="2:26" ht="14.25" x14ac:dyDescent="0.15">
      <c r="B172" s="4"/>
      <c r="C172" s="4"/>
      <c r="D172" s="4"/>
      <c r="E172" s="4"/>
      <c r="F172" s="4"/>
      <c r="H172" s="4"/>
      <c r="I172" s="4"/>
      <c r="Y172" s="19"/>
      <c r="Z172" s="19"/>
    </row>
    <row r="173" spans="2:26" ht="14.25" x14ac:dyDescent="0.15">
      <c r="B173" s="4"/>
      <c r="C173" s="4"/>
      <c r="D173" s="4"/>
      <c r="E173" s="4"/>
      <c r="F173" s="4"/>
      <c r="H173" s="4"/>
      <c r="I173" s="4"/>
      <c r="Y173" s="19"/>
      <c r="Z173" s="19"/>
    </row>
    <row r="174" spans="2:26" x14ac:dyDescent="0.15">
      <c r="B174" s="4"/>
      <c r="C174" s="4"/>
      <c r="D174" s="4"/>
      <c r="E174" s="4"/>
      <c r="F174" s="4"/>
      <c r="H174" s="4"/>
      <c r="I174" s="4"/>
    </row>
    <row r="175" spans="2:26" x14ac:dyDescent="0.15">
      <c r="B175" s="4"/>
      <c r="C175" s="4"/>
      <c r="D175" s="4"/>
      <c r="E175" s="4"/>
      <c r="F175" s="4"/>
      <c r="H175" s="4"/>
      <c r="I175" s="4"/>
    </row>
    <row r="176" spans="2:26" x14ac:dyDescent="0.15">
      <c r="B176" s="4"/>
      <c r="C176" s="4"/>
      <c r="D176" s="4"/>
      <c r="E176" s="4"/>
      <c r="F176" s="4"/>
      <c r="H176" s="4"/>
      <c r="I176" s="4"/>
    </row>
    <row r="177" spans="2:26" x14ac:dyDescent="0.15">
      <c r="B177" s="4"/>
      <c r="C177" s="4"/>
      <c r="D177" s="4"/>
      <c r="E177" s="4"/>
      <c r="F177" s="4"/>
      <c r="H177" s="4"/>
      <c r="I177" s="4"/>
    </row>
    <row r="178" spans="2:26" x14ac:dyDescent="0.15">
      <c r="B178" s="4"/>
    </row>
    <row r="179" spans="2:26" x14ac:dyDescent="0.15">
      <c r="B179" s="4"/>
      <c r="Y179" s="35"/>
      <c r="Z179" s="35"/>
    </row>
    <row r="180" spans="2:26" x14ac:dyDescent="0.15">
      <c r="B180" s="4"/>
      <c r="Y180" s="35"/>
      <c r="Z180" s="35"/>
    </row>
    <row r="181" spans="2:26" x14ac:dyDescent="0.15">
      <c r="B181" s="4"/>
      <c r="Y181" s="35"/>
      <c r="Z181" s="35"/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37"/>
  <sheetViews>
    <sheetView tabSelected="1" zoomScaleNormal="100" workbookViewId="0">
      <pane ySplit="8" topLeftCell="A15" activePane="bottomLeft" state="frozen"/>
      <selection pane="bottomLeft" activeCell="D36" sqref="D36"/>
    </sheetView>
  </sheetViews>
  <sheetFormatPr defaultColWidth="9" defaultRowHeight="13.5" x14ac:dyDescent="0.15"/>
  <cols>
    <col min="1" max="1" width="9" style="4" customWidth="1"/>
    <col min="2" max="3" width="10.625" style="6" customWidth="1"/>
    <col min="4" max="4" width="21.875" style="6" customWidth="1"/>
    <col min="5" max="5" width="11.875" style="6" customWidth="1"/>
    <col min="6" max="6" width="13.5" style="6" customWidth="1"/>
    <col min="7" max="7" width="10.75" style="4" customWidth="1"/>
    <col min="8" max="8" width="8.25" style="4" customWidth="1"/>
    <col min="9" max="9" width="11.75" style="6" customWidth="1"/>
    <col min="10" max="10" width="8.875" style="6" customWidth="1"/>
    <col min="11" max="11" width="11.375" style="4" customWidth="1"/>
    <col min="12" max="12" width="21.75" style="4" customWidth="1"/>
    <col min="13" max="13" width="13.625" style="4" customWidth="1"/>
    <col min="14" max="14" width="7.75" style="4" customWidth="1"/>
    <col min="15" max="15" width="17.375" style="4" customWidth="1"/>
    <col min="16" max="16" width="10.625" style="38" customWidth="1"/>
    <col min="17" max="17" width="8.375" style="4" bestFit="1" customWidth="1"/>
    <col min="18" max="19" width="9" style="4" customWidth="1"/>
    <col min="20" max="16384" width="9" style="4"/>
  </cols>
  <sheetData>
    <row r="1" spans="1:23" s="1" customFormat="1" x14ac:dyDescent="0.15">
      <c r="A1" s="5" t="s">
        <v>222</v>
      </c>
      <c r="B1" s="1" t="s">
        <v>1</v>
      </c>
      <c r="C1" s="1" t="s">
        <v>1</v>
      </c>
      <c r="D1" s="1" t="s">
        <v>1</v>
      </c>
      <c r="E1" s="1" t="s">
        <v>1</v>
      </c>
      <c r="F1" s="1" t="s">
        <v>1</v>
      </c>
      <c r="G1" s="1" t="s">
        <v>1</v>
      </c>
      <c r="H1" s="1" t="s">
        <v>1</v>
      </c>
      <c r="I1" s="1" t="s">
        <v>146</v>
      </c>
      <c r="J1" s="1" t="s">
        <v>1</v>
      </c>
      <c r="K1" s="1" t="s">
        <v>147</v>
      </c>
      <c r="L1" s="50" t="s">
        <v>152</v>
      </c>
      <c r="M1" s="1" t="s">
        <v>1</v>
      </c>
      <c r="N1" s="1" t="s">
        <v>1</v>
      </c>
      <c r="O1" s="1" t="s">
        <v>1</v>
      </c>
      <c r="P1" s="39" t="s">
        <v>1</v>
      </c>
    </row>
    <row r="2" spans="1:23" s="1" customFormat="1" x14ac:dyDescent="0.15">
      <c r="A2" s="5" t="s">
        <v>2</v>
      </c>
      <c r="B2" s="1" t="s">
        <v>1</v>
      </c>
      <c r="C2" s="1" t="s">
        <v>1</v>
      </c>
      <c r="D2" s="1" t="s">
        <v>1</v>
      </c>
      <c r="E2" s="1" t="s">
        <v>1</v>
      </c>
      <c r="F2" s="1" t="s">
        <v>1</v>
      </c>
      <c r="G2" s="1" t="s">
        <v>1</v>
      </c>
      <c r="H2" s="1" t="s">
        <v>1</v>
      </c>
      <c r="I2" s="1" t="s">
        <v>146</v>
      </c>
      <c r="J2" s="1" t="s">
        <v>1</v>
      </c>
      <c r="K2" s="1" t="s">
        <v>147</v>
      </c>
      <c r="L2" s="50" t="s">
        <v>152</v>
      </c>
      <c r="M2" s="1" t="s">
        <v>1</v>
      </c>
      <c r="N2" s="1" t="s">
        <v>1</v>
      </c>
      <c r="O2" s="1" t="s">
        <v>1</v>
      </c>
      <c r="P2" s="39" t="s">
        <v>1</v>
      </c>
    </row>
    <row r="3" spans="1:23" s="2" customFormat="1" ht="14.25" x14ac:dyDescent="0.15">
      <c r="A3" s="16" t="s">
        <v>1</v>
      </c>
      <c r="B3" s="16" t="s">
        <v>3</v>
      </c>
      <c r="C3" s="16" t="s">
        <v>3</v>
      </c>
      <c r="D3" s="16" t="s">
        <v>18</v>
      </c>
      <c r="E3" s="16" t="s">
        <v>3</v>
      </c>
      <c r="F3" s="16" t="s">
        <v>3</v>
      </c>
      <c r="G3" s="2" t="s">
        <v>3</v>
      </c>
      <c r="H3" s="2" t="s">
        <v>18</v>
      </c>
      <c r="I3" s="2" t="s">
        <v>18</v>
      </c>
      <c r="J3" s="2" t="s">
        <v>18</v>
      </c>
      <c r="K3" s="2" t="s">
        <v>148</v>
      </c>
      <c r="L3" s="51" t="s">
        <v>157</v>
      </c>
      <c r="M3" s="16" t="s">
        <v>3</v>
      </c>
      <c r="N3" s="16" t="s">
        <v>3</v>
      </c>
      <c r="O3" s="51" t="s">
        <v>157</v>
      </c>
      <c r="P3" s="59" t="s">
        <v>18</v>
      </c>
      <c r="Q3" s="28" t="s">
        <v>24</v>
      </c>
      <c r="R3" s="28" t="s">
        <v>14</v>
      </c>
      <c r="S3" s="28" t="s">
        <v>25</v>
      </c>
      <c r="T3" s="28" t="s">
        <v>26</v>
      </c>
      <c r="U3" s="28" t="s">
        <v>46</v>
      </c>
    </row>
    <row r="4" spans="1:23" s="2" customFormat="1" ht="14.25" x14ac:dyDescent="0.15">
      <c r="A4" s="16"/>
      <c r="B4" s="16" t="s">
        <v>4</v>
      </c>
      <c r="C4" s="16" t="s">
        <v>5</v>
      </c>
      <c r="D4" s="16" t="s">
        <v>19</v>
      </c>
      <c r="E4" s="16" t="s">
        <v>20</v>
      </c>
      <c r="F4" s="16" t="s">
        <v>7</v>
      </c>
      <c r="G4" s="2" t="s">
        <v>237</v>
      </c>
      <c r="H4" s="2" t="s">
        <v>21</v>
      </c>
      <c r="I4" s="2" t="s">
        <v>144</v>
      </c>
      <c r="J4" s="2" t="s">
        <v>170</v>
      </c>
      <c r="K4" s="2" t="s">
        <v>149</v>
      </c>
      <c r="L4" s="51" t="s">
        <v>213</v>
      </c>
      <c r="M4" s="16" t="s">
        <v>216</v>
      </c>
      <c r="N4" s="16" t="s">
        <v>217</v>
      </c>
      <c r="O4" s="16" t="s">
        <v>285</v>
      </c>
      <c r="P4" s="59" t="s">
        <v>290</v>
      </c>
      <c r="Q4" s="4" t="s">
        <v>179</v>
      </c>
      <c r="R4" s="4"/>
      <c r="S4" s="4" t="s">
        <v>178</v>
      </c>
      <c r="T4" s="4" t="s">
        <v>179</v>
      </c>
      <c r="U4" s="4">
        <v>0</v>
      </c>
    </row>
    <row r="5" spans="1:23" s="2" customFormat="1" ht="14.25" x14ac:dyDescent="0.15">
      <c r="A5" s="16"/>
      <c r="B5" s="16" t="str">
        <f>IF(B3="","",IF(B3="INT","i",IF(B3="FLOAT","f",IF(B3="STRING","s"))))</f>
        <v>i</v>
      </c>
      <c r="C5" s="16" t="str">
        <f>IF(C3="","",IF(C3="INT","i",IF(C3="FLOAT","f",IF(C3="STRING","s"))))</f>
        <v>i</v>
      </c>
      <c r="D5" s="16" t="str">
        <f>IF(D3="","",IF(D3="INT","i",IF(D3="FLOAT","f",IF(D3="STRING","s"))))</f>
        <v>s</v>
      </c>
      <c r="E5" s="16" t="s">
        <v>10</v>
      </c>
      <c r="F5" s="16" t="str">
        <f>IF(F3="","",IF(F3="INT","i",IF(F3="FLOAT","f",IF(F3="STRING","s"))))</f>
        <v>i</v>
      </c>
      <c r="G5" s="2" t="s">
        <v>10</v>
      </c>
      <c r="H5" s="2" t="s">
        <v>22</v>
      </c>
      <c r="I5" s="2" t="s">
        <v>22</v>
      </c>
      <c r="J5" s="2" t="s">
        <v>22</v>
      </c>
      <c r="K5" s="2" t="s">
        <v>150</v>
      </c>
      <c r="L5" s="51" t="s">
        <v>153</v>
      </c>
      <c r="M5" s="16" t="s">
        <v>10</v>
      </c>
      <c r="N5" s="16" t="s">
        <v>10</v>
      </c>
      <c r="O5" s="16" t="s">
        <v>288</v>
      </c>
      <c r="P5" s="59" t="str">
        <f>IF(P3="","",IF(P3="INT","i",IF(P3="FLOAT","f",IF(P3="STRING","s"))))</f>
        <v>s</v>
      </c>
      <c r="Q5" s="4"/>
      <c r="R5" s="4"/>
      <c r="S5" s="4"/>
      <c r="T5" s="4"/>
      <c r="U5" s="4">
        <v>1</v>
      </c>
    </row>
    <row r="6" spans="1:23" s="2" customFormat="1" ht="14.25" x14ac:dyDescent="0.15">
      <c r="A6" s="16" t="s">
        <v>1</v>
      </c>
      <c r="B6" s="16" t="str">
        <f t="shared" ref="B6:H6" si="0">B5&amp;B4</f>
        <v>iID</v>
      </c>
      <c r="C6" s="16" t="str">
        <f t="shared" si="0"/>
        <v>iTaskId</v>
      </c>
      <c r="D6" s="16" t="str">
        <f t="shared" si="0"/>
        <v>sDesireDesc</v>
      </c>
      <c r="E6" s="16" t="str">
        <f>E5&amp;E4</f>
        <v>iDesireValue</v>
      </c>
      <c r="F6" s="16" t="str">
        <f t="shared" si="0"/>
        <v>iItemId</v>
      </c>
      <c r="G6" s="2" t="str">
        <f t="shared" si="0"/>
        <v>iCommonId</v>
      </c>
      <c r="H6" s="2" t="str">
        <f t="shared" si="0"/>
        <v>sJumpTo</v>
      </c>
      <c r="I6" s="2" t="str">
        <f>I5&amp;I4</f>
        <v>sNpcSectionID</v>
      </c>
      <c r="J6" s="2" t="s">
        <v>171</v>
      </c>
      <c r="K6" s="2" t="str">
        <f>K5&amp;K4</f>
        <v>iDesireType</v>
      </c>
      <c r="L6" s="51" t="str">
        <f t="shared" ref="L6" si="1">L5&amp;L4</f>
        <v>sConditions</v>
      </c>
      <c r="M6" s="16" t="str">
        <f>M5&amp;M4</f>
        <v>iGuideObjectID</v>
      </c>
      <c r="N6" s="16" t="str">
        <f>N5&amp;N4</f>
        <v>iPriority</v>
      </c>
      <c r="O6" s="16" t="str">
        <f>O5&amp;O4</f>
        <v>sJumpToSceneType</v>
      </c>
      <c r="P6" s="59" t="str">
        <f t="shared" ref="P6" si="2">P5&amp;P4</f>
        <v>sDesireTitle</v>
      </c>
      <c r="Q6" s="4" t="s">
        <v>180</v>
      </c>
      <c r="R6" s="4" t="s">
        <v>181</v>
      </c>
      <c r="S6" s="4"/>
      <c r="T6" s="4"/>
      <c r="U6" s="4">
        <v>2</v>
      </c>
    </row>
    <row r="7" spans="1:23" s="3" customFormat="1" ht="14.25" x14ac:dyDescent="0.15">
      <c r="A7" s="16"/>
      <c r="B7" s="16" t="s">
        <v>11</v>
      </c>
      <c r="C7" s="16" t="s">
        <v>12</v>
      </c>
      <c r="D7" s="16" t="s">
        <v>23</v>
      </c>
      <c r="E7" s="16" t="s">
        <v>24</v>
      </c>
      <c r="F7" s="16" t="s">
        <v>14</v>
      </c>
      <c r="G7" s="3" t="s">
        <v>238</v>
      </c>
      <c r="H7" s="3" t="s">
        <v>26</v>
      </c>
      <c r="I7" s="3" t="s">
        <v>145</v>
      </c>
      <c r="J7" s="3" t="s">
        <v>172</v>
      </c>
      <c r="K7" s="3" t="s">
        <v>151</v>
      </c>
      <c r="L7" s="51" t="s">
        <v>214</v>
      </c>
      <c r="M7" s="16" t="s">
        <v>57</v>
      </c>
      <c r="N7" s="16" t="s">
        <v>215</v>
      </c>
      <c r="O7" s="16" t="s">
        <v>286</v>
      </c>
      <c r="P7" s="59" t="s">
        <v>289</v>
      </c>
      <c r="Q7" s="4"/>
      <c r="R7" s="4"/>
      <c r="S7" s="4"/>
      <c r="T7" s="4"/>
      <c r="U7" s="4">
        <v>3</v>
      </c>
    </row>
    <row r="8" spans="1:23" s="3" customFormat="1" ht="14.25" x14ac:dyDescent="0.15">
      <c r="A8" s="16" t="s">
        <v>17</v>
      </c>
      <c r="B8" s="16" t="e">
        <f>MODE(B13:B967)</f>
        <v>#N/A</v>
      </c>
      <c r="C8" s="16">
        <v>0</v>
      </c>
      <c r="D8" s="16">
        <v>0</v>
      </c>
      <c r="E8" s="16">
        <v>0</v>
      </c>
      <c r="F8" s="16">
        <v>0</v>
      </c>
      <c r="G8" s="3">
        <v>0</v>
      </c>
      <c r="K8" s="3">
        <v>0</v>
      </c>
      <c r="M8" s="16">
        <v>1</v>
      </c>
      <c r="N8" s="16">
        <v>0</v>
      </c>
      <c r="O8" s="16">
        <v>0</v>
      </c>
      <c r="P8" s="59">
        <v>0</v>
      </c>
      <c r="Q8" s="4">
        <v>1</v>
      </c>
      <c r="R8" s="4"/>
      <c r="S8" s="4" t="s">
        <v>178</v>
      </c>
      <c r="T8" s="4" t="s">
        <v>179</v>
      </c>
      <c r="U8" s="4">
        <v>4</v>
      </c>
    </row>
    <row r="9" spans="1:23" s="33" customFormat="1" ht="15.75" customHeight="1" x14ac:dyDescent="0.15">
      <c r="A9" s="25"/>
      <c r="B9" s="25"/>
      <c r="C9" s="25"/>
      <c r="D9" s="25"/>
      <c r="E9" s="56"/>
      <c r="F9" s="25"/>
      <c r="K9" s="57" t="s">
        <v>255</v>
      </c>
      <c r="M9" s="25"/>
      <c r="N9" s="25"/>
      <c r="O9" s="58" t="s">
        <v>833</v>
      </c>
      <c r="P9" s="60"/>
      <c r="Q9" s="4" t="s">
        <v>180</v>
      </c>
      <c r="R9" s="4" t="s">
        <v>181</v>
      </c>
      <c r="S9" s="4" t="s">
        <v>178</v>
      </c>
      <c r="T9" s="4" t="s">
        <v>179</v>
      </c>
      <c r="U9" s="4">
        <v>5</v>
      </c>
    </row>
    <row r="10" spans="1:23" ht="14.25" x14ac:dyDescent="0.15">
      <c r="A10" s="4" t="s">
        <v>1</v>
      </c>
      <c r="B10" s="4" t="str">
        <f t="shared" ref="B10:B11" si="3">IF(C10=C9,B9+1,C10&amp;"01")</f>
        <v>1010101</v>
      </c>
      <c r="C10" s="54">
        <v>10101</v>
      </c>
      <c r="D10" s="6" t="s">
        <v>764</v>
      </c>
      <c r="G10" s="4">
        <v>1006</v>
      </c>
      <c r="H10" s="4">
        <v>90101062</v>
      </c>
      <c r="K10" s="4">
        <v>0</v>
      </c>
      <c r="L10" s="4" t="s">
        <v>652</v>
      </c>
      <c r="M10" s="19">
        <v>1</v>
      </c>
      <c r="N10" s="19">
        <v>2</v>
      </c>
      <c r="O10" s="19">
        <v>8</v>
      </c>
      <c r="P10" s="61" t="s">
        <v>345</v>
      </c>
    </row>
    <row r="11" spans="1:23" ht="14.25" x14ac:dyDescent="0.15">
      <c r="A11" s="4" t="s">
        <v>1</v>
      </c>
      <c r="B11" s="4">
        <f t="shared" si="3"/>
        <v>1010102</v>
      </c>
      <c r="C11" s="54">
        <v>10101</v>
      </c>
      <c r="D11" s="6" t="s">
        <v>765</v>
      </c>
      <c r="E11" s="52"/>
      <c r="G11" s="4">
        <v>1006</v>
      </c>
      <c r="H11" s="4">
        <v>90102336</v>
      </c>
      <c r="K11" s="4">
        <v>0</v>
      </c>
      <c r="L11" s="4" t="s">
        <v>653</v>
      </c>
      <c r="M11" s="19">
        <v>2</v>
      </c>
      <c r="N11" s="19">
        <v>1</v>
      </c>
      <c r="O11" s="19">
        <v>8</v>
      </c>
      <c r="P11" s="61" t="s">
        <v>346</v>
      </c>
      <c r="W11" s="55"/>
    </row>
    <row r="12" spans="1:23" ht="14.25" x14ac:dyDescent="0.15">
      <c r="A12" s="4" t="s">
        <v>1</v>
      </c>
      <c r="B12" s="4" t="str">
        <f t="shared" ref="B12:B75" si="4">IF(C12=C11,B11+1,C12&amp;"01")</f>
        <v>1010201</v>
      </c>
      <c r="C12" s="54">
        <v>10102</v>
      </c>
      <c r="D12" s="6" t="s">
        <v>766</v>
      </c>
      <c r="E12" s="52"/>
      <c r="G12" s="4">
        <v>1006</v>
      </c>
      <c r="H12" s="4">
        <v>90103114</v>
      </c>
      <c r="K12" s="4">
        <v>0</v>
      </c>
      <c r="L12" s="4" t="s">
        <v>382</v>
      </c>
      <c r="M12" s="19">
        <v>5</v>
      </c>
      <c r="N12" s="19">
        <v>0</v>
      </c>
      <c r="O12" s="19">
        <v>8</v>
      </c>
      <c r="P12" s="61" t="s">
        <v>429</v>
      </c>
    </row>
    <row r="13" spans="1:23" ht="15.75" customHeight="1" x14ac:dyDescent="0.15">
      <c r="A13" s="4" t="s">
        <v>1</v>
      </c>
      <c r="B13" s="4" t="str">
        <f t="shared" si="4"/>
        <v>1010301</v>
      </c>
      <c r="C13" s="54">
        <v>10103</v>
      </c>
      <c r="D13" s="6" t="s">
        <v>767</v>
      </c>
      <c r="E13" s="52"/>
      <c r="G13" s="4">
        <v>1006</v>
      </c>
      <c r="H13" s="4">
        <v>90104000</v>
      </c>
      <c r="K13" s="4">
        <v>0</v>
      </c>
      <c r="L13" s="4" t="s">
        <v>383</v>
      </c>
      <c r="M13" s="19">
        <v>1</v>
      </c>
      <c r="N13" s="19">
        <v>0</v>
      </c>
      <c r="O13" s="19">
        <v>8</v>
      </c>
      <c r="P13" s="61" t="s">
        <v>430</v>
      </c>
    </row>
    <row r="14" spans="1:23" ht="14.25" x14ac:dyDescent="0.15">
      <c r="A14" s="4" t="s">
        <v>1</v>
      </c>
      <c r="B14" s="4" t="str">
        <f t="shared" si="4"/>
        <v>1010401</v>
      </c>
      <c r="C14" s="54">
        <v>10104</v>
      </c>
      <c r="D14" s="6" t="s">
        <v>556</v>
      </c>
      <c r="E14" s="52">
        <v>5</v>
      </c>
      <c r="F14" s="6">
        <v>31011</v>
      </c>
      <c r="G14" s="6">
        <v>1016</v>
      </c>
      <c r="K14" s="4">
        <v>2</v>
      </c>
      <c r="L14" s="4" t="s">
        <v>654</v>
      </c>
      <c r="M14" s="19">
        <v>1</v>
      </c>
      <c r="N14" s="19">
        <v>0</v>
      </c>
      <c r="O14" s="19" t="s">
        <v>287</v>
      </c>
      <c r="P14" s="61" t="s">
        <v>441</v>
      </c>
    </row>
    <row r="15" spans="1:23" ht="14.25" x14ac:dyDescent="0.15">
      <c r="A15" s="4" t="s">
        <v>1</v>
      </c>
      <c r="B15" s="4" t="str">
        <f t="shared" si="4"/>
        <v>1010501</v>
      </c>
      <c r="C15" s="54">
        <v>10105</v>
      </c>
      <c r="D15" s="6" t="s">
        <v>768</v>
      </c>
      <c r="G15" s="4">
        <v>1006</v>
      </c>
      <c r="H15" s="4">
        <v>90105446</v>
      </c>
      <c r="K15" s="4">
        <v>0</v>
      </c>
      <c r="L15" s="4" t="s">
        <v>384</v>
      </c>
      <c r="M15" s="19">
        <v>5</v>
      </c>
      <c r="N15" s="19">
        <v>0</v>
      </c>
      <c r="O15" s="19">
        <v>8</v>
      </c>
      <c r="P15" s="61" t="s">
        <v>431</v>
      </c>
    </row>
    <row r="16" spans="1:23" ht="14.25" x14ac:dyDescent="0.15">
      <c r="A16" s="4" t="s">
        <v>1</v>
      </c>
      <c r="B16" s="4" t="str">
        <f t="shared" si="4"/>
        <v>1010601</v>
      </c>
      <c r="C16" s="54">
        <v>10106</v>
      </c>
      <c r="D16" s="6" t="s">
        <v>557</v>
      </c>
      <c r="E16" s="52">
        <v>5</v>
      </c>
      <c r="F16" s="6">
        <v>31011</v>
      </c>
      <c r="G16" s="6">
        <v>1023</v>
      </c>
      <c r="K16" s="4">
        <v>6</v>
      </c>
      <c r="L16" s="4" t="s">
        <v>558</v>
      </c>
      <c r="M16" s="19">
        <v>5</v>
      </c>
      <c r="N16" s="19">
        <v>0</v>
      </c>
      <c r="O16" s="19">
        <v>10</v>
      </c>
      <c r="P16" s="61" t="s">
        <v>442</v>
      </c>
    </row>
    <row r="17" spans="1:23" ht="14.25" x14ac:dyDescent="0.15">
      <c r="A17" s="4" t="s">
        <v>1</v>
      </c>
      <c r="B17" s="4" t="str">
        <f t="shared" si="4"/>
        <v>1010701</v>
      </c>
      <c r="C17" s="54">
        <v>10107</v>
      </c>
      <c r="D17" s="6" t="s">
        <v>769</v>
      </c>
      <c r="G17" s="4">
        <v>1006</v>
      </c>
      <c r="H17" s="4">
        <v>90106000</v>
      </c>
      <c r="K17" s="4">
        <v>0</v>
      </c>
      <c r="L17" s="4" t="s">
        <v>385</v>
      </c>
      <c r="M17" s="19">
        <v>5</v>
      </c>
      <c r="N17" s="19">
        <v>0</v>
      </c>
      <c r="O17" s="19">
        <v>8</v>
      </c>
      <c r="P17" s="61" t="s">
        <v>432</v>
      </c>
    </row>
    <row r="18" spans="1:23" ht="14.25" x14ac:dyDescent="0.15">
      <c r="A18" s="4" t="s">
        <v>1</v>
      </c>
      <c r="B18" s="4" t="str">
        <f t="shared" si="4"/>
        <v>1010801</v>
      </c>
      <c r="C18" s="54">
        <v>10108</v>
      </c>
      <c r="D18" s="6" t="s">
        <v>406</v>
      </c>
      <c r="E18" s="52">
        <v>1</v>
      </c>
      <c r="G18" s="6">
        <v>1001</v>
      </c>
      <c r="K18" s="4">
        <v>6</v>
      </c>
      <c r="L18" s="4" t="s">
        <v>376</v>
      </c>
      <c r="M18" s="19">
        <v>5</v>
      </c>
      <c r="N18" s="19">
        <v>0</v>
      </c>
      <c r="O18" s="19">
        <v>10</v>
      </c>
      <c r="P18" s="61" t="s">
        <v>444</v>
      </c>
    </row>
    <row r="19" spans="1:23" ht="14.25" x14ac:dyDescent="0.15">
      <c r="A19" s="4" t="s">
        <v>1</v>
      </c>
      <c r="B19" s="4" t="str">
        <f t="shared" si="4"/>
        <v>1010901</v>
      </c>
      <c r="C19" s="54">
        <v>10109</v>
      </c>
      <c r="D19" s="6" t="s">
        <v>655</v>
      </c>
      <c r="E19" s="52">
        <v>1</v>
      </c>
      <c r="G19" s="6">
        <v>1008</v>
      </c>
      <c r="K19" s="4">
        <v>6</v>
      </c>
      <c r="L19" s="4" t="s">
        <v>559</v>
      </c>
      <c r="M19" s="19">
        <v>1</v>
      </c>
      <c r="N19" s="19">
        <v>0</v>
      </c>
      <c r="O19" s="19">
        <v>17</v>
      </c>
      <c r="P19" s="61" t="s">
        <v>461</v>
      </c>
    </row>
    <row r="20" spans="1:23" ht="14.25" x14ac:dyDescent="0.15">
      <c r="A20" s="4" t="s">
        <v>1</v>
      </c>
      <c r="B20" s="4" t="str">
        <f t="shared" si="4"/>
        <v>1011001</v>
      </c>
      <c r="C20" s="54">
        <v>10110</v>
      </c>
      <c r="D20" s="6" t="s">
        <v>770</v>
      </c>
      <c r="G20" s="4">
        <v>1006</v>
      </c>
      <c r="H20" s="4">
        <v>90107000</v>
      </c>
      <c r="K20" s="4">
        <v>0</v>
      </c>
      <c r="L20" s="4" t="s">
        <v>656</v>
      </c>
      <c r="M20" s="19">
        <v>5</v>
      </c>
      <c r="N20" s="19">
        <v>0</v>
      </c>
      <c r="O20" s="19">
        <v>8</v>
      </c>
      <c r="P20" s="61" t="s">
        <v>347</v>
      </c>
    </row>
    <row r="21" spans="1:23" ht="14.25" x14ac:dyDescent="0.15">
      <c r="A21" s="4" t="s">
        <v>1</v>
      </c>
      <c r="B21" s="4" t="str">
        <f t="shared" si="4"/>
        <v>1011101</v>
      </c>
      <c r="C21" s="54">
        <v>10111</v>
      </c>
      <c r="D21" s="6" t="s">
        <v>756</v>
      </c>
      <c r="E21" s="52">
        <v>1</v>
      </c>
      <c r="G21" s="4">
        <v>1046</v>
      </c>
      <c r="K21" s="4">
        <v>6</v>
      </c>
      <c r="M21" s="19">
        <v>1</v>
      </c>
      <c r="N21" s="19">
        <v>0</v>
      </c>
      <c r="O21" s="19">
        <v>6</v>
      </c>
      <c r="P21" s="61" t="s">
        <v>757</v>
      </c>
    </row>
    <row r="22" spans="1:23" ht="14.25" x14ac:dyDescent="0.15">
      <c r="A22" s="4" t="s">
        <v>1</v>
      </c>
      <c r="B22" s="4" t="str">
        <f t="shared" si="4"/>
        <v>1011201</v>
      </c>
      <c r="C22" s="54">
        <v>10112</v>
      </c>
      <c r="D22" s="6" t="s">
        <v>460</v>
      </c>
      <c r="E22" s="52">
        <v>1</v>
      </c>
      <c r="F22" s="6">
        <v>31021</v>
      </c>
      <c r="G22" s="6">
        <v>1023</v>
      </c>
      <c r="K22" s="4">
        <v>6</v>
      </c>
      <c r="L22" s="4" t="s">
        <v>554</v>
      </c>
      <c r="M22" s="19">
        <v>5</v>
      </c>
      <c r="N22" s="19">
        <v>0</v>
      </c>
      <c r="O22" s="19">
        <v>10</v>
      </c>
      <c r="P22" s="61" t="s">
        <v>443</v>
      </c>
    </row>
    <row r="23" spans="1:23" ht="14.25" x14ac:dyDescent="0.15">
      <c r="A23" s="4" t="s">
        <v>1</v>
      </c>
      <c r="B23" s="4" t="str">
        <f t="shared" si="4"/>
        <v>1011301</v>
      </c>
      <c r="C23" s="54">
        <v>10113</v>
      </c>
      <c r="D23" s="6" t="s">
        <v>771</v>
      </c>
      <c r="E23" s="52"/>
      <c r="G23" s="4">
        <v>1006</v>
      </c>
      <c r="H23" s="4">
        <v>90108001</v>
      </c>
      <c r="K23" s="4">
        <v>0</v>
      </c>
      <c r="L23" s="4" t="s">
        <v>386</v>
      </c>
      <c r="M23" s="19">
        <v>14</v>
      </c>
      <c r="N23" s="19">
        <v>0</v>
      </c>
      <c r="O23" s="19">
        <v>8</v>
      </c>
      <c r="P23" s="61" t="s">
        <v>348</v>
      </c>
    </row>
    <row r="24" spans="1:23" ht="14.25" x14ac:dyDescent="0.15">
      <c r="A24" s="4" t="s">
        <v>1</v>
      </c>
      <c r="B24" s="4" t="str">
        <f t="shared" si="4"/>
        <v>1011401</v>
      </c>
      <c r="C24" s="54">
        <v>10114</v>
      </c>
      <c r="D24" s="6" t="s">
        <v>657</v>
      </c>
      <c r="E24" s="52">
        <v>10</v>
      </c>
      <c r="G24" s="4">
        <v>1044</v>
      </c>
      <c r="K24" s="4">
        <v>6</v>
      </c>
      <c r="M24" s="19">
        <v>1</v>
      </c>
      <c r="N24" s="19">
        <v>0</v>
      </c>
      <c r="O24" s="19">
        <v>19</v>
      </c>
      <c r="P24" s="61" t="s">
        <v>462</v>
      </c>
    </row>
    <row r="25" spans="1:23" ht="14.25" x14ac:dyDescent="0.15">
      <c r="A25" s="4" t="s">
        <v>1</v>
      </c>
      <c r="B25" s="4" t="str">
        <f t="shared" si="4"/>
        <v>1011501</v>
      </c>
      <c r="C25" s="54">
        <v>10115</v>
      </c>
      <c r="D25" s="6" t="s">
        <v>555</v>
      </c>
      <c r="E25" s="52">
        <v>1</v>
      </c>
      <c r="G25" s="6">
        <v>1018</v>
      </c>
      <c r="K25" s="4">
        <v>6</v>
      </c>
      <c r="L25" s="4" t="s">
        <v>440</v>
      </c>
      <c r="M25" s="19">
        <v>1</v>
      </c>
      <c r="N25" s="19">
        <v>0</v>
      </c>
      <c r="O25" s="19">
        <v>7</v>
      </c>
      <c r="P25" s="61" t="s">
        <v>463</v>
      </c>
    </row>
    <row r="26" spans="1:23" ht="14.25" x14ac:dyDescent="0.15">
      <c r="A26" s="4" t="s">
        <v>1</v>
      </c>
      <c r="B26" s="4" t="str">
        <f t="shared" si="4"/>
        <v>1020101</v>
      </c>
      <c r="C26" s="54">
        <v>10201</v>
      </c>
      <c r="D26" s="6" t="s">
        <v>772</v>
      </c>
      <c r="E26" s="52"/>
      <c r="G26" s="4">
        <v>1006</v>
      </c>
      <c r="H26" s="4">
        <v>90201146</v>
      </c>
      <c r="K26" s="4">
        <v>0</v>
      </c>
      <c r="L26" s="4" t="s">
        <v>387</v>
      </c>
      <c r="M26" s="19">
        <v>1</v>
      </c>
      <c r="N26" s="19">
        <v>0</v>
      </c>
      <c r="O26" s="19">
        <v>8</v>
      </c>
      <c r="P26" s="61" t="s">
        <v>464</v>
      </c>
      <c r="W26" s="55"/>
    </row>
    <row r="27" spans="1:23" ht="14.25" x14ac:dyDescent="0.15">
      <c r="A27" s="4" t="s">
        <v>1</v>
      </c>
      <c r="B27" s="4" t="str">
        <f t="shared" si="4"/>
        <v>1020201</v>
      </c>
      <c r="C27" s="54">
        <v>10202</v>
      </c>
      <c r="D27" s="6" t="s">
        <v>773</v>
      </c>
      <c r="E27" s="52"/>
      <c r="G27" s="4">
        <v>1006</v>
      </c>
      <c r="H27" s="4">
        <v>90202148</v>
      </c>
      <c r="K27" s="4">
        <v>0</v>
      </c>
      <c r="L27" s="4" t="s">
        <v>380</v>
      </c>
      <c r="M27" s="19">
        <v>5</v>
      </c>
      <c r="N27" s="19">
        <v>0</v>
      </c>
      <c r="O27" s="19">
        <v>8</v>
      </c>
      <c r="P27" s="61" t="s">
        <v>465</v>
      </c>
    </row>
    <row r="28" spans="1:23" ht="14.25" x14ac:dyDescent="0.15">
      <c r="A28" s="4" t="s">
        <v>1</v>
      </c>
      <c r="B28" s="4" t="str">
        <f t="shared" si="4"/>
        <v>1020301</v>
      </c>
      <c r="C28" s="54">
        <v>10203</v>
      </c>
      <c r="D28" s="6" t="s">
        <v>437</v>
      </c>
      <c r="E28" s="52">
        <v>1</v>
      </c>
      <c r="G28" s="6">
        <v>1001</v>
      </c>
      <c r="K28" s="4">
        <v>6</v>
      </c>
      <c r="L28" s="4" t="s">
        <v>435</v>
      </c>
      <c r="M28" s="19">
        <v>5</v>
      </c>
      <c r="N28" s="19">
        <v>0</v>
      </c>
      <c r="O28" s="19">
        <v>10</v>
      </c>
      <c r="P28" s="61" t="s">
        <v>444</v>
      </c>
    </row>
    <row r="29" spans="1:23" ht="14.25" x14ac:dyDescent="0.15">
      <c r="A29" s="4" t="s">
        <v>1</v>
      </c>
      <c r="B29" s="4" t="str">
        <f t="shared" si="4"/>
        <v>1020401</v>
      </c>
      <c r="C29" s="54">
        <v>10204</v>
      </c>
      <c r="D29" s="6" t="s">
        <v>774</v>
      </c>
      <c r="E29" s="52"/>
      <c r="G29" s="4">
        <v>1006</v>
      </c>
      <c r="H29" s="4">
        <v>90203000</v>
      </c>
      <c r="K29" s="4">
        <v>0</v>
      </c>
      <c r="L29" s="4" t="s">
        <v>388</v>
      </c>
      <c r="M29" s="19">
        <v>1</v>
      </c>
      <c r="N29" s="19">
        <v>0</v>
      </c>
      <c r="O29" s="19">
        <v>8</v>
      </c>
      <c r="P29" s="61" t="s">
        <v>466</v>
      </c>
    </row>
    <row r="30" spans="1:23" ht="14.25" x14ac:dyDescent="0.15">
      <c r="A30" s="4" t="s">
        <v>1</v>
      </c>
      <c r="B30" s="4" t="str">
        <f t="shared" si="4"/>
        <v>1020501</v>
      </c>
      <c r="C30" s="54">
        <v>10205</v>
      </c>
      <c r="D30" s="69" t="s">
        <v>451</v>
      </c>
      <c r="E30" s="52">
        <v>1</v>
      </c>
      <c r="G30" s="6">
        <v>1037</v>
      </c>
      <c r="K30" s="4">
        <v>6</v>
      </c>
      <c r="L30" s="4" t="s">
        <v>658</v>
      </c>
      <c r="M30" s="19">
        <v>12</v>
      </c>
      <c r="N30" s="19">
        <v>0</v>
      </c>
      <c r="O30" s="19">
        <v>11</v>
      </c>
      <c r="P30" s="61" t="s">
        <v>445</v>
      </c>
    </row>
    <row r="31" spans="1:23" ht="14.25" x14ac:dyDescent="0.15">
      <c r="A31" s="4" t="s">
        <v>1</v>
      </c>
      <c r="B31" s="4" t="str">
        <f t="shared" si="4"/>
        <v>1020601</v>
      </c>
      <c r="C31" s="54">
        <v>10206</v>
      </c>
      <c r="D31" s="6" t="s">
        <v>688</v>
      </c>
      <c r="E31" s="52">
        <v>1</v>
      </c>
      <c r="G31" s="6">
        <v>1018</v>
      </c>
      <c r="K31" s="4">
        <v>6</v>
      </c>
      <c r="L31" s="4" t="s">
        <v>689</v>
      </c>
      <c r="M31" s="19">
        <v>5</v>
      </c>
      <c r="N31" s="19">
        <v>0</v>
      </c>
      <c r="O31" s="19">
        <v>7</v>
      </c>
      <c r="P31" s="61" t="s">
        <v>463</v>
      </c>
    </row>
    <row r="32" spans="1:23" ht="14.25" x14ac:dyDescent="0.15">
      <c r="A32" s="4" t="s">
        <v>1</v>
      </c>
      <c r="B32" s="4" t="str">
        <f t="shared" si="4"/>
        <v>1020701</v>
      </c>
      <c r="C32" s="54">
        <v>10207</v>
      </c>
      <c r="D32" s="6" t="s">
        <v>775</v>
      </c>
      <c r="E32" s="52"/>
      <c r="G32" s="4">
        <v>1006</v>
      </c>
      <c r="H32" s="4">
        <v>90204714</v>
      </c>
      <c r="K32" s="4">
        <v>0</v>
      </c>
      <c r="L32" s="4" t="s">
        <v>389</v>
      </c>
      <c r="M32" s="19">
        <v>5</v>
      </c>
      <c r="N32" s="19">
        <v>0</v>
      </c>
      <c r="O32" s="19">
        <v>8</v>
      </c>
      <c r="P32" s="61" t="s">
        <v>349</v>
      </c>
    </row>
    <row r="33" spans="1:16" ht="14.25" x14ac:dyDescent="0.15">
      <c r="A33" s="4" t="s">
        <v>1</v>
      </c>
      <c r="B33" s="4" t="str">
        <f t="shared" si="4"/>
        <v>1020801</v>
      </c>
      <c r="C33" s="54">
        <v>10208</v>
      </c>
      <c r="D33" s="6" t="s">
        <v>776</v>
      </c>
      <c r="E33" s="52"/>
      <c r="G33" s="4">
        <v>1006</v>
      </c>
      <c r="H33" s="4">
        <v>90205661</v>
      </c>
      <c r="K33" s="4">
        <v>0</v>
      </c>
      <c r="L33" s="4" t="s">
        <v>390</v>
      </c>
      <c r="M33" s="19">
        <v>5</v>
      </c>
      <c r="N33" s="19">
        <v>0</v>
      </c>
      <c r="O33" s="19">
        <v>8</v>
      </c>
      <c r="P33" s="61" t="s">
        <v>467</v>
      </c>
    </row>
    <row r="34" spans="1:16" ht="14.25" x14ac:dyDescent="0.15">
      <c r="A34" s="4" t="s">
        <v>1</v>
      </c>
      <c r="B34" s="4" t="str">
        <f t="shared" si="4"/>
        <v>1020901</v>
      </c>
      <c r="C34" s="54">
        <v>10209</v>
      </c>
      <c r="D34" s="6" t="s">
        <v>753</v>
      </c>
      <c r="E34" s="52">
        <v>1</v>
      </c>
      <c r="G34" s="6">
        <v>1009</v>
      </c>
      <c r="K34" s="4">
        <v>6</v>
      </c>
      <c r="M34" s="19">
        <v>1</v>
      </c>
      <c r="N34" s="19">
        <v>0</v>
      </c>
      <c r="O34" s="19">
        <v>6</v>
      </c>
      <c r="P34" s="61" t="s">
        <v>468</v>
      </c>
    </row>
    <row r="35" spans="1:16" ht="14.25" x14ac:dyDescent="0.15">
      <c r="A35" s="4" t="s">
        <v>1</v>
      </c>
      <c r="B35" s="4" t="str">
        <f t="shared" si="4"/>
        <v>1021001</v>
      </c>
      <c r="C35" s="54">
        <v>10210</v>
      </c>
      <c r="D35" s="6" t="s">
        <v>438</v>
      </c>
      <c r="E35" s="52">
        <v>1</v>
      </c>
      <c r="G35" s="6">
        <v>1001</v>
      </c>
      <c r="K35" s="4">
        <v>6</v>
      </c>
      <c r="L35" s="4" t="s">
        <v>439</v>
      </c>
      <c r="M35" s="19">
        <v>5</v>
      </c>
      <c r="N35" s="19">
        <v>0</v>
      </c>
      <c r="O35" s="19">
        <v>10</v>
      </c>
      <c r="P35" s="61" t="s">
        <v>444</v>
      </c>
    </row>
    <row r="36" spans="1:16" ht="14.25" x14ac:dyDescent="0.15">
      <c r="A36" s="4" t="s">
        <v>1</v>
      </c>
      <c r="B36" s="4" t="str">
        <f t="shared" si="4"/>
        <v>1021101</v>
      </c>
      <c r="C36" s="54">
        <v>10211</v>
      </c>
      <c r="D36" s="6" t="s">
        <v>834</v>
      </c>
      <c r="E36" s="52">
        <v>1</v>
      </c>
      <c r="G36" s="6">
        <v>1027</v>
      </c>
      <c r="K36" s="4">
        <v>6</v>
      </c>
      <c r="M36" s="19">
        <v>4</v>
      </c>
      <c r="N36" s="19">
        <v>0</v>
      </c>
      <c r="O36" s="19">
        <v>8</v>
      </c>
      <c r="P36" s="61" t="s">
        <v>755</v>
      </c>
    </row>
    <row r="37" spans="1:16" ht="14.25" x14ac:dyDescent="0.15">
      <c r="A37" s="4" t="s">
        <v>1</v>
      </c>
      <c r="B37" s="4" t="str">
        <f t="shared" si="4"/>
        <v>1021201</v>
      </c>
      <c r="C37" s="54">
        <v>10212</v>
      </c>
      <c r="D37" s="6" t="s">
        <v>777</v>
      </c>
      <c r="E37" s="52"/>
      <c r="G37" s="4">
        <v>1006</v>
      </c>
      <c r="H37" s="4">
        <v>90206058</v>
      </c>
      <c r="K37" s="4">
        <v>0</v>
      </c>
      <c r="L37" s="4" t="s">
        <v>391</v>
      </c>
      <c r="M37" s="19">
        <v>3</v>
      </c>
      <c r="N37" s="19">
        <v>0</v>
      </c>
      <c r="O37" s="19">
        <v>8</v>
      </c>
      <c r="P37" s="61" t="s">
        <v>469</v>
      </c>
    </row>
    <row r="38" spans="1:16" ht="14.25" x14ac:dyDescent="0.15">
      <c r="A38" s="4" t="s">
        <v>1</v>
      </c>
      <c r="B38" s="4" t="str">
        <f t="shared" si="4"/>
        <v>1021301</v>
      </c>
      <c r="C38" s="54">
        <v>10213</v>
      </c>
      <c r="D38" s="6" t="s">
        <v>695</v>
      </c>
      <c r="E38" s="52">
        <v>1</v>
      </c>
      <c r="G38" s="6">
        <v>1018</v>
      </c>
      <c r="K38" s="4">
        <v>6</v>
      </c>
      <c r="L38" s="4" t="s">
        <v>696</v>
      </c>
      <c r="M38" s="19">
        <v>3</v>
      </c>
      <c r="N38" s="19">
        <v>0</v>
      </c>
      <c r="O38" s="19">
        <v>7</v>
      </c>
      <c r="P38" s="61" t="s">
        <v>463</v>
      </c>
    </row>
    <row r="39" spans="1:16" ht="14.25" x14ac:dyDescent="0.15">
      <c r="A39" s="4" t="s">
        <v>1</v>
      </c>
      <c r="B39" s="4" t="str">
        <f t="shared" si="4"/>
        <v>1021401</v>
      </c>
      <c r="C39" s="54">
        <v>10214</v>
      </c>
      <c r="D39" s="6" t="s">
        <v>778</v>
      </c>
      <c r="E39" s="52"/>
      <c r="G39" s="4">
        <v>1006</v>
      </c>
      <c r="H39" s="4">
        <v>90207081</v>
      </c>
      <c r="K39" s="4">
        <v>0</v>
      </c>
      <c r="L39" s="4" t="s">
        <v>392</v>
      </c>
      <c r="M39" s="19">
        <v>3</v>
      </c>
      <c r="N39" s="19">
        <v>0</v>
      </c>
      <c r="O39" s="19">
        <v>8</v>
      </c>
      <c r="P39" s="61" t="s">
        <v>470</v>
      </c>
    </row>
    <row r="40" spans="1:16" ht="14.25" x14ac:dyDescent="0.15">
      <c r="A40" s="4" t="s">
        <v>1</v>
      </c>
      <c r="B40" s="4" t="str">
        <f t="shared" si="4"/>
        <v>1021501</v>
      </c>
      <c r="C40" s="54">
        <v>10215</v>
      </c>
      <c r="D40" s="69" t="s">
        <v>697</v>
      </c>
      <c r="E40" s="52">
        <v>5</v>
      </c>
      <c r="G40" s="6">
        <v>1040</v>
      </c>
      <c r="K40" s="4">
        <v>6</v>
      </c>
      <c r="L40" s="4" t="s">
        <v>377</v>
      </c>
      <c r="M40" s="19">
        <v>12</v>
      </c>
      <c r="N40" s="19">
        <v>0</v>
      </c>
      <c r="O40" s="19">
        <v>11</v>
      </c>
      <c r="P40" s="61" t="s">
        <v>445</v>
      </c>
    </row>
    <row r="41" spans="1:16" ht="14.25" x14ac:dyDescent="0.15">
      <c r="A41" s="4" t="s">
        <v>1</v>
      </c>
      <c r="B41" s="4" t="str">
        <f t="shared" si="4"/>
        <v>1021601</v>
      </c>
      <c r="C41" s="54">
        <v>10216</v>
      </c>
      <c r="D41" s="6" t="s">
        <v>779</v>
      </c>
      <c r="E41" s="52"/>
      <c r="G41" s="4">
        <v>1006</v>
      </c>
      <c r="H41" s="4">
        <v>90208001</v>
      </c>
      <c r="K41" s="4">
        <v>0</v>
      </c>
      <c r="L41" s="4" t="s">
        <v>381</v>
      </c>
      <c r="M41" s="19">
        <v>1</v>
      </c>
      <c r="N41" s="19">
        <v>0</v>
      </c>
      <c r="O41" s="19">
        <v>8</v>
      </c>
      <c r="P41" s="61" t="s">
        <v>471</v>
      </c>
    </row>
    <row r="42" spans="1:16" ht="14.25" x14ac:dyDescent="0.15">
      <c r="A42" s="4" t="s">
        <v>1</v>
      </c>
      <c r="B42" s="4" t="str">
        <f t="shared" si="4"/>
        <v>1021701</v>
      </c>
      <c r="C42" s="54">
        <v>10217</v>
      </c>
      <c r="D42" s="6" t="s">
        <v>698</v>
      </c>
      <c r="E42" s="52">
        <v>1</v>
      </c>
      <c r="G42" s="6">
        <v>1001</v>
      </c>
      <c r="K42" s="4">
        <v>6</v>
      </c>
      <c r="L42" s="4" t="s">
        <v>699</v>
      </c>
      <c r="M42" s="19">
        <v>5</v>
      </c>
      <c r="N42" s="19">
        <v>0</v>
      </c>
      <c r="O42" s="19">
        <v>10</v>
      </c>
      <c r="P42" s="61" t="s">
        <v>444</v>
      </c>
    </row>
    <row r="43" spans="1:16" ht="14.25" x14ac:dyDescent="0.15">
      <c r="A43" s="4" t="s">
        <v>1</v>
      </c>
      <c r="B43" s="4" t="str">
        <f t="shared" si="4"/>
        <v>1021801</v>
      </c>
      <c r="C43" s="54">
        <v>10218</v>
      </c>
      <c r="D43" s="6" t="s">
        <v>780</v>
      </c>
      <c r="E43" s="52"/>
      <c r="G43" s="4">
        <v>1006</v>
      </c>
      <c r="H43" s="4">
        <v>90209000</v>
      </c>
      <c r="K43" s="4">
        <v>0</v>
      </c>
      <c r="L43" s="4" t="s">
        <v>393</v>
      </c>
      <c r="M43" s="19">
        <v>9</v>
      </c>
      <c r="N43" s="19">
        <v>0</v>
      </c>
      <c r="O43" s="19">
        <v>8</v>
      </c>
      <c r="P43" s="61" t="s">
        <v>433</v>
      </c>
    </row>
    <row r="44" spans="1:16" ht="14.25" x14ac:dyDescent="0.15">
      <c r="A44" s="4" t="s">
        <v>1</v>
      </c>
      <c r="B44" s="4" t="str">
        <f t="shared" si="4"/>
        <v>1021901</v>
      </c>
      <c r="C44" s="54">
        <v>10219</v>
      </c>
      <c r="D44" s="6" t="s">
        <v>781</v>
      </c>
      <c r="E44" s="52"/>
      <c r="G44" s="4">
        <v>1006</v>
      </c>
      <c r="H44" s="4">
        <v>90210001</v>
      </c>
      <c r="K44" s="4">
        <v>0</v>
      </c>
      <c r="L44" s="4" t="s">
        <v>394</v>
      </c>
      <c r="M44" s="19">
        <v>9</v>
      </c>
      <c r="N44" s="19">
        <v>0</v>
      </c>
      <c r="O44" s="19">
        <v>8</v>
      </c>
      <c r="P44" s="61" t="s">
        <v>350</v>
      </c>
    </row>
    <row r="45" spans="1:16" ht="14.25" x14ac:dyDescent="0.15">
      <c r="A45" s="4" t="s">
        <v>1</v>
      </c>
      <c r="B45" s="4" t="str">
        <f t="shared" si="4"/>
        <v>1022001</v>
      </c>
      <c r="C45" s="54">
        <v>10220</v>
      </c>
      <c r="D45" s="6" t="s">
        <v>700</v>
      </c>
      <c r="E45" s="52">
        <v>1</v>
      </c>
      <c r="G45" s="6">
        <v>1018</v>
      </c>
      <c r="K45" s="4">
        <v>6</v>
      </c>
      <c r="L45" s="4" t="s">
        <v>701</v>
      </c>
      <c r="M45" s="19">
        <v>9</v>
      </c>
      <c r="N45" s="19">
        <v>0</v>
      </c>
      <c r="O45" s="19">
        <v>7</v>
      </c>
      <c r="P45" s="61" t="s">
        <v>463</v>
      </c>
    </row>
    <row r="46" spans="1:16" ht="14.25" x14ac:dyDescent="0.15">
      <c r="A46" s="4" t="s">
        <v>1</v>
      </c>
      <c r="B46" s="4" t="str">
        <f t="shared" si="4"/>
        <v>1022101</v>
      </c>
      <c r="C46" s="54">
        <v>10221</v>
      </c>
      <c r="D46" s="6" t="s">
        <v>782</v>
      </c>
      <c r="E46" s="52"/>
      <c r="G46" s="4">
        <v>1006</v>
      </c>
      <c r="H46" s="55">
        <v>90211000</v>
      </c>
      <c r="K46" s="4">
        <v>0</v>
      </c>
      <c r="L46" s="4" t="s">
        <v>396</v>
      </c>
      <c r="M46" s="19">
        <v>9</v>
      </c>
      <c r="N46" s="19">
        <v>0</v>
      </c>
      <c r="O46" s="19">
        <v>8</v>
      </c>
      <c r="P46" s="61" t="s">
        <v>434</v>
      </c>
    </row>
    <row r="47" spans="1:16" ht="14.25" x14ac:dyDescent="0.15">
      <c r="A47" s="4" t="s">
        <v>1</v>
      </c>
      <c r="B47" s="4" t="str">
        <f t="shared" si="4"/>
        <v>1022201</v>
      </c>
      <c r="C47" s="54">
        <v>10222</v>
      </c>
      <c r="D47" s="69" t="s">
        <v>702</v>
      </c>
      <c r="E47" s="52">
        <v>7</v>
      </c>
      <c r="G47" s="6">
        <v>1040</v>
      </c>
      <c r="K47" s="4">
        <v>6</v>
      </c>
      <c r="L47" s="4" t="s">
        <v>377</v>
      </c>
      <c r="M47" s="19">
        <v>12</v>
      </c>
      <c r="N47" s="19">
        <v>0</v>
      </c>
      <c r="O47" s="19">
        <v>11</v>
      </c>
      <c r="P47" s="61" t="s">
        <v>445</v>
      </c>
    </row>
    <row r="48" spans="1:16" ht="14.25" x14ac:dyDescent="0.15">
      <c r="A48" s="4" t="s">
        <v>1</v>
      </c>
      <c r="B48" s="4" t="str">
        <f t="shared" si="4"/>
        <v>1022301</v>
      </c>
      <c r="C48" s="54">
        <v>10223</v>
      </c>
      <c r="D48" s="6" t="s">
        <v>783</v>
      </c>
      <c r="E48" s="52"/>
      <c r="G48" s="4">
        <v>1006</v>
      </c>
      <c r="H48" s="55">
        <v>90212000</v>
      </c>
      <c r="K48" s="4">
        <v>0</v>
      </c>
      <c r="L48" s="4" t="s">
        <v>397</v>
      </c>
      <c r="M48" s="19">
        <v>9</v>
      </c>
      <c r="N48" s="19">
        <v>0</v>
      </c>
      <c r="O48" s="19">
        <v>8</v>
      </c>
      <c r="P48" s="61" t="s">
        <v>472</v>
      </c>
    </row>
    <row r="49" spans="1:23" ht="14.25" x14ac:dyDescent="0.15">
      <c r="A49" s="4" t="s">
        <v>1</v>
      </c>
      <c r="B49" s="4" t="str">
        <f t="shared" si="4"/>
        <v>1022401</v>
      </c>
      <c r="C49" s="54">
        <v>10224</v>
      </c>
      <c r="D49" s="6" t="s">
        <v>703</v>
      </c>
      <c r="E49" s="52">
        <v>1</v>
      </c>
      <c r="G49" s="6">
        <v>1001</v>
      </c>
      <c r="K49" s="4">
        <v>6</v>
      </c>
      <c r="L49" s="4" t="s">
        <v>704</v>
      </c>
      <c r="M49" s="19">
        <v>5</v>
      </c>
      <c r="N49" s="19">
        <v>0</v>
      </c>
      <c r="O49" s="19">
        <v>10</v>
      </c>
      <c r="P49" s="61" t="s">
        <v>444</v>
      </c>
    </row>
    <row r="50" spans="1:23" ht="14.25" x14ac:dyDescent="0.15">
      <c r="A50" s="4" t="s">
        <v>1</v>
      </c>
      <c r="B50" s="4" t="str">
        <f t="shared" si="4"/>
        <v>1022501</v>
      </c>
      <c r="C50" s="54">
        <v>10225</v>
      </c>
      <c r="D50" s="6" t="s">
        <v>705</v>
      </c>
      <c r="E50" s="52">
        <v>1</v>
      </c>
      <c r="F50" s="6">
        <v>32021</v>
      </c>
      <c r="G50" s="6">
        <v>1023</v>
      </c>
      <c r="K50" s="4">
        <v>6</v>
      </c>
      <c r="L50" s="4" t="s">
        <v>706</v>
      </c>
      <c r="M50" s="19">
        <v>5</v>
      </c>
      <c r="N50" s="19">
        <v>0</v>
      </c>
      <c r="O50" s="19">
        <v>10</v>
      </c>
      <c r="P50" s="61" t="s">
        <v>443</v>
      </c>
    </row>
    <row r="51" spans="1:23" ht="14.25" x14ac:dyDescent="0.15">
      <c r="A51" s="4" t="s">
        <v>1</v>
      </c>
      <c r="B51" s="4" t="str">
        <f t="shared" si="4"/>
        <v>1022601</v>
      </c>
      <c r="C51" s="54">
        <v>10226</v>
      </c>
      <c r="D51" s="6" t="s">
        <v>784</v>
      </c>
      <c r="E51" s="52"/>
      <c r="G51" s="4">
        <v>1006</v>
      </c>
      <c r="H51" s="55">
        <v>90213000</v>
      </c>
      <c r="K51" s="4">
        <v>0</v>
      </c>
      <c r="L51" s="4" t="s">
        <v>395</v>
      </c>
      <c r="M51" s="19">
        <v>9</v>
      </c>
      <c r="N51" s="19">
        <v>0</v>
      </c>
      <c r="O51" s="19">
        <v>8</v>
      </c>
      <c r="P51" s="61" t="s">
        <v>473</v>
      </c>
    </row>
    <row r="52" spans="1:23" s="69" customFormat="1" ht="14.25" x14ac:dyDescent="0.15">
      <c r="A52" s="4" t="s">
        <v>1</v>
      </c>
      <c r="B52" s="4" t="str">
        <f t="shared" si="4"/>
        <v>1022701</v>
      </c>
      <c r="C52" s="54">
        <v>10227</v>
      </c>
      <c r="D52" s="69" t="s">
        <v>785</v>
      </c>
      <c r="E52" s="71"/>
      <c r="G52" s="69">
        <v>1006</v>
      </c>
      <c r="H52" s="70">
        <v>90214000</v>
      </c>
      <c r="I52" s="6"/>
      <c r="K52" s="69">
        <v>0</v>
      </c>
      <c r="L52" s="69" t="s">
        <v>659</v>
      </c>
      <c r="M52" s="72">
        <v>9</v>
      </c>
      <c r="N52" s="19">
        <v>0</v>
      </c>
      <c r="O52" s="72">
        <v>8</v>
      </c>
      <c r="P52" s="73" t="s">
        <v>474</v>
      </c>
    </row>
    <row r="53" spans="1:23" s="69" customFormat="1" ht="14.25" x14ac:dyDescent="0.15">
      <c r="A53" s="4" t="s">
        <v>1</v>
      </c>
      <c r="B53" s="4" t="str">
        <f t="shared" si="4"/>
        <v>1022801</v>
      </c>
      <c r="C53" s="54">
        <v>10228</v>
      </c>
      <c r="D53" s="6" t="s">
        <v>707</v>
      </c>
      <c r="E53" s="52">
        <v>1</v>
      </c>
      <c r="F53" s="6"/>
      <c r="G53" s="6">
        <v>1018</v>
      </c>
      <c r="H53" s="4"/>
      <c r="I53" s="6"/>
      <c r="J53" s="6"/>
      <c r="K53" s="4">
        <v>6</v>
      </c>
      <c r="L53" s="4" t="s">
        <v>708</v>
      </c>
      <c r="M53" s="19">
        <v>6</v>
      </c>
      <c r="N53" s="19">
        <v>0</v>
      </c>
      <c r="O53" s="19">
        <v>7</v>
      </c>
      <c r="P53" s="61" t="s">
        <v>463</v>
      </c>
    </row>
    <row r="54" spans="1:23" s="69" customFormat="1" ht="14.25" x14ac:dyDescent="0.15">
      <c r="A54" s="4" t="s">
        <v>1</v>
      </c>
      <c r="B54" s="4" t="str">
        <f t="shared" si="4"/>
        <v>1022901</v>
      </c>
      <c r="C54" s="54">
        <v>10229</v>
      </c>
      <c r="D54" s="69" t="s">
        <v>786</v>
      </c>
      <c r="E54" s="71"/>
      <c r="G54" s="69">
        <v>1006</v>
      </c>
      <c r="H54" s="70">
        <v>90215058</v>
      </c>
      <c r="I54" s="6"/>
      <c r="K54" s="69">
        <v>0</v>
      </c>
      <c r="L54" s="69" t="s">
        <v>660</v>
      </c>
      <c r="M54" s="72">
        <v>6</v>
      </c>
      <c r="N54" s="19">
        <v>0</v>
      </c>
      <c r="O54" s="72">
        <v>8</v>
      </c>
      <c r="P54" s="73" t="s">
        <v>475</v>
      </c>
    </row>
    <row r="55" spans="1:23" s="69" customFormat="1" ht="14.25" x14ac:dyDescent="0.15">
      <c r="A55" s="4" t="s">
        <v>1</v>
      </c>
      <c r="B55" s="4" t="str">
        <f t="shared" si="4"/>
        <v>1023001</v>
      </c>
      <c r="C55" s="54">
        <v>10230</v>
      </c>
      <c r="D55" s="69" t="s">
        <v>787</v>
      </c>
      <c r="E55" s="71"/>
      <c r="G55" s="69">
        <v>1006</v>
      </c>
      <c r="H55" s="70">
        <v>90216078</v>
      </c>
      <c r="I55" s="6"/>
      <c r="K55" s="69">
        <v>0</v>
      </c>
      <c r="L55" s="69" t="s">
        <v>452</v>
      </c>
      <c r="M55" s="72">
        <v>6</v>
      </c>
      <c r="N55" s="19">
        <v>0</v>
      </c>
      <c r="O55" s="72">
        <v>8</v>
      </c>
      <c r="P55" s="73" t="s">
        <v>476</v>
      </c>
    </row>
    <row r="56" spans="1:23" s="69" customFormat="1" ht="14.25" x14ac:dyDescent="0.15">
      <c r="A56" s="4" t="s">
        <v>1</v>
      </c>
      <c r="B56" s="4" t="str">
        <f t="shared" si="4"/>
        <v>1023101</v>
      </c>
      <c r="C56" s="54">
        <v>10231</v>
      </c>
      <c r="D56" s="69" t="s">
        <v>709</v>
      </c>
      <c r="E56" s="52">
        <v>10</v>
      </c>
      <c r="F56" s="6"/>
      <c r="G56" s="6">
        <v>1040</v>
      </c>
      <c r="H56" s="4"/>
      <c r="I56" s="6"/>
      <c r="J56" s="6"/>
      <c r="K56" s="4">
        <v>6</v>
      </c>
      <c r="L56" s="4" t="s">
        <v>377</v>
      </c>
      <c r="M56" s="19">
        <v>12</v>
      </c>
      <c r="N56" s="19">
        <v>0</v>
      </c>
      <c r="O56" s="19">
        <v>11</v>
      </c>
      <c r="P56" s="61" t="s">
        <v>445</v>
      </c>
    </row>
    <row r="57" spans="1:23" s="69" customFormat="1" ht="14.25" x14ac:dyDescent="0.15">
      <c r="A57" s="4" t="s">
        <v>1</v>
      </c>
      <c r="B57" s="4" t="str">
        <f t="shared" si="4"/>
        <v>1023201</v>
      </c>
      <c r="C57" s="54">
        <v>10232</v>
      </c>
      <c r="D57" s="69" t="s">
        <v>788</v>
      </c>
      <c r="E57" s="71"/>
      <c r="G57" s="69">
        <v>1006</v>
      </c>
      <c r="H57" s="70">
        <v>90217003</v>
      </c>
      <c r="I57" s="6"/>
      <c r="K57" s="69">
        <v>0</v>
      </c>
      <c r="L57" s="69" t="s">
        <v>453</v>
      </c>
      <c r="M57" s="72">
        <v>6</v>
      </c>
      <c r="N57" s="19">
        <v>0</v>
      </c>
      <c r="O57" s="72">
        <v>8</v>
      </c>
      <c r="P57" s="73" t="s">
        <v>477</v>
      </c>
    </row>
    <row r="58" spans="1:23" s="69" customFormat="1" ht="14.25" x14ac:dyDescent="0.15">
      <c r="A58" s="4" t="s">
        <v>1</v>
      </c>
      <c r="B58" s="4" t="str">
        <f t="shared" si="4"/>
        <v>1023301</v>
      </c>
      <c r="C58" s="54">
        <v>10233</v>
      </c>
      <c r="D58" s="69" t="s">
        <v>789</v>
      </c>
      <c r="E58" s="71"/>
      <c r="G58" s="69">
        <v>1006</v>
      </c>
      <c r="H58" s="70">
        <v>90218000</v>
      </c>
      <c r="I58" s="6"/>
      <c r="K58" s="69">
        <v>0</v>
      </c>
      <c r="L58" s="69" t="s">
        <v>454</v>
      </c>
      <c r="M58" s="72">
        <v>6</v>
      </c>
      <c r="N58" s="19">
        <v>0</v>
      </c>
      <c r="O58" s="72">
        <v>8</v>
      </c>
      <c r="P58" s="73" t="s">
        <v>478</v>
      </c>
    </row>
    <row r="59" spans="1:23" s="69" customFormat="1" ht="14.25" x14ac:dyDescent="0.15">
      <c r="A59" s="4" t="s">
        <v>1</v>
      </c>
      <c r="B59" s="4" t="str">
        <f t="shared" si="4"/>
        <v>1023401</v>
      </c>
      <c r="C59" s="54">
        <v>10234</v>
      </c>
      <c r="D59" s="6" t="s">
        <v>710</v>
      </c>
      <c r="E59" s="52">
        <v>1</v>
      </c>
      <c r="F59" s="6"/>
      <c r="G59" s="6">
        <v>1001</v>
      </c>
      <c r="H59" s="4"/>
      <c r="I59" s="6"/>
      <c r="J59" s="6"/>
      <c r="K59" s="4">
        <v>6</v>
      </c>
      <c r="L59" s="4" t="s">
        <v>711</v>
      </c>
      <c r="M59" s="19">
        <v>5</v>
      </c>
      <c r="N59" s="19">
        <v>0</v>
      </c>
      <c r="O59" s="19">
        <v>10</v>
      </c>
      <c r="P59" s="61" t="s">
        <v>444</v>
      </c>
    </row>
    <row r="60" spans="1:23" s="69" customFormat="1" ht="14.25" x14ac:dyDescent="0.15">
      <c r="A60" s="4" t="s">
        <v>1</v>
      </c>
      <c r="B60" s="4" t="str">
        <f t="shared" si="4"/>
        <v>1023501</v>
      </c>
      <c r="C60" s="54">
        <v>10235</v>
      </c>
      <c r="D60" s="69" t="s">
        <v>790</v>
      </c>
      <c r="E60" s="71"/>
      <c r="G60" s="69">
        <v>1006</v>
      </c>
      <c r="H60" s="70">
        <v>90219000</v>
      </c>
      <c r="I60" s="6"/>
      <c r="K60" s="69">
        <v>0</v>
      </c>
      <c r="L60" s="69" t="s">
        <v>455</v>
      </c>
      <c r="M60" s="72">
        <v>1</v>
      </c>
      <c r="N60" s="19">
        <v>0</v>
      </c>
      <c r="O60" s="72">
        <v>8</v>
      </c>
      <c r="P60" s="73" t="s">
        <v>479</v>
      </c>
    </row>
    <row r="61" spans="1:23" ht="14.25" x14ac:dyDescent="0.15">
      <c r="A61" s="4" t="s">
        <v>1</v>
      </c>
      <c r="B61" s="4" t="str">
        <f t="shared" si="4"/>
        <v>1023601</v>
      </c>
      <c r="C61" s="54">
        <v>10236</v>
      </c>
      <c r="D61" s="6" t="s">
        <v>712</v>
      </c>
      <c r="E61" s="52">
        <v>1</v>
      </c>
      <c r="G61" s="6">
        <v>1018</v>
      </c>
      <c r="K61" s="4">
        <v>6</v>
      </c>
      <c r="L61" s="4" t="s">
        <v>713</v>
      </c>
      <c r="M61" s="19">
        <v>1</v>
      </c>
      <c r="N61" s="19">
        <v>0</v>
      </c>
      <c r="O61" s="19">
        <v>7</v>
      </c>
      <c r="P61" s="61" t="s">
        <v>463</v>
      </c>
    </row>
    <row r="62" spans="1:23" ht="14.25" x14ac:dyDescent="0.15">
      <c r="A62" s="4" t="s">
        <v>1</v>
      </c>
      <c r="B62" s="4" t="str">
        <f t="shared" si="4"/>
        <v>1030101</v>
      </c>
      <c r="C62" s="54">
        <v>10301</v>
      </c>
      <c r="D62" s="6" t="s">
        <v>791</v>
      </c>
      <c r="E62" s="52"/>
      <c r="G62" s="4">
        <v>1006</v>
      </c>
      <c r="H62" s="4">
        <v>90301000</v>
      </c>
      <c r="K62" s="4">
        <v>0</v>
      </c>
      <c r="L62" s="4" t="s">
        <v>403</v>
      </c>
      <c r="M62" s="19">
        <v>1</v>
      </c>
      <c r="N62" s="19">
        <v>0</v>
      </c>
      <c r="O62" s="19">
        <v>8</v>
      </c>
      <c r="P62" s="61" t="s">
        <v>480</v>
      </c>
    </row>
    <row r="63" spans="1:23" ht="14.25" x14ac:dyDescent="0.15">
      <c r="A63" s="4" t="s">
        <v>1</v>
      </c>
      <c r="B63" s="4" t="str">
        <f t="shared" si="4"/>
        <v>1030201</v>
      </c>
      <c r="C63" s="54">
        <v>10302</v>
      </c>
      <c r="D63" s="69" t="s">
        <v>714</v>
      </c>
      <c r="E63" s="52">
        <v>13</v>
      </c>
      <c r="G63" s="6">
        <v>1040</v>
      </c>
      <c r="K63" s="4">
        <v>6</v>
      </c>
      <c r="L63" s="4" t="s">
        <v>661</v>
      </c>
      <c r="M63" s="19">
        <v>12</v>
      </c>
      <c r="N63" s="19">
        <v>0</v>
      </c>
      <c r="O63" s="19">
        <v>11</v>
      </c>
      <c r="P63" s="61" t="s">
        <v>445</v>
      </c>
    </row>
    <row r="64" spans="1:23" ht="14.25" x14ac:dyDescent="0.15">
      <c r="A64" s="4" t="s">
        <v>1</v>
      </c>
      <c r="B64" s="4" t="str">
        <f t="shared" si="4"/>
        <v>1030301</v>
      </c>
      <c r="C64" s="54">
        <v>10303</v>
      </c>
      <c r="D64" s="6" t="s">
        <v>792</v>
      </c>
      <c r="G64" s="4">
        <v>1006</v>
      </c>
      <c r="H64" s="4">
        <v>90302049</v>
      </c>
      <c r="K64" s="4">
        <v>0</v>
      </c>
      <c r="L64" s="4" t="s">
        <v>398</v>
      </c>
      <c r="M64" s="19">
        <v>3</v>
      </c>
      <c r="N64" s="19">
        <v>0</v>
      </c>
      <c r="O64" s="19">
        <v>8</v>
      </c>
      <c r="P64" s="61" t="s">
        <v>378</v>
      </c>
      <c r="W64" s="55"/>
    </row>
    <row r="65" spans="1:16" ht="14.25" x14ac:dyDescent="0.15">
      <c r="A65" s="4" t="s">
        <v>1</v>
      </c>
      <c r="B65" s="4" t="str">
        <f t="shared" si="4"/>
        <v>1030401</v>
      </c>
      <c r="C65" s="54">
        <v>10304</v>
      </c>
      <c r="D65" s="6" t="s">
        <v>793</v>
      </c>
      <c r="E65" s="52"/>
      <c r="G65" s="4">
        <v>1006</v>
      </c>
      <c r="H65" s="4">
        <v>90303000</v>
      </c>
      <c r="K65" s="4">
        <v>0</v>
      </c>
      <c r="L65" s="4" t="s">
        <v>399</v>
      </c>
      <c r="M65" s="19">
        <v>3</v>
      </c>
      <c r="N65" s="19">
        <v>0</v>
      </c>
      <c r="O65" s="19">
        <v>8</v>
      </c>
      <c r="P65" s="61" t="s">
        <v>481</v>
      </c>
    </row>
    <row r="66" spans="1:16" ht="14.25" x14ac:dyDescent="0.15">
      <c r="A66" s="4" t="s">
        <v>1</v>
      </c>
      <c r="B66" s="4" t="str">
        <f t="shared" si="4"/>
        <v>1030501</v>
      </c>
      <c r="C66" s="54">
        <v>10305</v>
      </c>
      <c r="D66" s="6" t="s">
        <v>794</v>
      </c>
      <c r="E66" s="52"/>
      <c r="G66" s="4">
        <v>1006</v>
      </c>
      <c r="H66" s="4">
        <v>90304000</v>
      </c>
      <c r="K66" s="4">
        <v>0</v>
      </c>
      <c r="L66" s="4" t="s">
        <v>400</v>
      </c>
      <c r="M66" s="19">
        <v>3</v>
      </c>
      <c r="N66" s="19">
        <v>0</v>
      </c>
      <c r="O66" s="19">
        <v>8</v>
      </c>
      <c r="P66" s="61" t="s">
        <v>482</v>
      </c>
    </row>
    <row r="67" spans="1:16" ht="14.25" x14ac:dyDescent="0.15">
      <c r="A67" s="4" t="s">
        <v>1</v>
      </c>
      <c r="B67" s="4" t="str">
        <f t="shared" si="4"/>
        <v>1030601</v>
      </c>
      <c r="C67" s="54">
        <v>10306</v>
      </c>
      <c r="D67" s="6" t="s">
        <v>715</v>
      </c>
      <c r="E67" s="52">
        <v>1</v>
      </c>
      <c r="G67" s="6">
        <v>1001</v>
      </c>
      <c r="K67" s="4">
        <v>6</v>
      </c>
      <c r="L67" s="4" t="s">
        <v>716</v>
      </c>
      <c r="M67" s="19">
        <v>5</v>
      </c>
      <c r="N67" s="19">
        <v>0</v>
      </c>
      <c r="O67" s="19">
        <v>10</v>
      </c>
      <c r="P67" s="61" t="s">
        <v>444</v>
      </c>
    </row>
    <row r="68" spans="1:16" ht="14.25" x14ac:dyDescent="0.15">
      <c r="A68" s="4" t="s">
        <v>1</v>
      </c>
      <c r="B68" s="4" t="str">
        <f t="shared" si="4"/>
        <v>1030701</v>
      </c>
      <c r="C68" s="54">
        <v>10307</v>
      </c>
      <c r="D68" s="6" t="s">
        <v>795</v>
      </c>
      <c r="E68" s="52"/>
      <c r="G68" s="4">
        <v>1006</v>
      </c>
      <c r="H68" s="4">
        <v>90305000</v>
      </c>
      <c r="K68" s="4">
        <v>0</v>
      </c>
      <c r="L68" s="4" t="s">
        <v>401</v>
      </c>
      <c r="M68" s="19">
        <v>14</v>
      </c>
      <c r="N68" s="19">
        <v>0</v>
      </c>
      <c r="O68" s="19">
        <v>8</v>
      </c>
      <c r="P68" s="61" t="s">
        <v>483</v>
      </c>
    </row>
    <row r="69" spans="1:16" ht="14.25" x14ac:dyDescent="0.15">
      <c r="A69" s="4" t="s">
        <v>1</v>
      </c>
      <c r="B69" s="4" t="str">
        <f t="shared" si="4"/>
        <v>1030801</v>
      </c>
      <c r="C69" s="54">
        <v>10308</v>
      </c>
      <c r="D69" s="6" t="s">
        <v>796</v>
      </c>
      <c r="E69" s="52"/>
      <c r="G69" s="4">
        <v>1006</v>
      </c>
      <c r="H69" s="4">
        <v>90306068</v>
      </c>
      <c r="K69" s="4">
        <v>0</v>
      </c>
      <c r="L69" s="4" t="s">
        <v>402</v>
      </c>
      <c r="M69" s="19">
        <v>7</v>
      </c>
      <c r="N69" s="19">
        <v>0</v>
      </c>
      <c r="O69" s="19">
        <v>8</v>
      </c>
      <c r="P69" s="61" t="s">
        <v>484</v>
      </c>
    </row>
    <row r="70" spans="1:16" ht="14.25" x14ac:dyDescent="0.15">
      <c r="A70" s="4" t="s">
        <v>1</v>
      </c>
      <c r="B70" s="4" t="str">
        <f t="shared" si="4"/>
        <v>1030901</v>
      </c>
      <c r="C70" s="54">
        <v>10309</v>
      </c>
      <c r="D70" s="6" t="s">
        <v>717</v>
      </c>
      <c r="E70" s="52">
        <v>1</v>
      </c>
      <c r="G70" s="6">
        <v>1018</v>
      </c>
      <c r="K70" s="4">
        <v>6</v>
      </c>
      <c r="L70" s="4" t="s">
        <v>718</v>
      </c>
      <c r="M70" s="19">
        <v>13</v>
      </c>
      <c r="N70" s="19">
        <v>0</v>
      </c>
      <c r="O70" s="19">
        <v>7</v>
      </c>
      <c r="P70" s="61" t="s">
        <v>463</v>
      </c>
    </row>
    <row r="71" spans="1:16" ht="14.25" x14ac:dyDescent="0.15">
      <c r="A71" s="4" t="s">
        <v>1</v>
      </c>
      <c r="B71" s="4" t="str">
        <f t="shared" si="4"/>
        <v>1031001</v>
      </c>
      <c r="C71" s="54">
        <v>10310</v>
      </c>
      <c r="D71" s="6" t="s">
        <v>797</v>
      </c>
      <c r="E71" s="52"/>
      <c r="G71" s="4">
        <v>1006</v>
      </c>
      <c r="H71" s="4">
        <v>90307000</v>
      </c>
      <c r="K71" s="4">
        <v>0</v>
      </c>
      <c r="L71" s="4" t="s">
        <v>662</v>
      </c>
      <c r="M71" s="19">
        <v>13</v>
      </c>
      <c r="N71" s="19">
        <v>0</v>
      </c>
      <c r="O71" s="19">
        <v>8</v>
      </c>
      <c r="P71" s="61" t="s">
        <v>485</v>
      </c>
    </row>
    <row r="72" spans="1:16" ht="14.25" x14ac:dyDescent="0.15">
      <c r="A72" s="4" t="s">
        <v>1</v>
      </c>
      <c r="B72" s="4" t="str">
        <f t="shared" si="4"/>
        <v>1031101</v>
      </c>
      <c r="C72" s="54">
        <v>10311</v>
      </c>
      <c r="D72" s="6" t="s">
        <v>798</v>
      </c>
      <c r="E72" s="52"/>
      <c r="G72" s="4">
        <v>1006</v>
      </c>
      <c r="H72" s="4">
        <v>90308000</v>
      </c>
      <c r="K72" s="4">
        <v>0</v>
      </c>
      <c r="L72" s="4" t="s">
        <v>404</v>
      </c>
      <c r="M72" s="19">
        <v>13</v>
      </c>
      <c r="N72" s="19">
        <v>0</v>
      </c>
      <c r="O72" s="19">
        <v>8</v>
      </c>
      <c r="P72" s="61" t="s">
        <v>486</v>
      </c>
    </row>
    <row r="73" spans="1:16" ht="14.25" x14ac:dyDescent="0.15">
      <c r="A73" s="4" t="s">
        <v>1</v>
      </c>
      <c r="B73" s="4" t="str">
        <f t="shared" si="4"/>
        <v>1031201</v>
      </c>
      <c r="C73" s="54">
        <v>10312</v>
      </c>
      <c r="D73" s="6" t="s">
        <v>754</v>
      </c>
      <c r="E73" s="52">
        <v>6</v>
      </c>
      <c r="G73" s="4">
        <v>1008</v>
      </c>
      <c r="K73" s="4">
        <v>6</v>
      </c>
      <c r="L73" s="4" t="s">
        <v>719</v>
      </c>
      <c r="M73" s="19">
        <v>1</v>
      </c>
      <c r="N73" s="19">
        <v>0</v>
      </c>
      <c r="O73" s="19">
        <v>19</v>
      </c>
      <c r="P73" s="61" t="s">
        <v>757</v>
      </c>
    </row>
    <row r="74" spans="1:16" ht="14.25" x14ac:dyDescent="0.15">
      <c r="A74" s="4" t="s">
        <v>1</v>
      </c>
      <c r="B74" s="4" t="str">
        <f t="shared" si="4"/>
        <v>1031301</v>
      </c>
      <c r="C74" s="54">
        <v>10313</v>
      </c>
      <c r="D74" s="6" t="s">
        <v>799</v>
      </c>
      <c r="E74" s="52"/>
      <c r="G74" s="4">
        <v>1006</v>
      </c>
      <c r="H74" s="4">
        <v>90309009</v>
      </c>
      <c r="K74" s="4">
        <v>0</v>
      </c>
      <c r="L74" s="4" t="s">
        <v>663</v>
      </c>
      <c r="M74" s="19">
        <v>6</v>
      </c>
      <c r="N74" s="19">
        <v>0</v>
      </c>
      <c r="O74" s="19">
        <v>8</v>
      </c>
      <c r="P74" s="61" t="s">
        <v>487</v>
      </c>
    </row>
    <row r="75" spans="1:16" ht="14.25" x14ac:dyDescent="0.15">
      <c r="A75" s="4" t="s">
        <v>1</v>
      </c>
      <c r="B75" s="4" t="str">
        <f t="shared" si="4"/>
        <v>1031401</v>
      </c>
      <c r="C75" s="54">
        <v>10314</v>
      </c>
      <c r="D75" s="69" t="s">
        <v>720</v>
      </c>
      <c r="E75" s="52">
        <v>16</v>
      </c>
      <c r="G75" s="6">
        <v>1040</v>
      </c>
      <c r="K75" s="4">
        <v>6</v>
      </c>
      <c r="L75" s="4" t="s">
        <v>661</v>
      </c>
      <c r="M75" s="19">
        <v>12</v>
      </c>
      <c r="N75" s="19">
        <v>0</v>
      </c>
      <c r="O75" s="19">
        <v>11</v>
      </c>
      <c r="P75" s="61" t="s">
        <v>445</v>
      </c>
    </row>
    <row r="76" spans="1:16" ht="14.25" x14ac:dyDescent="0.15">
      <c r="A76" s="4" t="s">
        <v>1</v>
      </c>
      <c r="B76" s="4" t="str">
        <f t="shared" ref="B76:B128" si="5">IF(C76=C75,B75+1,C76&amp;"01")</f>
        <v>1031501</v>
      </c>
      <c r="C76" s="54">
        <v>10315</v>
      </c>
      <c r="D76" s="6" t="s">
        <v>800</v>
      </c>
      <c r="E76" s="52"/>
      <c r="G76" s="4">
        <v>1006</v>
      </c>
      <c r="H76" s="4">
        <v>90310080</v>
      </c>
      <c r="K76" s="4">
        <v>0</v>
      </c>
      <c r="L76" s="4" t="s">
        <v>405</v>
      </c>
      <c r="M76" s="19">
        <v>7</v>
      </c>
      <c r="N76" s="19">
        <v>0</v>
      </c>
      <c r="O76" s="19">
        <v>8</v>
      </c>
      <c r="P76" s="61" t="s">
        <v>488</v>
      </c>
    </row>
    <row r="77" spans="1:16" ht="14.25" x14ac:dyDescent="0.15">
      <c r="A77" s="4" t="s">
        <v>1</v>
      </c>
      <c r="B77" s="4" t="str">
        <f t="shared" si="5"/>
        <v>1031601</v>
      </c>
      <c r="C77" s="54">
        <v>10316</v>
      </c>
      <c r="D77" s="6" t="s">
        <v>801</v>
      </c>
      <c r="E77" s="52"/>
      <c r="G77" s="4">
        <v>1006</v>
      </c>
      <c r="H77" s="4">
        <v>90311003</v>
      </c>
      <c r="K77" s="4">
        <v>0</v>
      </c>
      <c r="L77" s="4" t="s">
        <v>408</v>
      </c>
      <c r="M77" s="19">
        <v>6</v>
      </c>
      <c r="N77" s="19">
        <v>0</v>
      </c>
      <c r="O77" s="19">
        <v>8</v>
      </c>
      <c r="P77" s="61" t="s">
        <v>489</v>
      </c>
    </row>
    <row r="78" spans="1:16" ht="14.25" x14ac:dyDescent="0.15">
      <c r="A78" s="4" t="s">
        <v>1</v>
      </c>
      <c r="B78" s="4" t="str">
        <f t="shared" si="5"/>
        <v>1031701</v>
      </c>
      <c r="C78" s="54">
        <v>10317</v>
      </c>
      <c r="D78" s="6" t="s">
        <v>721</v>
      </c>
      <c r="E78" s="52">
        <v>1</v>
      </c>
      <c r="G78" s="6">
        <v>1001</v>
      </c>
      <c r="K78" s="4">
        <v>6</v>
      </c>
      <c r="L78" s="4" t="s">
        <v>722</v>
      </c>
      <c r="M78" s="19">
        <v>5</v>
      </c>
      <c r="N78" s="19">
        <v>0</v>
      </c>
      <c r="O78" s="19">
        <v>10</v>
      </c>
      <c r="P78" s="61" t="s">
        <v>444</v>
      </c>
    </row>
    <row r="79" spans="1:16" ht="14.25" x14ac:dyDescent="0.15">
      <c r="A79" s="4" t="s">
        <v>1</v>
      </c>
      <c r="B79" s="4" t="str">
        <f t="shared" si="5"/>
        <v>1031801</v>
      </c>
      <c r="C79" s="54">
        <v>10318</v>
      </c>
      <c r="D79" s="6" t="s">
        <v>723</v>
      </c>
      <c r="E79" s="52">
        <v>1</v>
      </c>
      <c r="F79" s="6">
        <v>34021</v>
      </c>
      <c r="G79" s="6">
        <v>1023</v>
      </c>
      <c r="K79" s="4">
        <v>6</v>
      </c>
      <c r="L79" s="4" t="s">
        <v>724</v>
      </c>
      <c r="M79" s="19">
        <v>5</v>
      </c>
      <c r="N79" s="19">
        <v>0</v>
      </c>
      <c r="O79" s="19">
        <v>10</v>
      </c>
      <c r="P79" s="61" t="s">
        <v>443</v>
      </c>
    </row>
    <row r="80" spans="1:16" ht="14.25" x14ac:dyDescent="0.15">
      <c r="A80" s="4" t="s">
        <v>1</v>
      </c>
      <c r="B80" s="4" t="str">
        <f t="shared" si="5"/>
        <v>1031901</v>
      </c>
      <c r="C80" s="54">
        <v>10319</v>
      </c>
      <c r="D80" s="6" t="s">
        <v>802</v>
      </c>
      <c r="E80" s="52"/>
      <c r="G80" s="4">
        <v>1006</v>
      </c>
      <c r="H80" s="4">
        <v>90312000</v>
      </c>
      <c r="K80" s="4">
        <v>0</v>
      </c>
      <c r="L80" s="4" t="s">
        <v>409</v>
      </c>
      <c r="M80" s="19">
        <v>7</v>
      </c>
      <c r="N80" s="19">
        <v>0</v>
      </c>
      <c r="O80" s="19">
        <v>8</v>
      </c>
      <c r="P80" s="61" t="s">
        <v>490</v>
      </c>
    </row>
    <row r="81" spans="1:16" ht="14.25" x14ac:dyDescent="0.15">
      <c r="A81" s="4" t="s">
        <v>1</v>
      </c>
      <c r="B81" s="4" t="str">
        <f t="shared" si="5"/>
        <v>1032001</v>
      </c>
      <c r="C81" s="54">
        <v>10320</v>
      </c>
      <c r="D81" s="6" t="s">
        <v>803</v>
      </c>
      <c r="E81" s="52"/>
      <c r="G81" s="4">
        <v>1006</v>
      </c>
      <c r="H81" s="4">
        <v>90313000</v>
      </c>
      <c r="K81" s="4">
        <v>0</v>
      </c>
      <c r="L81" s="4" t="s">
        <v>410</v>
      </c>
      <c r="M81" s="19">
        <v>7</v>
      </c>
      <c r="N81" s="19">
        <v>0</v>
      </c>
      <c r="O81" s="19">
        <v>8</v>
      </c>
      <c r="P81" s="61" t="s">
        <v>491</v>
      </c>
    </row>
    <row r="82" spans="1:16" ht="14.25" x14ac:dyDescent="0.15">
      <c r="A82" s="4" t="s">
        <v>1</v>
      </c>
      <c r="B82" s="4" t="str">
        <f t="shared" si="5"/>
        <v>1032101</v>
      </c>
      <c r="C82" s="54">
        <v>10321</v>
      </c>
      <c r="D82" s="6" t="s">
        <v>804</v>
      </c>
      <c r="E82" s="52"/>
      <c r="G82" s="4">
        <v>1006</v>
      </c>
      <c r="H82" s="4">
        <v>90314000</v>
      </c>
      <c r="K82" s="4">
        <v>0</v>
      </c>
      <c r="L82" s="4" t="s">
        <v>411</v>
      </c>
      <c r="M82" s="19">
        <v>7</v>
      </c>
      <c r="N82" s="19">
        <v>0</v>
      </c>
      <c r="O82" s="19">
        <v>8</v>
      </c>
      <c r="P82" s="61" t="s">
        <v>492</v>
      </c>
    </row>
    <row r="83" spans="1:16" ht="14.25" x14ac:dyDescent="0.15">
      <c r="A83" s="4" t="s">
        <v>1</v>
      </c>
      <c r="B83" s="4" t="str">
        <f t="shared" si="5"/>
        <v>1032201</v>
      </c>
      <c r="C83" s="54">
        <v>10322</v>
      </c>
      <c r="D83" s="6" t="s">
        <v>805</v>
      </c>
      <c r="E83" s="52"/>
      <c r="G83" s="4">
        <v>1006</v>
      </c>
      <c r="H83" s="4">
        <v>90315000</v>
      </c>
      <c r="K83" s="4">
        <v>0</v>
      </c>
      <c r="L83" s="4" t="s">
        <v>412</v>
      </c>
      <c r="M83" s="19">
        <v>7</v>
      </c>
      <c r="N83" s="19">
        <v>0</v>
      </c>
      <c r="O83" s="19">
        <v>8</v>
      </c>
      <c r="P83" s="61" t="s">
        <v>493</v>
      </c>
    </row>
    <row r="84" spans="1:16" ht="14.25" x14ac:dyDescent="0.15">
      <c r="A84" s="4" t="s">
        <v>1</v>
      </c>
      <c r="B84" s="4" t="str">
        <f t="shared" si="5"/>
        <v>1032301</v>
      </c>
      <c r="C84" s="54">
        <v>10323</v>
      </c>
      <c r="D84" s="6" t="s">
        <v>725</v>
      </c>
      <c r="E84" s="52">
        <v>1</v>
      </c>
      <c r="G84" s="6">
        <v>1018</v>
      </c>
      <c r="K84" s="4">
        <v>6</v>
      </c>
      <c r="L84" s="4" t="s">
        <v>726</v>
      </c>
      <c r="M84" s="19">
        <v>7</v>
      </c>
      <c r="N84" s="19">
        <v>0</v>
      </c>
      <c r="O84" s="19">
        <v>7</v>
      </c>
      <c r="P84" s="61" t="s">
        <v>463</v>
      </c>
    </row>
    <row r="85" spans="1:16" ht="14.25" x14ac:dyDescent="0.15">
      <c r="A85" s="4" t="s">
        <v>1</v>
      </c>
      <c r="B85" s="4" t="str">
        <f t="shared" si="5"/>
        <v>1032401</v>
      </c>
      <c r="C85" s="54">
        <v>10324</v>
      </c>
      <c r="D85" s="6" t="s">
        <v>806</v>
      </c>
      <c r="E85" s="52"/>
      <c r="G85" s="4">
        <v>1006</v>
      </c>
      <c r="H85" s="4">
        <v>90316000</v>
      </c>
      <c r="K85" s="4">
        <v>0</v>
      </c>
      <c r="L85" s="4" t="s">
        <v>413</v>
      </c>
      <c r="M85" s="19">
        <v>7</v>
      </c>
      <c r="N85" s="19">
        <v>0</v>
      </c>
      <c r="O85" s="19">
        <v>8</v>
      </c>
      <c r="P85" s="61" t="s">
        <v>494</v>
      </c>
    </row>
    <row r="86" spans="1:16" ht="14.25" x14ac:dyDescent="0.15">
      <c r="A86" s="4" t="s">
        <v>1</v>
      </c>
      <c r="B86" s="4" t="str">
        <f t="shared" si="5"/>
        <v>1032501</v>
      </c>
      <c r="C86" s="54">
        <v>10325</v>
      </c>
      <c r="D86" s="6" t="s">
        <v>807</v>
      </c>
      <c r="E86" s="52"/>
      <c r="G86" s="4">
        <v>1006</v>
      </c>
      <c r="H86" s="4">
        <v>90317000</v>
      </c>
      <c r="K86" s="4">
        <v>0</v>
      </c>
      <c r="L86" s="4" t="s">
        <v>414</v>
      </c>
      <c r="M86" s="19">
        <v>7</v>
      </c>
      <c r="N86" s="19">
        <v>0</v>
      </c>
      <c r="O86" s="19">
        <v>8</v>
      </c>
      <c r="P86" s="61" t="s">
        <v>495</v>
      </c>
    </row>
    <row r="87" spans="1:16" ht="14.25" x14ac:dyDescent="0.15">
      <c r="A87" s="4" t="s">
        <v>1</v>
      </c>
      <c r="B87" s="4" t="str">
        <f t="shared" si="5"/>
        <v>1032601</v>
      </c>
      <c r="C87" s="54">
        <v>10326</v>
      </c>
      <c r="D87" s="69" t="s">
        <v>727</v>
      </c>
      <c r="E87" s="52">
        <v>19</v>
      </c>
      <c r="G87" s="6">
        <v>1040</v>
      </c>
      <c r="K87" s="4">
        <v>6</v>
      </c>
      <c r="L87" s="4" t="s">
        <v>661</v>
      </c>
      <c r="M87" s="19">
        <v>12</v>
      </c>
      <c r="N87" s="19">
        <v>0</v>
      </c>
      <c r="O87" s="19">
        <v>11</v>
      </c>
      <c r="P87" s="61" t="s">
        <v>445</v>
      </c>
    </row>
    <row r="88" spans="1:16" ht="14.25" x14ac:dyDescent="0.15">
      <c r="A88" s="4" t="s">
        <v>1</v>
      </c>
      <c r="B88" s="4" t="str">
        <f t="shared" si="5"/>
        <v>1032701</v>
      </c>
      <c r="C88" s="54">
        <v>10327</v>
      </c>
      <c r="D88" s="6" t="s">
        <v>808</v>
      </c>
      <c r="E88" s="52"/>
      <c r="G88" s="4">
        <v>1006</v>
      </c>
      <c r="H88" s="4">
        <v>90318001</v>
      </c>
      <c r="K88" s="4">
        <v>0</v>
      </c>
      <c r="L88" s="4" t="s">
        <v>415</v>
      </c>
      <c r="M88" s="19">
        <v>7</v>
      </c>
      <c r="N88" s="19">
        <v>0</v>
      </c>
      <c r="O88" s="19">
        <v>8</v>
      </c>
      <c r="P88" s="61" t="s">
        <v>496</v>
      </c>
    </row>
    <row r="89" spans="1:16" ht="14.25" x14ac:dyDescent="0.15">
      <c r="A89" s="4" t="s">
        <v>1</v>
      </c>
      <c r="B89" s="4" t="str">
        <f t="shared" si="5"/>
        <v>1032801</v>
      </c>
      <c r="C89" s="54">
        <v>10328</v>
      </c>
      <c r="D89" s="6" t="s">
        <v>728</v>
      </c>
      <c r="E89" s="52">
        <v>1</v>
      </c>
      <c r="G89" s="6">
        <v>1001</v>
      </c>
      <c r="K89" s="4">
        <v>6</v>
      </c>
      <c r="L89" s="4" t="s">
        <v>729</v>
      </c>
      <c r="M89" s="19">
        <v>5</v>
      </c>
      <c r="N89" s="19">
        <v>0</v>
      </c>
      <c r="O89" s="19">
        <v>10</v>
      </c>
      <c r="P89" s="61" t="s">
        <v>444</v>
      </c>
    </row>
    <row r="90" spans="1:16" ht="14.25" x14ac:dyDescent="0.15">
      <c r="A90" s="4" t="s">
        <v>1</v>
      </c>
      <c r="B90" s="4" t="str">
        <f t="shared" si="5"/>
        <v>1032901</v>
      </c>
      <c r="C90" s="54">
        <v>10329</v>
      </c>
      <c r="D90" s="6" t="s">
        <v>809</v>
      </c>
      <c r="E90" s="52"/>
      <c r="G90" s="4">
        <v>1006</v>
      </c>
      <c r="H90" s="4">
        <v>90319001</v>
      </c>
      <c r="K90" s="4">
        <v>0</v>
      </c>
      <c r="L90" s="4" t="s">
        <v>416</v>
      </c>
      <c r="M90" s="19">
        <v>1</v>
      </c>
      <c r="N90" s="19">
        <v>0</v>
      </c>
      <c r="O90" s="19">
        <v>8</v>
      </c>
      <c r="P90" s="61" t="s">
        <v>497</v>
      </c>
    </row>
    <row r="91" spans="1:16" ht="14.25" x14ac:dyDescent="0.15">
      <c r="A91" s="4" t="s">
        <v>1</v>
      </c>
      <c r="B91" s="4" t="str">
        <f t="shared" si="5"/>
        <v>1033001</v>
      </c>
      <c r="C91" s="54">
        <v>10330</v>
      </c>
      <c r="D91" s="6" t="s">
        <v>810</v>
      </c>
      <c r="E91" s="52"/>
      <c r="G91" s="4">
        <v>1006</v>
      </c>
      <c r="H91" s="4">
        <v>90320000</v>
      </c>
      <c r="K91" s="4">
        <v>0</v>
      </c>
      <c r="L91" s="4" t="s">
        <v>456</v>
      </c>
      <c r="M91" s="19">
        <v>1</v>
      </c>
      <c r="N91" s="19">
        <v>0</v>
      </c>
      <c r="O91" s="19">
        <v>8</v>
      </c>
      <c r="P91" s="61" t="s">
        <v>498</v>
      </c>
    </row>
    <row r="92" spans="1:16" ht="14.25" x14ac:dyDescent="0.15">
      <c r="A92" s="4" t="s">
        <v>1</v>
      </c>
      <c r="B92" s="4" t="str">
        <f t="shared" si="5"/>
        <v>1033101</v>
      </c>
      <c r="C92" s="54">
        <v>10331</v>
      </c>
      <c r="D92" s="6" t="s">
        <v>730</v>
      </c>
      <c r="E92" s="52">
        <v>1</v>
      </c>
      <c r="G92" s="6">
        <v>1018</v>
      </c>
      <c r="K92" s="4">
        <v>6</v>
      </c>
      <c r="L92" s="4" t="s">
        <v>731</v>
      </c>
      <c r="M92" s="19">
        <v>1</v>
      </c>
      <c r="N92" s="19">
        <v>0</v>
      </c>
      <c r="O92" s="19">
        <v>7</v>
      </c>
      <c r="P92" s="61" t="s">
        <v>463</v>
      </c>
    </row>
    <row r="93" spans="1:16" ht="14.25" x14ac:dyDescent="0.15">
      <c r="A93" s="4" t="s">
        <v>1</v>
      </c>
      <c r="B93" s="4" t="str">
        <f t="shared" si="5"/>
        <v>1033201</v>
      </c>
      <c r="C93" s="54">
        <v>10332</v>
      </c>
      <c r="D93" s="6" t="s">
        <v>811</v>
      </c>
      <c r="E93" s="52"/>
      <c r="G93" s="4">
        <v>1006</v>
      </c>
      <c r="H93" s="4">
        <v>90321000</v>
      </c>
      <c r="K93" s="4">
        <v>0</v>
      </c>
      <c r="L93" s="4" t="s">
        <v>457</v>
      </c>
      <c r="M93" s="19">
        <v>12</v>
      </c>
      <c r="N93" s="19">
        <v>0</v>
      </c>
      <c r="O93" s="19">
        <v>8</v>
      </c>
      <c r="P93" s="61" t="s">
        <v>499</v>
      </c>
    </row>
    <row r="94" spans="1:16" ht="14.25" x14ac:dyDescent="0.15">
      <c r="A94" s="4" t="s">
        <v>1</v>
      </c>
      <c r="B94" s="4" t="str">
        <f t="shared" si="5"/>
        <v>1033301</v>
      </c>
      <c r="C94" s="54">
        <v>10333</v>
      </c>
      <c r="D94" s="6" t="s">
        <v>812</v>
      </c>
      <c r="E94" s="52"/>
      <c r="G94" s="4">
        <v>1006</v>
      </c>
      <c r="H94" s="4">
        <v>90322001</v>
      </c>
      <c r="K94" s="4">
        <v>0</v>
      </c>
      <c r="L94" s="4" t="s">
        <v>458</v>
      </c>
      <c r="M94" s="19">
        <v>12</v>
      </c>
      <c r="N94" s="19">
        <v>0</v>
      </c>
      <c r="O94" s="19">
        <v>8</v>
      </c>
      <c r="P94" s="61" t="s">
        <v>500</v>
      </c>
    </row>
    <row r="95" spans="1:16" ht="14.25" x14ac:dyDescent="0.15">
      <c r="A95" s="4" t="s">
        <v>1</v>
      </c>
      <c r="B95" s="4" t="str">
        <f t="shared" si="5"/>
        <v>1033401</v>
      </c>
      <c r="C95" s="54">
        <v>10334</v>
      </c>
      <c r="D95" s="69" t="s">
        <v>732</v>
      </c>
      <c r="E95" s="52">
        <v>22</v>
      </c>
      <c r="G95" s="6">
        <v>1040</v>
      </c>
      <c r="K95" s="4">
        <v>6</v>
      </c>
      <c r="L95" s="4" t="s">
        <v>661</v>
      </c>
      <c r="M95" s="19">
        <v>12</v>
      </c>
      <c r="N95" s="19">
        <v>0</v>
      </c>
      <c r="O95" s="19">
        <v>11</v>
      </c>
      <c r="P95" s="61" t="s">
        <v>445</v>
      </c>
    </row>
    <row r="96" spans="1:16" ht="14.25" x14ac:dyDescent="0.15">
      <c r="A96" s="4" t="s">
        <v>1</v>
      </c>
      <c r="B96" s="4" t="str">
        <f t="shared" si="5"/>
        <v>1033501</v>
      </c>
      <c r="C96" s="54">
        <v>10335</v>
      </c>
      <c r="D96" s="6" t="s">
        <v>813</v>
      </c>
      <c r="E96" s="52"/>
      <c r="G96" s="4">
        <v>1006</v>
      </c>
      <c r="H96" s="4">
        <v>90323000</v>
      </c>
      <c r="K96" s="4">
        <v>0</v>
      </c>
      <c r="L96" s="4" t="s">
        <v>459</v>
      </c>
      <c r="M96" s="19">
        <v>12</v>
      </c>
      <c r="N96" s="19">
        <v>0</v>
      </c>
      <c r="O96" s="19">
        <v>8</v>
      </c>
      <c r="P96" s="61" t="s">
        <v>501</v>
      </c>
    </row>
    <row r="97" spans="1:23" ht="14.25" x14ac:dyDescent="0.15">
      <c r="A97" s="4" t="s">
        <v>1</v>
      </c>
      <c r="B97" s="4" t="str">
        <f t="shared" si="5"/>
        <v>1033601</v>
      </c>
      <c r="C97" s="54">
        <v>10336</v>
      </c>
      <c r="D97" s="6" t="s">
        <v>733</v>
      </c>
      <c r="E97" s="52">
        <v>1</v>
      </c>
      <c r="G97" s="6">
        <v>1001</v>
      </c>
      <c r="K97" s="4">
        <v>6</v>
      </c>
      <c r="L97" s="4" t="s">
        <v>734</v>
      </c>
      <c r="M97" s="19">
        <v>5</v>
      </c>
      <c r="N97" s="19">
        <v>0</v>
      </c>
      <c r="O97" s="19">
        <v>10</v>
      </c>
      <c r="P97" s="61" t="s">
        <v>444</v>
      </c>
    </row>
    <row r="98" spans="1:23" ht="14.25" x14ac:dyDescent="0.15">
      <c r="A98" s="4" t="s">
        <v>1</v>
      </c>
      <c r="B98" s="4" t="str">
        <f t="shared" si="5"/>
        <v>1040101</v>
      </c>
      <c r="C98" s="54">
        <v>10401</v>
      </c>
      <c r="D98" s="6" t="s">
        <v>814</v>
      </c>
      <c r="E98" s="52"/>
      <c r="G98" s="4">
        <v>1006</v>
      </c>
      <c r="H98" s="4">
        <v>90401004</v>
      </c>
      <c r="K98" s="4">
        <v>0</v>
      </c>
      <c r="L98" s="4" t="s">
        <v>664</v>
      </c>
      <c r="M98" s="19">
        <v>1</v>
      </c>
      <c r="N98" s="19">
        <v>0</v>
      </c>
      <c r="O98" s="19">
        <v>8</v>
      </c>
      <c r="P98" s="19" t="s">
        <v>619</v>
      </c>
    </row>
    <row r="99" spans="1:23" ht="14.25" x14ac:dyDescent="0.15">
      <c r="A99" s="4" t="s">
        <v>1</v>
      </c>
      <c r="B99" s="4" t="str">
        <f t="shared" si="5"/>
        <v>1040201</v>
      </c>
      <c r="C99" s="54">
        <v>10402</v>
      </c>
      <c r="D99" s="6" t="s">
        <v>815</v>
      </c>
      <c r="E99" s="52"/>
      <c r="G99" s="4">
        <v>1006</v>
      </c>
      <c r="H99" s="4">
        <v>90402000</v>
      </c>
      <c r="K99" s="4">
        <v>0</v>
      </c>
      <c r="L99" s="4" t="s">
        <v>665</v>
      </c>
      <c r="M99" s="19">
        <v>13</v>
      </c>
      <c r="N99" s="19">
        <v>0</v>
      </c>
      <c r="O99" s="19">
        <v>8</v>
      </c>
      <c r="P99" s="19" t="s">
        <v>666</v>
      </c>
      <c r="W99" s="55"/>
    </row>
    <row r="100" spans="1:23" ht="14.25" x14ac:dyDescent="0.15">
      <c r="A100" s="4" t="s">
        <v>1</v>
      </c>
      <c r="B100" s="4" t="str">
        <f t="shared" si="5"/>
        <v>1040301</v>
      </c>
      <c r="C100" s="54">
        <v>10403</v>
      </c>
      <c r="D100" s="6" t="s">
        <v>816</v>
      </c>
      <c r="E100" s="52"/>
      <c r="G100" s="4">
        <v>1006</v>
      </c>
      <c r="H100" s="4">
        <v>90403000</v>
      </c>
      <c r="K100" s="4">
        <v>0</v>
      </c>
      <c r="L100" s="4" t="s">
        <v>667</v>
      </c>
      <c r="M100" s="19">
        <v>13</v>
      </c>
      <c r="N100" s="19">
        <v>0</v>
      </c>
      <c r="O100" s="19">
        <v>8</v>
      </c>
      <c r="P100" s="19" t="s">
        <v>623</v>
      </c>
    </row>
    <row r="101" spans="1:23" ht="14.25" x14ac:dyDescent="0.15">
      <c r="A101" s="4" t="s">
        <v>1</v>
      </c>
      <c r="B101" s="4" t="str">
        <f t="shared" si="5"/>
        <v>1040401</v>
      </c>
      <c r="C101" s="54">
        <v>10404</v>
      </c>
      <c r="D101" s="6" t="s">
        <v>735</v>
      </c>
      <c r="E101" s="52">
        <v>1</v>
      </c>
      <c r="G101" s="6">
        <v>1018</v>
      </c>
      <c r="K101" s="4">
        <v>6</v>
      </c>
      <c r="L101" s="4" t="s">
        <v>736</v>
      </c>
      <c r="M101" s="19">
        <v>13</v>
      </c>
      <c r="N101" s="19">
        <v>0</v>
      </c>
      <c r="O101" s="19">
        <v>7</v>
      </c>
      <c r="P101" s="61" t="s">
        <v>463</v>
      </c>
    </row>
    <row r="102" spans="1:23" ht="14.25" x14ac:dyDescent="0.15">
      <c r="A102" s="4" t="s">
        <v>1</v>
      </c>
      <c r="B102" s="4" t="str">
        <f t="shared" si="5"/>
        <v>1040501</v>
      </c>
      <c r="C102" s="54">
        <v>10405</v>
      </c>
      <c r="D102" s="6" t="s">
        <v>817</v>
      </c>
      <c r="E102" s="52"/>
      <c r="G102" s="4">
        <v>1006</v>
      </c>
      <c r="H102" s="4">
        <v>90404000</v>
      </c>
      <c r="K102" s="4">
        <v>0</v>
      </c>
      <c r="L102" s="4" t="s">
        <v>668</v>
      </c>
      <c r="M102" s="19">
        <v>13</v>
      </c>
      <c r="N102" s="19">
        <v>0</v>
      </c>
      <c r="O102" s="19">
        <v>8</v>
      </c>
      <c r="P102" s="19" t="s">
        <v>624</v>
      </c>
    </row>
    <row r="103" spans="1:23" ht="14.25" x14ac:dyDescent="0.15">
      <c r="A103" s="4" t="s">
        <v>1</v>
      </c>
      <c r="B103" s="4" t="str">
        <f t="shared" si="5"/>
        <v>1040601</v>
      </c>
      <c r="C103" s="54">
        <v>10406</v>
      </c>
      <c r="D103" s="69" t="s">
        <v>737</v>
      </c>
      <c r="E103" s="52">
        <v>25</v>
      </c>
      <c r="G103" s="6">
        <v>1040</v>
      </c>
      <c r="K103" s="4">
        <v>6</v>
      </c>
      <c r="L103" s="4" t="s">
        <v>661</v>
      </c>
      <c r="M103" s="19">
        <v>12</v>
      </c>
      <c r="N103" s="19">
        <v>0</v>
      </c>
      <c r="O103" s="19">
        <v>11</v>
      </c>
      <c r="P103" s="61" t="s">
        <v>445</v>
      </c>
    </row>
    <row r="104" spans="1:23" ht="14.25" x14ac:dyDescent="0.15">
      <c r="A104" s="4" t="s">
        <v>1</v>
      </c>
      <c r="B104" s="4" t="str">
        <f t="shared" si="5"/>
        <v>1040701</v>
      </c>
      <c r="C104" s="54">
        <v>10407</v>
      </c>
      <c r="D104" s="6" t="s">
        <v>818</v>
      </c>
      <c r="E104" s="52"/>
      <c r="G104" s="4">
        <v>1006</v>
      </c>
      <c r="H104" s="4">
        <v>90405003</v>
      </c>
      <c r="K104" s="4">
        <v>0</v>
      </c>
      <c r="L104" s="4" t="s">
        <v>669</v>
      </c>
      <c r="M104" s="19">
        <v>3</v>
      </c>
      <c r="N104" s="19">
        <v>0</v>
      </c>
      <c r="O104" s="19">
        <v>8</v>
      </c>
      <c r="P104" s="19" t="s">
        <v>626</v>
      </c>
    </row>
    <row r="105" spans="1:23" ht="14.25" x14ac:dyDescent="0.15">
      <c r="A105" s="4" t="s">
        <v>1</v>
      </c>
      <c r="B105" s="4" t="str">
        <f t="shared" si="5"/>
        <v>1040801</v>
      </c>
      <c r="C105" s="54">
        <v>10408</v>
      </c>
      <c r="D105" s="6" t="s">
        <v>819</v>
      </c>
      <c r="E105" s="52"/>
      <c r="G105" s="4">
        <v>1006</v>
      </c>
      <c r="H105" s="4">
        <v>90406000</v>
      </c>
      <c r="K105" s="4">
        <v>0</v>
      </c>
      <c r="L105" s="4" t="s">
        <v>417</v>
      </c>
      <c r="M105" s="19">
        <v>3</v>
      </c>
      <c r="N105" s="19">
        <v>0</v>
      </c>
      <c r="O105" s="19">
        <v>8</v>
      </c>
      <c r="P105" s="19" t="s">
        <v>628</v>
      </c>
    </row>
    <row r="106" spans="1:23" ht="14.25" x14ac:dyDescent="0.15">
      <c r="A106" s="4" t="s">
        <v>1</v>
      </c>
      <c r="B106" s="4" t="str">
        <f t="shared" si="5"/>
        <v>1040901</v>
      </c>
      <c r="C106" s="54">
        <v>10409</v>
      </c>
      <c r="D106" s="6" t="s">
        <v>738</v>
      </c>
      <c r="E106" s="52">
        <v>1</v>
      </c>
      <c r="G106" s="6">
        <v>1001</v>
      </c>
      <c r="K106" s="4">
        <v>6</v>
      </c>
      <c r="L106" s="4" t="s">
        <v>739</v>
      </c>
      <c r="M106" s="19">
        <v>5</v>
      </c>
      <c r="N106" s="19">
        <v>0</v>
      </c>
      <c r="O106" s="19">
        <v>10</v>
      </c>
      <c r="P106" s="61" t="s">
        <v>444</v>
      </c>
    </row>
    <row r="107" spans="1:23" ht="14.25" x14ac:dyDescent="0.15">
      <c r="A107" s="4" t="s">
        <v>1</v>
      </c>
      <c r="B107" s="4" t="str">
        <f t="shared" si="5"/>
        <v>1041001</v>
      </c>
      <c r="C107" s="54">
        <v>10410</v>
      </c>
      <c r="D107" s="6" t="s">
        <v>820</v>
      </c>
      <c r="E107" s="52"/>
      <c r="G107" s="4">
        <v>1006</v>
      </c>
      <c r="H107" s="4">
        <v>90407000</v>
      </c>
      <c r="K107" s="4">
        <v>0</v>
      </c>
      <c r="L107" s="4" t="s">
        <v>418</v>
      </c>
      <c r="M107" s="19">
        <v>14</v>
      </c>
      <c r="N107" s="19">
        <v>0</v>
      </c>
      <c r="O107" s="19">
        <v>8</v>
      </c>
      <c r="P107" s="19" t="s">
        <v>630</v>
      </c>
    </row>
    <row r="108" spans="1:23" ht="14.25" x14ac:dyDescent="0.15">
      <c r="A108" s="4" t="s">
        <v>1</v>
      </c>
      <c r="B108" s="4" t="str">
        <f t="shared" si="5"/>
        <v>1041101</v>
      </c>
      <c r="C108" s="54">
        <v>10411</v>
      </c>
      <c r="D108" s="6" t="s">
        <v>821</v>
      </c>
      <c r="E108" s="52"/>
      <c r="G108" s="4">
        <v>1006</v>
      </c>
      <c r="H108" s="4">
        <v>90408000</v>
      </c>
      <c r="K108" s="4">
        <v>0</v>
      </c>
      <c r="L108" s="4" t="s">
        <v>419</v>
      </c>
      <c r="M108" s="19">
        <v>14</v>
      </c>
      <c r="N108" s="19">
        <v>0</v>
      </c>
      <c r="O108" s="19">
        <v>8</v>
      </c>
      <c r="P108" s="19" t="s">
        <v>670</v>
      </c>
    </row>
    <row r="109" spans="1:23" ht="14.25" x14ac:dyDescent="0.15">
      <c r="A109" s="4" t="s">
        <v>1</v>
      </c>
      <c r="B109" s="4" t="str">
        <f t="shared" si="5"/>
        <v>1041201</v>
      </c>
      <c r="C109" s="54">
        <v>10412</v>
      </c>
      <c r="D109" s="6" t="s">
        <v>740</v>
      </c>
      <c r="E109" s="52">
        <v>1</v>
      </c>
      <c r="G109" s="6">
        <v>1018</v>
      </c>
      <c r="K109" s="4">
        <v>6</v>
      </c>
      <c r="L109" s="4" t="s">
        <v>741</v>
      </c>
      <c r="M109" s="19">
        <v>4</v>
      </c>
      <c r="N109" s="19">
        <v>0</v>
      </c>
      <c r="O109" s="19">
        <v>7</v>
      </c>
      <c r="P109" s="19" t="s">
        <v>575</v>
      </c>
    </row>
    <row r="110" spans="1:23" ht="14.25" x14ac:dyDescent="0.15">
      <c r="A110" s="4" t="s">
        <v>1</v>
      </c>
      <c r="B110" s="4" t="str">
        <f t="shared" si="5"/>
        <v>1041301</v>
      </c>
      <c r="C110" s="54">
        <v>10413</v>
      </c>
      <c r="D110" s="6" t="s">
        <v>822</v>
      </c>
      <c r="E110" s="52"/>
      <c r="G110" s="4">
        <v>1006</v>
      </c>
      <c r="H110" s="4">
        <v>90409000</v>
      </c>
      <c r="K110" s="4">
        <v>0</v>
      </c>
      <c r="L110" s="4" t="s">
        <v>420</v>
      </c>
      <c r="M110" s="19">
        <v>4</v>
      </c>
      <c r="N110" s="19">
        <v>0</v>
      </c>
      <c r="O110" s="19">
        <v>8</v>
      </c>
      <c r="P110" s="19" t="s">
        <v>671</v>
      </c>
    </row>
    <row r="111" spans="1:23" ht="14.25" x14ac:dyDescent="0.15">
      <c r="A111" s="4" t="s">
        <v>1</v>
      </c>
      <c r="B111" s="4" t="str">
        <f t="shared" si="5"/>
        <v>1041401</v>
      </c>
      <c r="C111" s="54">
        <v>10414</v>
      </c>
      <c r="D111" s="6" t="s">
        <v>823</v>
      </c>
      <c r="E111" s="52"/>
      <c r="G111" s="4">
        <v>1006</v>
      </c>
      <c r="H111" s="4">
        <v>90410000</v>
      </c>
      <c r="K111" s="4">
        <v>0</v>
      </c>
      <c r="L111" s="4" t="s">
        <v>421</v>
      </c>
      <c r="M111" s="19">
        <v>4</v>
      </c>
      <c r="N111" s="19">
        <v>0</v>
      </c>
      <c r="O111" s="19">
        <v>8</v>
      </c>
      <c r="P111" s="19" t="s">
        <v>672</v>
      </c>
    </row>
    <row r="112" spans="1:23" ht="14.25" x14ac:dyDescent="0.15">
      <c r="A112" s="4" t="s">
        <v>1</v>
      </c>
      <c r="B112" s="4" t="str">
        <f t="shared" si="5"/>
        <v>1041501</v>
      </c>
      <c r="C112" s="54">
        <v>10415</v>
      </c>
      <c r="D112" s="69" t="s">
        <v>742</v>
      </c>
      <c r="E112" s="52">
        <v>28</v>
      </c>
      <c r="G112" s="6">
        <v>1040</v>
      </c>
      <c r="K112" s="4">
        <v>6</v>
      </c>
      <c r="L112" s="4" t="s">
        <v>661</v>
      </c>
      <c r="M112" s="19">
        <v>12</v>
      </c>
      <c r="N112" s="19">
        <v>0</v>
      </c>
      <c r="O112" s="19">
        <v>11</v>
      </c>
      <c r="P112" s="61" t="s">
        <v>445</v>
      </c>
    </row>
    <row r="113" spans="1:16" ht="14.25" x14ac:dyDescent="0.15">
      <c r="A113" s="4" t="s">
        <v>1</v>
      </c>
      <c r="B113" s="4" t="str">
        <f t="shared" si="5"/>
        <v>1041601</v>
      </c>
      <c r="C113" s="54">
        <v>10416</v>
      </c>
      <c r="D113" s="6" t="s">
        <v>824</v>
      </c>
      <c r="E113" s="52"/>
      <c r="G113" s="4">
        <v>1006</v>
      </c>
      <c r="H113" s="4">
        <v>90411000</v>
      </c>
      <c r="K113" s="4">
        <v>0</v>
      </c>
      <c r="L113" s="4" t="s">
        <v>422</v>
      </c>
      <c r="M113" s="19">
        <v>12</v>
      </c>
      <c r="N113" s="19">
        <v>0</v>
      </c>
      <c r="O113" s="19">
        <v>8</v>
      </c>
      <c r="P113" s="19" t="s">
        <v>673</v>
      </c>
    </row>
    <row r="114" spans="1:16" ht="14.25" x14ac:dyDescent="0.15">
      <c r="A114" s="4" t="s">
        <v>1</v>
      </c>
      <c r="B114" s="4" t="str">
        <f t="shared" si="5"/>
        <v>1041701</v>
      </c>
      <c r="C114" s="54">
        <v>10417</v>
      </c>
      <c r="D114" s="6" t="s">
        <v>743</v>
      </c>
      <c r="E114" s="52">
        <v>1</v>
      </c>
      <c r="G114" s="6">
        <v>1001</v>
      </c>
      <c r="K114" s="4">
        <v>6</v>
      </c>
      <c r="L114" s="4" t="s">
        <v>744</v>
      </c>
      <c r="M114" s="19">
        <v>5</v>
      </c>
      <c r="N114" s="19">
        <v>0</v>
      </c>
      <c r="O114" s="19">
        <v>10</v>
      </c>
      <c r="P114" s="61" t="s">
        <v>444</v>
      </c>
    </row>
    <row r="115" spans="1:16" ht="14.25" x14ac:dyDescent="0.15">
      <c r="A115" s="4" t="s">
        <v>1</v>
      </c>
      <c r="B115" s="4" t="str">
        <f t="shared" si="5"/>
        <v>1041801</v>
      </c>
      <c r="C115" s="54">
        <v>10418</v>
      </c>
      <c r="D115" s="6" t="s">
        <v>825</v>
      </c>
      <c r="E115" s="52"/>
      <c r="G115" s="4">
        <v>1006</v>
      </c>
      <c r="H115" s="4">
        <v>90412000</v>
      </c>
      <c r="K115" s="4">
        <v>0</v>
      </c>
      <c r="L115" s="4" t="s">
        <v>423</v>
      </c>
      <c r="M115" s="19">
        <v>14</v>
      </c>
      <c r="N115" s="19">
        <v>0</v>
      </c>
      <c r="O115" s="19">
        <v>8</v>
      </c>
      <c r="P115" s="19" t="s">
        <v>674</v>
      </c>
    </row>
    <row r="116" spans="1:16" ht="14.25" x14ac:dyDescent="0.15">
      <c r="A116" s="4" t="s">
        <v>1</v>
      </c>
      <c r="B116" s="4" t="str">
        <f t="shared" si="5"/>
        <v>1041901</v>
      </c>
      <c r="C116" s="54">
        <v>10419</v>
      </c>
      <c r="D116" s="6" t="s">
        <v>826</v>
      </c>
      <c r="E116" s="52"/>
      <c r="G116" s="4">
        <v>1006</v>
      </c>
      <c r="H116" s="4">
        <v>90413000</v>
      </c>
      <c r="K116" s="4">
        <v>0</v>
      </c>
      <c r="L116" s="4" t="s">
        <v>424</v>
      </c>
      <c r="M116" s="19">
        <v>14</v>
      </c>
      <c r="N116" s="19">
        <v>0</v>
      </c>
      <c r="O116" s="19">
        <v>8</v>
      </c>
      <c r="P116" s="19" t="s">
        <v>379</v>
      </c>
    </row>
    <row r="117" spans="1:16" ht="14.25" x14ac:dyDescent="0.15">
      <c r="A117" s="4" t="s">
        <v>1</v>
      </c>
      <c r="B117" s="4" t="str">
        <f t="shared" si="5"/>
        <v>1042001</v>
      </c>
      <c r="C117" s="54">
        <v>10420</v>
      </c>
      <c r="D117" s="6" t="s">
        <v>745</v>
      </c>
      <c r="E117" s="52">
        <v>1</v>
      </c>
      <c r="G117" s="6">
        <v>1018</v>
      </c>
      <c r="K117" s="4">
        <v>6</v>
      </c>
      <c r="L117" s="4" t="s">
        <v>746</v>
      </c>
      <c r="M117" s="19">
        <v>3</v>
      </c>
      <c r="N117" s="19">
        <v>0</v>
      </c>
      <c r="O117" s="19">
        <v>7</v>
      </c>
      <c r="P117" s="19" t="s">
        <v>575</v>
      </c>
    </row>
    <row r="118" spans="1:16" ht="14.25" x14ac:dyDescent="0.15">
      <c r="A118" s="4" t="s">
        <v>1</v>
      </c>
      <c r="B118" s="4" t="str">
        <f t="shared" si="5"/>
        <v>1042101</v>
      </c>
      <c r="C118" s="54">
        <v>10421</v>
      </c>
      <c r="D118" s="6" t="s">
        <v>827</v>
      </c>
      <c r="E118" s="52"/>
      <c r="G118" s="4">
        <v>1006</v>
      </c>
      <c r="H118" s="4">
        <v>90414001</v>
      </c>
      <c r="K118" s="4">
        <v>0</v>
      </c>
      <c r="L118" s="4" t="s">
        <v>425</v>
      </c>
      <c r="M118" s="19">
        <v>3</v>
      </c>
      <c r="N118" s="19">
        <v>0</v>
      </c>
      <c r="O118" s="19">
        <v>8</v>
      </c>
      <c r="P118" s="19" t="s">
        <v>675</v>
      </c>
    </row>
    <row r="119" spans="1:16" ht="14.25" x14ac:dyDescent="0.15">
      <c r="A119" s="4" t="s">
        <v>1</v>
      </c>
      <c r="B119" s="4" t="str">
        <f t="shared" si="5"/>
        <v>1042201</v>
      </c>
      <c r="C119" s="54">
        <v>10422</v>
      </c>
      <c r="D119" s="69" t="s">
        <v>747</v>
      </c>
      <c r="E119" s="52">
        <v>31</v>
      </c>
      <c r="G119" s="6">
        <v>1040</v>
      </c>
      <c r="K119" s="4">
        <v>6</v>
      </c>
      <c r="L119" s="4" t="s">
        <v>661</v>
      </c>
      <c r="M119" s="19">
        <v>12</v>
      </c>
      <c r="N119" s="19">
        <v>0</v>
      </c>
      <c r="O119" s="19">
        <v>11</v>
      </c>
      <c r="P119" s="61" t="s">
        <v>445</v>
      </c>
    </row>
    <row r="120" spans="1:16" ht="14.25" x14ac:dyDescent="0.15">
      <c r="A120" s="4" t="s">
        <v>1</v>
      </c>
      <c r="B120" s="4" t="str">
        <f t="shared" si="5"/>
        <v>1042301</v>
      </c>
      <c r="C120" s="54">
        <v>10423</v>
      </c>
      <c r="D120" s="6" t="s">
        <v>828</v>
      </c>
      <c r="E120" s="52"/>
      <c r="G120" s="4">
        <v>1006</v>
      </c>
      <c r="H120" s="4">
        <v>90415000</v>
      </c>
      <c r="K120" s="4">
        <v>0</v>
      </c>
      <c r="L120" s="4" t="s">
        <v>676</v>
      </c>
      <c r="M120" s="19">
        <v>3</v>
      </c>
      <c r="N120" s="19">
        <v>0</v>
      </c>
      <c r="O120" s="19">
        <v>8</v>
      </c>
      <c r="P120" s="19" t="s">
        <v>677</v>
      </c>
    </row>
    <row r="121" spans="1:16" ht="14.25" x14ac:dyDescent="0.15">
      <c r="A121" s="4" t="s">
        <v>1</v>
      </c>
      <c r="B121" s="4" t="str">
        <f t="shared" si="5"/>
        <v>1042401</v>
      </c>
      <c r="C121" s="54">
        <v>10424</v>
      </c>
      <c r="D121" s="6" t="s">
        <v>748</v>
      </c>
      <c r="E121" s="52">
        <v>1</v>
      </c>
      <c r="G121" s="6">
        <v>1001</v>
      </c>
      <c r="K121" s="4">
        <v>6</v>
      </c>
      <c r="L121" s="4" t="s">
        <v>749</v>
      </c>
      <c r="M121" s="19">
        <v>5</v>
      </c>
      <c r="N121" s="19">
        <v>0</v>
      </c>
      <c r="O121" s="19">
        <v>10</v>
      </c>
      <c r="P121" s="61" t="s">
        <v>444</v>
      </c>
    </row>
    <row r="122" spans="1:16" ht="14.25" x14ac:dyDescent="0.15">
      <c r="A122" s="4" t="s">
        <v>1</v>
      </c>
      <c r="B122" s="4" t="str">
        <f t="shared" si="5"/>
        <v>1042501</v>
      </c>
      <c r="C122" s="54">
        <v>10425</v>
      </c>
      <c r="D122" s="6" t="s">
        <v>829</v>
      </c>
      <c r="E122" s="52"/>
      <c r="G122" s="4">
        <v>1006</v>
      </c>
      <c r="H122" s="4">
        <v>90416000</v>
      </c>
      <c r="K122" s="4">
        <v>0</v>
      </c>
      <c r="L122" s="4" t="s">
        <v>678</v>
      </c>
      <c r="M122" s="19">
        <v>14</v>
      </c>
      <c r="N122" s="19">
        <v>0</v>
      </c>
      <c r="O122" s="19">
        <v>8</v>
      </c>
      <c r="P122" s="19" t="s">
        <v>679</v>
      </c>
    </row>
    <row r="123" spans="1:16" ht="14.25" x14ac:dyDescent="0.15">
      <c r="A123" s="4" t="s">
        <v>1</v>
      </c>
      <c r="B123" s="4" t="str">
        <f t="shared" si="5"/>
        <v>1042601</v>
      </c>
      <c r="C123" s="54">
        <v>10426</v>
      </c>
      <c r="D123" s="6" t="s">
        <v>750</v>
      </c>
      <c r="E123" s="52">
        <v>1</v>
      </c>
      <c r="G123" s="6">
        <v>1018</v>
      </c>
      <c r="K123" s="4">
        <v>6</v>
      </c>
      <c r="L123" s="4" t="s">
        <v>751</v>
      </c>
      <c r="M123" s="19">
        <v>6</v>
      </c>
      <c r="N123" s="19">
        <v>0</v>
      </c>
      <c r="O123" s="19">
        <v>7</v>
      </c>
      <c r="P123" s="19" t="s">
        <v>507</v>
      </c>
    </row>
    <row r="124" spans="1:16" ht="14.25" x14ac:dyDescent="0.15">
      <c r="A124" s="4" t="s">
        <v>1</v>
      </c>
      <c r="B124" s="4" t="str">
        <f t="shared" si="5"/>
        <v>1042701</v>
      </c>
      <c r="C124" s="54">
        <v>10427</v>
      </c>
      <c r="D124" s="6" t="s">
        <v>830</v>
      </c>
      <c r="E124" s="52"/>
      <c r="G124" s="4">
        <v>1006</v>
      </c>
      <c r="H124" s="4">
        <v>90417000</v>
      </c>
      <c r="K124" s="4">
        <v>0</v>
      </c>
      <c r="L124" s="4" t="s">
        <v>680</v>
      </c>
      <c r="M124" s="19">
        <v>6</v>
      </c>
      <c r="N124" s="19">
        <v>0</v>
      </c>
      <c r="O124" s="19">
        <v>8</v>
      </c>
      <c r="P124" s="19" t="s">
        <v>681</v>
      </c>
    </row>
    <row r="125" spans="1:16" ht="14.25" x14ac:dyDescent="0.15">
      <c r="A125" s="4" t="s">
        <v>1</v>
      </c>
      <c r="B125" s="4" t="str">
        <f t="shared" si="5"/>
        <v>1042801</v>
      </c>
      <c r="C125" s="54">
        <v>10428</v>
      </c>
      <c r="D125" s="6" t="s">
        <v>831</v>
      </c>
      <c r="E125" s="52"/>
      <c r="G125" s="4">
        <v>1006</v>
      </c>
      <c r="H125" s="4">
        <v>90418000</v>
      </c>
      <c r="K125" s="4">
        <v>0</v>
      </c>
      <c r="L125" s="4" t="s">
        <v>682</v>
      </c>
      <c r="M125" s="19">
        <v>6</v>
      </c>
      <c r="N125" s="19">
        <v>0</v>
      </c>
      <c r="O125" s="19">
        <v>8</v>
      </c>
      <c r="P125" s="19" t="s">
        <v>683</v>
      </c>
    </row>
    <row r="126" spans="1:16" ht="14.25" x14ac:dyDescent="0.15">
      <c r="A126" s="4" t="s">
        <v>1</v>
      </c>
      <c r="B126" s="4" t="str">
        <f t="shared" si="5"/>
        <v>1042901</v>
      </c>
      <c r="C126" s="54">
        <v>10429</v>
      </c>
      <c r="D126" s="69" t="s">
        <v>752</v>
      </c>
      <c r="E126" s="52">
        <v>34</v>
      </c>
      <c r="G126" s="6">
        <v>1040</v>
      </c>
      <c r="K126" s="4">
        <v>6</v>
      </c>
      <c r="L126" s="4" t="s">
        <v>661</v>
      </c>
      <c r="M126" s="19">
        <v>12</v>
      </c>
      <c r="N126" s="19">
        <v>0</v>
      </c>
      <c r="O126" s="19">
        <v>11</v>
      </c>
      <c r="P126" s="61" t="s">
        <v>445</v>
      </c>
    </row>
    <row r="127" spans="1:16" ht="14.25" x14ac:dyDescent="0.15">
      <c r="A127" s="4" t="s">
        <v>1</v>
      </c>
      <c r="B127" s="4" t="str">
        <f t="shared" si="5"/>
        <v>1043001</v>
      </c>
      <c r="C127" s="54">
        <v>10430</v>
      </c>
      <c r="D127" s="6" t="s">
        <v>832</v>
      </c>
      <c r="E127" s="52"/>
      <c r="G127" s="4">
        <v>1006</v>
      </c>
      <c r="H127" s="4">
        <v>90419000</v>
      </c>
      <c r="K127" s="4">
        <v>0</v>
      </c>
      <c r="L127" s="4" t="s">
        <v>684</v>
      </c>
      <c r="M127" s="19">
        <v>6</v>
      </c>
      <c r="N127" s="19">
        <v>0</v>
      </c>
      <c r="O127" s="19">
        <v>8</v>
      </c>
      <c r="P127" s="19" t="s">
        <v>685</v>
      </c>
    </row>
    <row r="128" spans="1:16" s="69" customFormat="1" ht="14.25" x14ac:dyDescent="0.15">
      <c r="A128" s="69" t="s">
        <v>248</v>
      </c>
      <c r="B128" s="69" t="str">
        <f t="shared" si="5"/>
        <v>1043101</v>
      </c>
      <c r="C128" s="69">
        <v>10431</v>
      </c>
      <c r="D128" s="69" t="s">
        <v>686</v>
      </c>
      <c r="E128" s="71">
        <v>1</v>
      </c>
      <c r="G128" s="69">
        <v>1018</v>
      </c>
      <c r="K128" s="69">
        <v>6</v>
      </c>
      <c r="L128" s="69" t="s">
        <v>687</v>
      </c>
      <c r="M128" s="72">
        <v>1</v>
      </c>
      <c r="N128" s="19">
        <v>0</v>
      </c>
      <c r="O128" s="72"/>
      <c r="P128" s="73" t="s">
        <v>446</v>
      </c>
    </row>
    <row r="129" spans="2:16" ht="14.25" x14ac:dyDescent="0.15">
      <c r="B129" s="4"/>
      <c r="C129" s="54"/>
      <c r="E129" s="52"/>
      <c r="M129" s="19"/>
      <c r="N129" s="19"/>
      <c r="O129" s="19"/>
      <c r="P129" s="61"/>
    </row>
    <row r="130" spans="2:16" ht="14.25" x14ac:dyDescent="0.15">
      <c r="B130" s="4"/>
      <c r="C130" s="54"/>
      <c r="E130" s="52"/>
      <c r="G130" s="6"/>
      <c r="M130" s="19"/>
      <c r="N130" s="19"/>
      <c r="O130" s="19"/>
      <c r="P130" s="61"/>
    </row>
    <row r="131" spans="2:16" ht="14.25" x14ac:dyDescent="0.15">
      <c r="B131" s="4"/>
      <c r="C131" s="54"/>
      <c r="E131" s="52"/>
      <c r="G131" s="6"/>
      <c r="M131" s="19"/>
      <c r="N131" s="19"/>
      <c r="O131" s="19"/>
      <c r="P131" s="61"/>
    </row>
    <row r="132" spans="2:16" ht="14.25" x14ac:dyDescent="0.15">
      <c r="B132" s="4"/>
      <c r="C132" s="54"/>
      <c r="E132" s="52"/>
      <c r="G132" s="6"/>
      <c r="M132" s="19"/>
      <c r="N132" s="19"/>
      <c r="O132" s="19"/>
      <c r="P132" s="61"/>
    </row>
    <row r="133" spans="2:16" ht="14.25" x14ac:dyDescent="0.15">
      <c r="B133" s="4"/>
      <c r="C133" s="54"/>
      <c r="E133" s="52"/>
      <c r="G133" s="6"/>
      <c r="M133" s="19"/>
      <c r="N133" s="19"/>
      <c r="O133" s="19"/>
      <c r="P133" s="61"/>
    </row>
    <row r="134" spans="2:16" ht="14.25" x14ac:dyDescent="0.15">
      <c r="B134" s="4" t="str">
        <f>IF(C134=C62,B62+1,C134&amp;"01")</f>
        <v>1030601</v>
      </c>
      <c r="C134" s="54">
        <v>10306</v>
      </c>
      <c r="D134" s="6" t="s">
        <v>344</v>
      </c>
      <c r="E134" s="52"/>
      <c r="H134" s="55">
        <v>90215000</v>
      </c>
      <c r="K134" s="4">
        <v>0</v>
      </c>
      <c r="M134" s="19">
        <v>5</v>
      </c>
      <c r="N134" s="19">
        <v>0</v>
      </c>
      <c r="O134" s="19">
        <v>8</v>
      </c>
      <c r="P134" s="61" t="s">
        <v>328</v>
      </c>
    </row>
    <row r="135" spans="2:16" ht="14.25" x14ac:dyDescent="0.15">
      <c r="B135" s="4">
        <f t="shared" ref="B135:B160" si="6">IF(C135=C134,B134+1,C135&amp;"01")</f>
        <v>1030602</v>
      </c>
      <c r="C135" s="54">
        <v>10306</v>
      </c>
      <c r="D135" s="6" t="s">
        <v>326</v>
      </c>
      <c r="E135" s="52">
        <v>10</v>
      </c>
      <c r="F135" s="6">
        <v>31021</v>
      </c>
      <c r="G135" s="6">
        <v>1016</v>
      </c>
      <c r="K135" s="4">
        <v>2</v>
      </c>
      <c r="L135" s="4" t="s">
        <v>327</v>
      </c>
      <c r="M135" s="19">
        <v>5</v>
      </c>
      <c r="N135" s="19">
        <v>0</v>
      </c>
      <c r="O135" s="19" t="s">
        <v>287</v>
      </c>
      <c r="P135" s="61" t="s">
        <v>328</v>
      </c>
    </row>
    <row r="136" spans="2:16" ht="14.25" x14ac:dyDescent="0.15">
      <c r="B136" s="4" t="str">
        <f t="shared" si="6"/>
        <v>1030701</v>
      </c>
      <c r="C136" s="54">
        <v>10307</v>
      </c>
      <c r="D136" s="6" t="s">
        <v>330</v>
      </c>
      <c r="E136" s="52">
        <v>10</v>
      </c>
      <c r="F136" s="6">
        <v>31031</v>
      </c>
      <c r="G136" s="6">
        <v>1016</v>
      </c>
      <c r="K136" s="4">
        <v>2</v>
      </c>
      <c r="L136" s="4" t="s">
        <v>329</v>
      </c>
      <c r="M136" s="19">
        <v>5</v>
      </c>
      <c r="N136" s="19">
        <v>0</v>
      </c>
      <c r="O136" s="19" t="s">
        <v>287</v>
      </c>
      <c r="P136" s="61" t="str">
        <f>IF(H62="","","剧情关卡")</f>
        <v>剧情关卡</v>
      </c>
    </row>
    <row r="137" spans="2:16" ht="14.25" x14ac:dyDescent="0.15">
      <c r="B137" s="4">
        <f t="shared" si="6"/>
        <v>1030702</v>
      </c>
      <c r="C137" s="54">
        <v>10307</v>
      </c>
      <c r="D137" s="6" t="s">
        <v>223</v>
      </c>
      <c r="E137" s="52"/>
      <c r="H137" s="4">
        <v>90307000</v>
      </c>
      <c r="K137" s="4">
        <v>0</v>
      </c>
      <c r="M137" s="19">
        <v>14</v>
      </c>
      <c r="N137" s="19">
        <v>2</v>
      </c>
      <c r="O137" s="19">
        <v>8</v>
      </c>
      <c r="P137" s="61" t="str">
        <f t="shared" ref="P137:P138" si="7">IF(H137="","","剧情关卡")</f>
        <v>剧情关卡</v>
      </c>
    </row>
    <row r="138" spans="2:16" ht="14.25" x14ac:dyDescent="0.15">
      <c r="B138" s="4">
        <f t="shared" si="6"/>
        <v>1030703</v>
      </c>
      <c r="C138" s="54">
        <v>10307</v>
      </c>
      <c r="D138" s="6" t="s">
        <v>224</v>
      </c>
      <c r="E138" s="52"/>
      <c r="H138" s="4">
        <v>90308000</v>
      </c>
      <c r="K138" s="4">
        <v>0</v>
      </c>
      <c r="M138" s="19">
        <v>14</v>
      </c>
      <c r="N138" s="19">
        <v>1</v>
      </c>
      <c r="O138" s="19">
        <v>8</v>
      </c>
      <c r="P138" s="61" t="str">
        <f t="shared" si="7"/>
        <v>剧情关卡</v>
      </c>
    </row>
    <row r="139" spans="2:16" ht="14.25" x14ac:dyDescent="0.15">
      <c r="B139" s="4" t="str">
        <f t="shared" si="6"/>
        <v>1030801</v>
      </c>
      <c r="C139" s="54">
        <v>10308</v>
      </c>
      <c r="D139" s="6" t="s">
        <v>326</v>
      </c>
      <c r="E139" s="52">
        <v>10</v>
      </c>
      <c r="F139" s="6">
        <v>31021</v>
      </c>
      <c r="G139" s="6">
        <v>1016</v>
      </c>
      <c r="K139" s="4">
        <v>2</v>
      </c>
      <c r="L139" s="4" t="s">
        <v>327</v>
      </c>
      <c r="M139" s="19">
        <v>5</v>
      </c>
      <c r="N139" s="19">
        <v>0</v>
      </c>
      <c r="O139" s="19" t="s">
        <v>287</v>
      </c>
      <c r="P139" s="61" t="s">
        <v>328</v>
      </c>
    </row>
    <row r="140" spans="2:16" ht="14.25" x14ac:dyDescent="0.15">
      <c r="B140" s="4">
        <f t="shared" si="6"/>
        <v>1030802</v>
      </c>
      <c r="C140" s="54">
        <v>10308</v>
      </c>
      <c r="D140" s="6" t="s">
        <v>330</v>
      </c>
      <c r="E140" s="52">
        <v>10</v>
      </c>
      <c r="F140" s="6">
        <v>31031</v>
      </c>
      <c r="G140" s="6">
        <v>1016</v>
      </c>
      <c r="K140" s="4">
        <v>2</v>
      </c>
      <c r="L140" s="4" t="s">
        <v>329</v>
      </c>
      <c r="M140" s="19">
        <v>5</v>
      </c>
      <c r="N140" s="19">
        <v>0</v>
      </c>
      <c r="O140" s="19" t="s">
        <v>287</v>
      </c>
      <c r="P140" s="61" t="s">
        <v>328</v>
      </c>
    </row>
    <row r="141" spans="2:16" ht="14.25" x14ac:dyDescent="0.15">
      <c r="B141" s="4" t="str">
        <f t="shared" si="6"/>
        <v>1030901</v>
      </c>
      <c r="C141" s="54">
        <v>10309</v>
      </c>
      <c r="D141" s="6" t="s">
        <v>225</v>
      </c>
      <c r="E141" s="52"/>
      <c r="H141" s="4">
        <v>90309000</v>
      </c>
      <c r="K141" s="4">
        <v>0</v>
      </c>
      <c r="M141" s="19">
        <v>1</v>
      </c>
      <c r="N141" s="19">
        <v>3</v>
      </c>
      <c r="O141" s="19">
        <v>8</v>
      </c>
      <c r="P141" s="61" t="str">
        <f t="shared" ref="P141:P160" si="8">IF(H141="","","剧情关卡")</f>
        <v>剧情关卡</v>
      </c>
    </row>
    <row r="142" spans="2:16" ht="14.25" x14ac:dyDescent="0.15">
      <c r="B142" s="4">
        <f t="shared" si="6"/>
        <v>1030902</v>
      </c>
      <c r="C142" s="54">
        <v>10309</v>
      </c>
      <c r="D142" s="6" t="s">
        <v>226</v>
      </c>
      <c r="E142" s="52"/>
      <c r="H142" s="4">
        <v>90310000</v>
      </c>
      <c r="K142" s="4">
        <v>0</v>
      </c>
      <c r="M142" s="19">
        <v>1</v>
      </c>
      <c r="N142" s="19">
        <v>2</v>
      </c>
      <c r="O142" s="19">
        <v>8</v>
      </c>
      <c r="P142" s="61" t="str">
        <f t="shared" si="8"/>
        <v>剧情关卡</v>
      </c>
    </row>
    <row r="143" spans="2:16" ht="14.25" x14ac:dyDescent="0.15">
      <c r="B143" s="4">
        <f t="shared" si="6"/>
        <v>1030903</v>
      </c>
      <c r="C143" s="54">
        <v>10309</v>
      </c>
      <c r="D143" s="6" t="s">
        <v>227</v>
      </c>
      <c r="E143" s="52"/>
      <c r="H143" s="4">
        <v>90311000</v>
      </c>
      <c r="K143" s="4">
        <v>0</v>
      </c>
      <c r="M143" s="19">
        <v>1</v>
      </c>
      <c r="N143" s="19">
        <v>1</v>
      </c>
      <c r="O143" s="19">
        <v>8</v>
      </c>
      <c r="P143" s="61" t="str">
        <f t="shared" si="8"/>
        <v>剧情关卡</v>
      </c>
    </row>
    <row r="144" spans="2:16" ht="14.25" x14ac:dyDescent="0.15">
      <c r="B144" s="4" t="str">
        <f t="shared" si="6"/>
        <v>1031001</v>
      </c>
      <c r="C144" s="54">
        <v>10310</v>
      </c>
      <c r="D144" s="6" t="s">
        <v>326</v>
      </c>
      <c r="E144" s="52">
        <v>10</v>
      </c>
      <c r="F144" s="6">
        <v>31021</v>
      </c>
      <c r="G144" s="6">
        <v>1016</v>
      </c>
      <c r="K144" s="4">
        <v>2</v>
      </c>
      <c r="L144" s="4" t="s">
        <v>327</v>
      </c>
      <c r="M144" s="19">
        <v>5</v>
      </c>
      <c r="N144" s="19">
        <v>0</v>
      </c>
      <c r="O144" s="19" t="s">
        <v>287</v>
      </c>
      <c r="P144" s="61" t="s">
        <v>328</v>
      </c>
    </row>
    <row r="145" spans="2:16" ht="14.25" x14ac:dyDescent="0.15">
      <c r="B145" s="4">
        <f t="shared" si="6"/>
        <v>1031002</v>
      </c>
      <c r="C145" s="54">
        <v>10310</v>
      </c>
      <c r="D145" s="6" t="s">
        <v>330</v>
      </c>
      <c r="E145" s="52">
        <v>10</v>
      </c>
      <c r="F145" s="6">
        <v>31031</v>
      </c>
      <c r="G145" s="6">
        <v>1016</v>
      </c>
      <c r="K145" s="4">
        <v>2</v>
      </c>
      <c r="L145" s="4" t="s">
        <v>329</v>
      </c>
      <c r="M145" s="19">
        <v>5</v>
      </c>
      <c r="N145" s="19">
        <v>0</v>
      </c>
      <c r="O145" s="19" t="s">
        <v>287</v>
      </c>
      <c r="P145" s="61" t="s">
        <v>328</v>
      </c>
    </row>
    <row r="146" spans="2:16" ht="14.25" x14ac:dyDescent="0.15">
      <c r="B146" s="4" t="str">
        <f t="shared" si="6"/>
        <v>1031101</v>
      </c>
      <c r="C146" s="54">
        <v>10311</v>
      </c>
      <c r="D146" s="6" t="s">
        <v>228</v>
      </c>
      <c r="E146" s="52"/>
      <c r="H146" s="4">
        <v>90312000</v>
      </c>
      <c r="K146" s="4">
        <v>0</v>
      </c>
      <c r="M146" s="19">
        <v>6</v>
      </c>
      <c r="N146" s="19">
        <v>3</v>
      </c>
      <c r="O146" s="19">
        <v>8</v>
      </c>
      <c r="P146" s="61" t="str">
        <f t="shared" si="8"/>
        <v>剧情关卡</v>
      </c>
    </row>
    <row r="147" spans="2:16" ht="14.25" x14ac:dyDescent="0.15">
      <c r="B147" s="4">
        <f t="shared" si="6"/>
        <v>1031102</v>
      </c>
      <c r="C147" s="54">
        <v>10311</v>
      </c>
      <c r="D147" s="6" t="s">
        <v>229</v>
      </c>
      <c r="E147" s="52"/>
      <c r="H147" s="4">
        <v>90313000</v>
      </c>
      <c r="K147" s="4">
        <v>0</v>
      </c>
      <c r="M147" s="19">
        <v>6</v>
      </c>
      <c r="N147" s="19">
        <v>2</v>
      </c>
      <c r="O147" s="19">
        <v>8</v>
      </c>
      <c r="P147" s="61" t="str">
        <f t="shared" si="8"/>
        <v>剧情关卡</v>
      </c>
    </row>
    <row r="148" spans="2:16" ht="14.25" x14ac:dyDescent="0.15">
      <c r="B148" s="4">
        <f t="shared" si="6"/>
        <v>1031103</v>
      </c>
      <c r="C148" s="54">
        <v>10311</v>
      </c>
      <c r="D148" s="6" t="s">
        <v>230</v>
      </c>
      <c r="E148" s="52"/>
      <c r="H148" s="4">
        <v>90314000</v>
      </c>
      <c r="K148" s="4">
        <v>0</v>
      </c>
      <c r="M148" s="19">
        <v>1</v>
      </c>
      <c r="N148" s="19">
        <v>1</v>
      </c>
      <c r="O148" s="19">
        <v>8</v>
      </c>
      <c r="P148" s="61" t="str">
        <f t="shared" si="8"/>
        <v>剧情关卡</v>
      </c>
    </row>
    <row r="149" spans="2:16" ht="14.25" x14ac:dyDescent="0.15">
      <c r="B149" s="4" t="str">
        <f t="shared" si="6"/>
        <v>1031201</v>
      </c>
      <c r="C149" s="54">
        <v>10312</v>
      </c>
      <c r="D149" s="6" t="s">
        <v>326</v>
      </c>
      <c r="E149" s="52">
        <v>10</v>
      </c>
      <c r="F149" s="6">
        <v>31021</v>
      </c>
      <c r="G149" s="6">
        <v>1016</v>
      </c>
      <c r="K149" s="4">
        <v>2</v>
      </c>
      <c r="L149" s="4" t="s">
        <v>327</v>
      </c>
      <c r="M149" s="19">
        <v>5</v>
      </c>
      <c r="N149" s="19">
        <v>0</v>
      </c>
      <c r="O149" s="19" t="s">
        <v>287</v>
      </c>
      <c r="P149" s="61" t="s">
        <v>328</v>
      </c>
    </row>
    <row r="150" spans="2:16" ht="14.25" x14ac:dyDescent="0.15">
      <c r="B150" s="4">
        <f t="shared" si="6"/>
        <v>1031202</v>
      </c>
      <c r="C150" s="54">
        <v>10312</v>
      </c>
      <c r="D150" s="6" t="s">
        <v>330</v>
      </c>
      <c r="E150" s="52">
        <v>10</v>
      </c>
      <c r="F150" s="6">
        <v>31031</v>
      </c>
      <c r="G150" s="6">
        <v>1016</v>
      </c>
      <c r="K150" s="4">
        <v>2</v>
      </c>
      <c r="L150" s="4" t="s">
        <v>329</v>
      </c>
      <c r="M150" s="19">
        <v>5</v>
      </c>
      <c r="N150" s="19">
        <v>0</v>
      </c>
      <c r="O150" s="19" t="s">
        <v>287</v>
      </c>
      <c r="P150" s="61" t="s">
        <v>328</v>
      </c>
    </row>
    <row r="151" spans="2:16" ht="14.25" x14ac:dyDescent="0.15">
      <c r="B151" s="4" t="str">
        <f t="shared" si="6"/>
        <v>1031301</v>
      </c>
      <c r="C151" s="54">
        <v>10313</v>
      </c>
      <c r="D151" s="6" t="s">
        <v>231</v>
      </c>
      <c r="E151" s="52"/>
      <c r="H151" s="4">
        <v>90315001</v>
      </c>
      <c r="K151" s="4">
        <v>0</v>
      </c>
      <c r="M151" s="19">
        <v>3</v>
      </c>
      <c r="N151" s="19">
        <v>0</v>
      </c>
      <c r="O151" s="19">
        <v>8</v>
      </c>
      <c r="P151" s="61" t="str">
        <f t="shared" si="8"/>
        <v>剧情关卡</v>
      </c>
    </row>
    <row r="152" spans="2:16" ht="14.25" x14ac:dyDescent="0.15">
      <c r="B152" s="4" t="str">
        <f t="shared" si="6"/>
        <v>1031401</v>
      </c>
      <c r="C152" s="54">
        <v>10314</v>
      </c>
      <c r="D152" s="6" t="s">
        <v>326</v>
      </c>
      <c r="E152" s="52">
        <v>10</v>
      </c>
      <c r="F152" s="6">
        <v>31021</v>
      </c>
      <c r="G152" s="6">
        <v>1016</v>
      </c>
      <c r="K152" s="4">
        <v>2</v>
      </c>
      <c r="L152" s="4" t="s">
        <v>327</v>
      </c>
      <c r="M152" s="19">
        <v>5</v>
      </c>
      <c r="N152" s="19">
        <v>0</v>
      </c>
      <c r="O152" s="19" t="s">
        <v>287</v>
      </c>
      <c r="P152" s="61" t="s">
        <v>328</v>
      </c>
    </row>
    <row r="153" spans="2:16" ht="14.25" x14ac:dyDescent="0.15">
      <c r="B153" s="4">
        <f t="shared" si="6"/>
        <v>1031402</v>
      </c>
      <c r="C153" s="54">
        <v>10314</v>
      </c>
      <c r="D153" s="6" t="s">
        <v>330</v>
      </c>
      <c r="E153" s="52">
        <v>10</v>
      </c>
      <c r="F153" s="6">
        <v>31031</v>
      </c>
      <c r="G153" s="6">
        <v>1016</v>
      </c>
      <c r="K153" s="4">
        <v>2</v>
      </c>
      <c r="L153" s="4" t="s">
        <v>329</v>
      </c>
      <c r="M153" s="19">
        <v>5</v>
      </c>
      <c r="N153" s="19">
        <v>0</v>
      </c>
      <c r="O153" s="19" t="s">
        <v>287</v>
      </c>
      <c r="P153" s="61" t="s">
        <v>328</v>
      </c>
    </row>
    <row r="154" spans="2:16" ht="14.25" x14ac:dyDescent="0.15">
      <c r="B154" s="4" t="str">
        <f t="shared" si="6"/>
        <v>1031501</v>
      </c>
      <c r="C154" s="54">
        <v>10315</v>
      </c>
      <c r="D154" s="6" t="s">
        <v>232</v>
      </c>
      <c r="E154" s="52"/>
      <c r="H154" s="4">
        <v>90316000</v>
      </c>
      <c r="K154" s="4">
        <v>0</v>
      </c>
      <c r="M154" s="19">
        <v>5</v>
      </c>
      <c r="N154" s="19">
        <v>4</v>
      </c>
      <c r="O154" s="19">
        <v>8</v>
      </c>
      <c r="P154" s="61" t="str">
        <f t="shared" si="8"/>
        <v>剧情关卡</v>
      </c>
    </row>
    <row r="155" spans="2:16" ht="14.25" x14ac:dyDescent="0.15">
      <c r="B155" s="4">
        <f t="shared" si="6"/>
        <v>1031502</v>
      </c>
      <c r="C155" s="54">
        <v>10315</v>
      </c>
      <c r="D155" s="6" t="s">
        <v>233</v>
      </c>
      <c r="E155" s="52"/>
      <c r="H155" s="4">
        <v>90317000</v>
      </c>
      <c r="K155" s="4">
        <v>0</v>
      </c>
      <c r="M155" s="19">
        <v>5</v>
      </c>
      <c r="N155" s="19">
        <v>3</v>
      </c>
      <c r="O155" s="19">
        <v>8</v>
      </c>
      <c r="P155" s="61" t="str">
        <f t="shared" si="8"/>
        <v>剧情关卡</v>
      </c>
    </row>
    <row r="156" spans="2:16" ht="14.25" x14ac:dyDescent="0.15">
      <c r="B156" s="4">
        <f t="shared" si="6"/>
        <v>1031503</v>
      </c>
      <c r="C156" s="54">
        <v>10315</v>
      </c>
      <c r="D156" s="6" t="s">
        <v>234</v>
      </c>
      <c r="E156" s="52"/>
      <c r="H156" s="4">
        <v>90318037</v>
      </c>
      <c r="K156" s="4">
        <v>0</v>
      </c>
      <c r="M156" s="19">
        <v>14</v>
      </c>
      <c r="N156" s="19">
        <v>2</v>
      </c>
      <c r="O156" s="19">
        <v>8</v>
      </c>
      <c r="P156" s="61" t="str">
        <f t="shared" si="8"/>
        <v>剧情关卡</v>
      </c>
    </row>
    <row r="157" spans="2:16" ht="14.25" x14ac:dyDescent="0.15">
      <c r="B157" s="4">
        <f t="shared" si="6"/>
        <v>1031504</v>
      </c>
      <c r="C157" s="54">
        <v>10315</v>
      </c>
      <c r="D157" s="6" t="s">
        <v>235</v>
      </c>
      <c r="E157" s="52"/>
      <c r="H157" s="4">
        <v>90319000</v>
      </c>
      <c r="K157" s="4">
        <v>0</v>
      </c>
      <c r="M157" s="19">
        <v>14</v>
      </c>
      <c r="N157" s="19">
        <v>1</v>
      </c>
      <c r="O157" s="19">
        <v>8</v>
      </c>
      <c r="P157" s="61" t="str">
        <f t="shared" si="8"/>
        <v>剧情关卡</v>
      </c>
    </row>
    <row r="158" spans="2:16" ht="14.25" x14ac:dyDescent="0.15">
      <c r="B158" s="4" t="str">
        <f t="shared" si="6"/>
        <v>1031601</v>
      </c>
      <c r="C158" s="54">
        <v>10316</v>
      </c>
      <c r="D158" s="6" t="s">
        <v>326</v>
      </c>
      <c r="E158" s="52">
        <v>10</v>
      </c>
      <c r="F158" s="6">
        <v>31021</v>
      </c>
      <c r="G158" s="6">
        <v>1016</v>
      </c>
      <c r="K158" s="4">
        <v>2</v>
      </c>
      <c r="L158" s="4" t="s">
        <v>327</v>
      </c>
      <c r="M158" s="19">
        <v>5</v>
      </c>
      <c r="N158" s="19">
        <v>0</v>
      </c>
      <c r="O158" s="19" t="s">
        <v>287</v>
      </c>
      <c r="P158" s="61" t="s">
        <v>328</v>
      </c>
    </row>
    <row r="159" spans="2:16" ht="14.25" x14ac:dyDescent="0.15">
      <c r="B159" s="4">
        <f t="shared" si="6"/>
        <v>1031602</v>
      </c>
      <c r="C159" s="54">
        <v>10316</v>
      </c>
      <c r="D159" s="6" t="s">
        <v>330</v>
      </c>
      <c r="E159" s="52">
        <v>10</v>
      </c>
      <c r="F159" s="6">
        <v>31031</v>
      </c>
      <c r="G159" s="6">
        <v>1016</v>
      </c>
      <c r="K159" s="4">
        <v>2</v>
      </c>
      <c r="L159" s="4" t="s">
        <v>329</v>
      </c>
      <c r="M159" s="19">
        <v>5</v>
      </c>
      <c r="N159" s="19">
        <v>0</v>
      </c>
      <c r="O159" s="19" t="s">
        <v>287</v>
      </c>
      <c r="P159" s="61" t="s">
        <v>328</v>
      </c>
    </row>
    <row r="160" spans="2:16" ht="14.25" x14ac:dyDescent="0.15">
      <c r="B160" s="4" t="str">
        <f t="shared" si="6"/>
        <v>1031701</v>
      </c>
      <c r="C160" s="54">
        <v>10317</v>
      </c>
      <c r="D160" s="6" t="s">
        <v>236</v>
      </c>
      <c r="E160" s="52"/>
      <c r="H160" s="4">
        <v>90320000</v>
      </c>
      <c r="K160" s="4">
        <v>0</v>
      </c>
      <c r="M160" s="19">
        <v>4</v>
      </c>
      <c r="N160" s="19">
        <v>0</v>
      </c>
      <c r="O160" s="19">
        <v>8</v>
      </c>
      <c r="P160" s="61" t="str">
        <f t="shared" si="8"/>
        <v>剧情关卡</v>
      </c>
    </row>
    <row r="161" spans="1:16" ht="14.25" x14ac:dyDescent="0.15">
      <c r="B161" s="4"/>
      <c r="E161" s="52"/>
      <c r="M161" s="19"/>
      <c r="N161" s="19"/>
      <c r="O161" s="19"/>
      <c r="P161" s="61"/>
    </row>
    <row r="162" spans="1:16" x14ac:dyDescent="0.15">
      <c r="B162" s="4"/>
      <c r="C162" s="6">
        <v>10003</v>
      </c>
      <c r="D162" s="6" t="s">
        <v>209</v>
      </c>
      <c r="E162" s="8">
        <v>1</v>
      </c>
      <c r="F162" s="4">
        <v>22001</v>
      </c>
      <c r="K162" s="4">
        <v>2</v>
      </c>
    </row>
    <row r="163" spans="1:16" x14ac:dyDescent="0.15">
      <c r="B163" s="4"/>
      <c r="C163" s="6">
        <v>10005</v>
      </c>
      <c r="D163" s="6" t="s">
        <v>210</v>
      </c>
      <c r="E163" s="8">
        <v>1</v>
      </c>
      <c r="F163" s="6">
        <v>31011</v>
      </c>
      <c r="K163" s="4">
        <v>2</v>
      </c>
    </row>
    <row r="164" spans="1:16" ht="14.25" x14ac:dyDescent="0.15">
      <c r="B164" s="4"/>
      <c r="C164" s="6">
        <v>10006</v>
      </c>
      <c r="D164" s="6" t="s">
        <v>211</v>
      </c>
      <c r="E164" s="8">
        <v>1</v>
      </c>
      <c r="F164" s="4">
        <v>23001</v>
      </c>
      <c r="K164" s="4">
        <v>2</v>
      </c>
      <c r="M164" s="19"/>
      <c r="N164" s="19"/>
      <c r="O164" s="19"/>
      <c r="P164" s="61"/>
    </row>
    <row r="165" spans="1:16" ht="14.25" x14ac:dyDescent="0.15">
      <c r="B165" s="4"/>
      <c r="C165" s="6">
        <v>10007</v>
      </c>
      <c r="D165" s="6" t="s">
        <v>206</v>
      </c>
      <c r="E165" s="6">
        <v>3</v>
      </c>
      <c r="F165" s="6">
        <v>37011</v>
      </c>
      <c r="K165" s="4">
        <v>2</v>
      </c>
      <c r="M165" s="19"/>
      <c r="N165" s="19"/>
      <c r="O165" s="19"/>
      <c r="P165" s="61"/>
    </row>
    <row r="166" spans="1:16" ht="14.25" x14ac:dyDescent="0.15">
      <c r="B166" s="4"/>
      <c r="C166" s="6">
        <v>10009</v>
      </c>
      <c r="D166" s="6" t="s">
        <v>212</v>
      </c>
      <c r="E166" s="6">
        <v>3</v>
      </c>
      <c r="F166" s="6">
        <v>32011</v>
      </c>
      <c r="K166" s="4">
        <v>2</v>
      </c>
      <c r="M166" s="19"/>
      <c r="N166" s="19"/>
      <c r="O166" s="19"/>
      <c r="P166" s="61"/>
    </row>
    <row r="167" spans="1:16" x14ac:dyDescent="0.15">
      <c r="B167" s="4"/>
      <c r="C167" s="6">
        <v>10010</v>
      </c>
      <c r="D167" s="6" t="s">
        <v>207</v>
      </c>
      <c r="E167" s="6">
        <v>3</v>
      </c>
      <c r="F167" s="6">
        <v>34011</v>
      </c>
      <c r="K167" s="4">
        <v>2</v>
      </c>
    </row>
    <row r="168" spans="1:16" x14ac:dyDescent="0.15">
      <c r="B168" s="4"/>
      <c r="C168" s="6">
        <v>10011</v>
      </c>
      <c r="D168" s="6" t="s">
        <v>208</v>
      </c>
      <c r="E168" s="6">
        <v>3</v>
      </c>
      <c r="F168" s="6">
        <v>35011</v>
      </c>
      <c r="K168" s="4">
        <v>2</v>
      </c>
    </row>
    <row r="169" spans="1:16" x14ac:dyDescent="0.15">
      <c r="B169" s="4"/>
      <c r="C169" s="4"/>
      <c r="D169" s="4" t="s">
        <v>27</v>
      </c>
      <c r="E169" s="8">
        <v>990001010</v>
      </c>
      <c r="F169" s="4"/>
      <c r="G169" s="4">
        <v>4</v>
      </c>
      <c r="H169" s="4">
        <v>990001000</v>
      </c>
      <c r="I169" s="4">
        <v>990001</v>
      </c>
      <c r="J169" s="4" t="s">
        <v>173</v>
      </c>
      <c r="K169" s="4">
        <v>0</v>
      </c>
    </row>
    <row r="170" spans="1:16" x14ac:dyDescent="0.15">
      <c r="B170" s="4"/>
      <c r="C170" s="4"/>
      <c r="D170" s="4" t="s">
        <v>28</v>
      </c>
      <c r="E170" s="8">
        <v>990001010</v>
      </c>
      <c r="F170" s="4"/>
      <c r="G170" s="4">
        <v>12</v>
      </c>
      <c r="H170" s="4">
        <v>990002000</v>
      </c>
      <c r="I170" s="4">
        <v>990001</v>
      </c>
      <c r="J170" s="4" t="s">
        <v>174</v>
      </c>
      <c r="K170" s="4">
        <v>0</v>
      </c>
    </row>
    <row r="172" spans="1:16" x14ac:dyDescent="0.15">
      <c r="C172" s="36"/>
    </row>
    <row r="173" spans="1:16" x14ac:dyDescent="0.15">
      <c r="A173" s="4" t="s">
        <v>249</v>
      </c>
      <c r="B173" s="6">
        <v>150</v>
      </c>
      <c r="C173" s="36">
        <v>9</v>
      </c>
      <c r="D173" s="6" t="s">
        <v>252</v>
      </c>
      <c r="E173" s="6">
        <v>1</v>
      </c>
      <c r="G173" s="4">
        <v>40052</v>
      </c>
      <c r="H173" s="4">
        <v>10002001</v>
      </c>
      <c r="K173" s="4">
        <v>0</v>
      </c>
      <c r="N173" s="4">
        <v>3</v>
      </c>
    </row>
    <row r="174" spans="1:16" x14ac:dyDescent="0.15">
      <c r="A174" s="4" t="s">
        <v>249</v>
      </c>
      <c r="B174" s="6">
        <v>151</v>
      </c>
      <c r="C174" s="36">
        <v>9</v>
      </c>
      <c r="D174" s="6" t="s">
        <v>250</v>
      </c>
      <c r="E174" s="6">
        <v>1</v>
      </c>
      <c r="G174" s="4">
        <v>40053</v>
      </c>
      <c r="H174" s="4">
        <v>10003001</v>
      </c>
      <c r="K174" s="4">
        <v>0</v>
      </c>
      <c r="N174" s="4">
        <v>2</v>
      </c>
    </row>
    <row r="175" spans="1:16" x14ac:dyDescent="0.15">
      <c r="A175" s="4" t="s">
        <v>249</v>
      </c>
      <c r="B175" s="6">
        <v>152</v>
      </c>
      <c r="C175" s="36">
        <v>9</v>
      </c>
      <c r="D175" s="6" t="s">
        <v>251</v>
      </c>
      <c r="E175" s="6">
        <v>1</v>
      </c>
      <c r="G175" s="4">
        <v>40055</v>
      </c>
      <c r="H175" s="4">
        <v>10005001</v>
      </c>
      <c r="K175" s="4">
        <v>0</v>
      </c>
      <c r="N175" s="4">
        <v>1</v>
      </c>
    </row>
    <row r="176" spans="1:16" x14ac:dyDescent="0.15">
      <c r="A176" s="4" t="s">
        <v>248</v>
      </c>
      <c r="B176" s="6">
        <v>153</v>
      </c>
      <c r="C176" s="36">
        <v>10</v>
      </c>
      <c r="D176" s="6" t="s">
        <v>253</v>
      </c>
      <c r="E176" s="6">
        <v>500</v>
      </c>
      <c r="F176" s="6">
        <v>1</v>
      </c>
      <c r="G176" s="4">
        <v>40052</v>
      </c>
      <c r="H176" s="4">
        <v>10002002</v>
      </c>
      <c r="K176" s="4">
        <v>5</v>
      </c>
      <c r="N176" s="4">
        <v>1</v>
      </c>
    </row>
    <row r="177" spans="3:3" x14ac:dyDescent="0.15">
      <c r="C177" s="36"/>
    </row>
    <row r="178" spans="3:3" x14ac:dyDescent="0.15">
      <c r="C178" s="36"/>
    </row>
    <row r="179" spans="3:3" x14ac:dyDescent="0.15">
      <c r="C179" s="36"/>
    </row>
    <row r="180" spans="3:3" x14ac:dyDescent="0.15">
      <c r="C180" s="36"/>
    </row>
    <row r="181" spans="3:3" x14ac:dyDescent="0.15">
      <c r="C181" s="36"/>
    </row>
    <row r="182" spans="3:3" x14ac:dyDescent="0.15">
      <c r="C182" s="36"/>
    </row>
    <row r="183" spans="3:3" x14ac:dyDescent="0.15">
      <c r="C183" s="36"/>
    </row>
    <row r="184" spans="3:3" x14ac:dyDescent="0.15">
      <c r="C184" s="36"/>
    </row>
    <row r="185" spans="3:3" x14ac:dyDescent="0.15">
      <c r="C185" s="36"/>
    </row>
    <row r="186" spans="3:3" x14ac:dyDescent="0.15">
      <c r="C186" s="36"/>
    </row>
    <row r="187" spans="3:3" x14ac:dyDescent="0.15">
      <c r="C187" s="36"/>
    </row>
    <row r="188" spans="3:3" x14ac:dyDescent="0.15">
      <c r="C188" s="36"/>
    </row>
    <row r="189" spans="3:3" x14ac:dyDescent="0.15">
      <c r="C189" s="36"/>
    </row>
    <row r="190" spans="3:3" x14ac:dyDescent="0.15">
      <c r="C190" s="36"/>
    </row>
    <row r="191" spans="3:3" x14ac:dyDescent="0.15">
      <c r="C191" s="36"/>
    </row>
    <row r="192" spans="3:3" x14ac:dyDescent="0.15">
      <c r="C192" s="36"/>
    </row>
    <row r="193" spans="3:3" x14ac:dyDescent="0.15">
      <c r="C193" s="36"/>
    </row>
    <row r="194" spans="3:3" x14ac:dyDescent="0.15">
      <c r="C194" s="36"/>
    </row>
    <row r="195" spans="3:3" x14ac:dyDescent="0.15">
      <c r="C195" s="36"/>
    </row>
    <row r="196" spans="3:3" x14ac:dyDescent="0.15">
      <c r="C196" s="36"/>
    </row>
    <row r="197" spans="3:3" x14ac:dyDescent="0.15">
      <c r="C197" s="36"/>
    </row>
    <row r="198" spans="3:3" x14ac:dyDescent="0.15">
      <c r="C198" s="36"/>
    </row>
    <row r="199" spans="3:3" x14ac:dyDescent="0.15">
      <c r="C199" s="36"/>
    </row>
    <row r="200" spans="3:3" x14ac:dyDescent="0.15">
      <c r="C200" s="36"/>
    </row>
    <row r="201" spans="3:3" x14ac:dyDescent="0.15">
      <c r="C201" s="36"/>
    </row>
    <row r="202" spans="3:3" x14ac:dyDescent="0.15">
      <c r="C202" s="36"/>
    </row>
    <row r="203" spans="3:3" x14ac:dyDescent="0.15">
      <c r="C203" s="36"/>
    </row>
    <row r="204" spans="3:3" x14ac:dyDescent="0.15">
      <c r="C204" s="36"/>
    </row>
    <row r="205" spans="3:3" x14ac:dyDescent="0.15">
      <c r="C205" s="36"/>
    </row>
    <row r="206" spans="3:3" x14ac:dyDescent="0.15">
      <c r="C206" s="36"/>
    </row>
    <row r="207" spans="3:3" x14ac:dyDescent="0.15">
      <c r="C207" s="36"/>
    </row>
    <row r="208" spans="3:3" x14ac:dyDescent="0.15">
      <c r="C208" s="36"/>
    </row>
    <row r="209" spans="3:3" x14ac:dyDescent="0.15">
      <c r="C209" s="36"/>
    </row>
    <row r="210" spans="3:3" x14ac:dyDescent="0.15">
      <c r="C210" s="36"/>
    </row>
    <row r="211" spans="3:3" x14ac:dyDescent="0.15">
      <c r="C211" s="36"/>
    </row>
    <row r="212" spans="3:3" x14ac:dyDescent="0.15">
      <c r="C212" s="36"/>
    </row>
    <row r="213" spans="3:3" x14ac:dyDescent="0.15">
      <c r="C213" s="36"/>
    </row>
    <row r="214" spans="3:3" x14ac:dyDescent="0.15">
      <c r="C214" s="36"/>
    </row>
    <row r="215" spans="3:3" x14ac:dyDescent="0.15">
      <c r="C215" s="36"/>
    </row>
    <row r="216" spans="3:3" x14ac:dyDescent="0.15">
      <c r="C216" s="36"/>
    </row>
    <row r="217" spans="3:3" x14ac:dyDescent="0.15">
      <c r="C217" s="36"/>
    </row>
    <row r="218" spans="3:3" x14ac:dyDescent="0.15">
      <c r="C218" s="36"/>
    </row>
    <row r="219" spans="3:3" x14ac:dyDescent="0.15">
      <c r="C219" s="36"/>
    </row>
    <row r="220" spans="3:3" x14ac:dyDescent="0.15">
      <c r="C220" s="36"/>
    </row>
    <row r="221" spans="3:3" x14ac:dyDescent="0.15">
      <c r="C221" s="36"/>
    </row>
    <row r="222" spans="3:3" x14ac:dyDescent="0.15">
      <c r="C222" s="36"/>
    </row>
    <row r="223" spans="3:3" x14ac:dyDescent="0.15">
      <c r="C223" s="36"/>
    </row>
    <row r="224" spans="3:3" x14ac:dyDescent="0.15">
      <c r="C224" s="36"/>
    </row>
    <row r="225" spans="3:3" x14ac:dyDescent="0.15">
      <c r="C225" s="36"/>
    </row>
    <row r="226" spans="3:3" x14ac:dyDescent="0.15">
      <c r="C226" s="36"/>
    </row>
    <row r="227" spans="3:3" x14ac:dyDescent="0.15">
      <c r="C227" s="36"/>
    </row>
    <row r="228" spans="3:3" x14ac:dyDescent="0.15">
      <c r="C228" s="36"/>
    </row>
    <row r="229" spans="3:3" x14ac:dyDescent="0.15">
      <c r="C229" s="36"/>
    </row>
    <row r="230" spans="3:3" x14ac:dyDescent="0.15">
      <c r="C230" s="36"/>
    </row>
    <row r="231" spans="3:3" x14ac:dyDescent="0.15">
      <c r="C231" s="36"/>
    </row>
    <row r="232" spans="3:3" x14ac:dyDescent="0.15">
      <c r="C232" s="36"/>
    </row>
    <row r="233" spans="3:3" x14ac:dyDescent="0.15">
      <c r="C233" s="36"/>
    </row>
    <row r="234" spans="3:3" x14ac:dyDescent="0.15">
      <c r="C234" s="36"/>
    </row>
    <row r="235" spans="3:3" x14ac:dyDescent="0.15">
      <c r="C235" s="36"/>
    </row>
    <row r="236" spans="3:3" x14ac:dyDescent="0.15">
      <c r="C236" s="36"/>
    </row>
    <row r="237" spans="3:3" x14ac:dyDescent="0.15">
      <c r="C237" s="36"/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76"/>
  <sheetViews>
    <sheetView workbookViewId="0">
      <pane ySplit="8" topLeftCell="A9" activePane="bottomLeft" state="frozen"/>
      <selection pane="bottomLeft" activeCell="G21" sqref="G21"/>
    </sheetView>
  </sheetViews>
  <sheetFormatPr defaultColWidth="9" defaultRowHeight="13.5" x14ac:dyDescent="0.15"/>
  <cols>
    <col min="1" max="1" width="9" style="4" customWidth="1"/>
    <col min="2" max="3" width="10.625" style="6" customWidth="1"/>
    <col min="4" max="5" width="14.25" style="6" customWidth="1"/>
    <col min="6" max="6" width="11.875" style="6" customWidth="1"/>
    <col min="7" max="7" width="13.5" style="6" customWidth="1"/>
    <col min="8" max="9" width="9" style="4" customWidth="1"/>
    <col min="10" max="16384" width="9" style="4"/>
  </cols>
  <sheetData>
    <row r="1" spans="1:8" s="1" customFormat="1" x14ac:dyDescent="0.15">
      <c r="A1" s="5" t="s">
        <v>0</v>
      </c>
      <c r="B1" s="1" t="s">
        <v>1</v>
      </c>
      <c r="C1" s="1" t="s">
        <v>1</v>
      </c>
      <c r="D1" s="1" t="s">
        <v>1</v>
      </c>
      <c r="E1" s="1" t="s">
        <v>1</v>
      </c>
      <c r="F1" s="1" t="s">
        <v>1</v>
      </c>
      <c r="G1" s="1" t="s">
        <v>1</v>
      </c>
      <c r="H1" s="1" t="s">
        <v>1</v>
      </c>
    </row>
    <row r="2" spans="1:8" s="1" customFormat="1" x14ac:dyDescent="0.15">
      <c r="A2" s="5" t="s">
        <v>176</v>
      </c>
      <c r="B2" s="1" t="s">
        <v>1</v>
      </c>
      <c r="C2" s="1" t="s">
        <v>1</v>
      </c>
      <c r="D2" s="1" t="s">
        <v>1</v>
      </c>
      <c r="E2" s="1" t="s">
        <v>1</v>
      </c>
      <c r="F2" s="1" t="s">
        <v>1</v>
      </c>
      <c r="G2" s="1" t="s">
        <v>1</v>
      </c>
      <c r="H2" s="1" t="s">
        <v>1</v>
      </c>
    </row>
    <row r="3" spans="1:8" s="2" customFormat="1" ht="14.25" x14ac:dyDescent="0.15">
      <c r="A3" s="16" t="s">
        <v>1</v>
      </c>
      <c r="B3" s="16" t="s">
        <v>3</v>
      </c>
      <c r="C3" s="16" t="s">
        <v>3</v>
      </c>
      <c r="D3" s="16" t="s">
        <v>3</v>
      </c>
      <c r="E3" s="16" t="s">
        <v>3</v>
      </c>
      <c r="F3" s="16" t="s">
        <v>3</v>
      </c>
      <c r="G3" s="16" t="s">
        <v>3</v>
      </c>
      <c r="H3" s="2" t="s">
        <v>3</v>
      </c>
    </row>
    <row r="4" spans="1:8" s="2" customFormat="1" ht="14.25" x14ac:dyDescent="0.15">
      <c r="A4" s="16"/>
      <c r="B4" s="16" t="s">
        <v>4</v>
      </c>
      <c r="C4" s="16" t="s">
        <v>5</v>
      </c>
      <c r="D4" s="16" t="s">
        <v>6</v>
      </c>
      <c r="E4" s="16" t="s">
        <v>7</v>
      </c>
      <c r="F4" s="16" t="s">
        <v>8</v>
      </c>
      <c r="G4" s="16" t="s">
        <v>9</v>
      </c>
      <c r="H4" s="2" t="s">
        <v>164</v>
      </c>
    </row>
    <row r="5" spans="1:8" s="2" customFormat="1" ht="14.25" x14ac:dyDescent="0.15">
      <c r="A5" s="16"/>
      <c r="B5" s="16" t="str">
        <f t="shared" ref="B5:G5" si="0">IF(B3="","",IF(B3="INT","i",IF(B3="FLOAT","f",IF(B3="STRING","s"))))</f>
        <v>i</v>
      </c>
      <c r="C5" s="16" t="str">
        <f t="shared" si="0"/>
        <v>i</v>
      </c>
      <c r="D5" s="16" t="s">
        <v>10</v>
      </c>
      <c r="E5" s="16" t="s">
        <v>10</v>
      </c>
      <c r="F5" s="16" t="s">
        <v>10</v>
      </c>
      <c r="G5" s="16" t="str">
        <f t="shared" si="0"/>
        <v>i</v>
      </c>
      <c r="H5" s="2" t="s">
        <v>10</v>
      </c>
    </row>
    <row r="6" spans="1:8" s="2" customFormat="1" ht="14.25" x14ac:dyDescent="0.15">
      <c r="A6" s="16" t="s">
        <v>1</v>
      </c>
      <c r="B6" s="16" t="str">
        <f t="shared" ref="B6:G6" si="1">B5&amp;B4</f>
        <v>iID</v>
      </c>
      <c r="C6" s="16" t="str">
        <f t="shared" si="1"/>
        <v>iTaskId</v>
      </c>
      <c r="D6" s="16" t="str">
        <f>D5&amp;D4</f>
        <v>iAwardType</v>
      </c>
      <c r="E6" s="16" t="str">
        <f t="shared" si="1"/>
        <v>iItemId</v>
      </c>
      <c r="F6" s="16" t="str">
        <f t="shared" si="1"/>
        <v>iItemNum</v>
      </c>
      <c r="G6" s="16" t="str">
        <f t="shared" si="1"/>
        <v>iCalcRate</v>
      </c>
      <c r="H6" s="2" t="s">
        <v>165</v>
      </c>
    </row>
    <row r="7" spans="1:8" s="3" customFormat="1" ht="14.25" x14ac:dyDescent="0.15">
      <c r="A7" s="16"/>
      <c r="B7" s="16" t="s">
        <v>11</v>
      </c>
      <c r="C7" s="16" t="s">
        <v>12</v>
      </c>
      <c r="D7" s="16" t="s">
        <v>13</v>
      </c>
      <c r="E7" s="16" t="s">
        <v>14</v>
      </c>
      <c r="F7" s="16" t="s">
        <v>15</v>
      </c>
      <c r="G7" s="16" t="s">
        <v>16</v>
      </c>
      <c r="H7" s="3" t="s">
        <v>166</v>
      </c>
    </row>
    <row r="8" spans="1:8" s="3" customFormat="1" ht="14.25" x14ac:dyDescent="0.15">
      <c r="A8" s="16" t="s">
        <v>17</v>
      </c>
      <c r="B8" s="16" t="e">
        <f>MODE(B10:B1065)</f>
        <v>#N/A</v>
      </c>
      <c r="C8" s="16">
        <v>0</v>
      </c>
      <c r="D8" s="16">
        <v>1</v>
      </c>
      <c r="E8" s="16">
        <v>0</v>
      </c>
      <c r="F8" s="16">
        <v>0</v>
      </c>
      <c r="G8" s="16">
        <v>0</v>
      </c>
      <c r="H8" s="3">
        <v>0</v>
      </c>
    </row>
    <row r="9" spans="1:8" s="33" customFormat="1" ht="16.5" customHeight="1" x14ac:dyDescent="0.15">
      <c r="A9" s="25"/>
      <c r="B9" s="25"/>
      <c r="C9" s="25"/>
      <c r="D9" s="58" t="s">
        <v>291</v>
      </c>
      <c r="E9" s="25"/>
      <c r="F9" s="25"/>
      <c r="G9" s="25"/>
      <c r="H9" s="57" t="s">
        <v>261</v>
      </c>
    </row>
    <row r="10" spans="1:8" x14ac:dyDescent="0.15">
      <c r="A10" s="4" t="s">
        <v>248</v>
      </c>
      <c r="B10" s="6">
        <v>10001</v>
      </c>
      <c r="C10" s="55">
        <v>10101</v>
      </c>
      <c r="D10" s="4">
        <v>1</v>
      </c>
      <c r="E10" s="4">
        <v>5</v>
      </c>
      <c r="F10" s="4">
        <v>100</v>
      </c>
      <c r="G10" s="4">
        <v>10000</v>
      </c>
    </row>
    <row r="11" spans="1:8" x14ac:dyDescent="0.15">
      <c r="A11" s="4" t="s">
        <v>146</v>
      </c>
      <c r="B11" s="6">
        <v>10002</v>
      </c>
      <c r="C11" s="55">
        <v>10102</v>
      </c>
      <c r="D11" s="4">
        <v>1</v>
      </c>
      <c r="E11" s="4">
        <v>5</v>
      </c>
      <c r="F11" s="4">
        <v>100</v>
      </c>
      <c r="G11" s="4">
        <v>10000</v>
      </c>
    </row>
    <row r="12" spans="1:8" x14ac:dyDescent="0.15">
      <c r="A12" s="4" t="s">
        <v>248</v>
      </c>
      <c r="B12" s="6">
        <v>10003</v>
      </c>
      <c r="C12" s="55">
        <v>10103</v>
      </c>
      <c r="D12" s="4">
        <v>1</v>
      </c>
      <c r="E12" s="4">
        <v>5</v>
      </c>
      <c r="F12" s="4">
        <v>100</v>
      </c>
      <c r="G12" s="4">
        <v>10000</v>
      </c>
    </row>
    <row r="13" spans="1:8" x14ac:dyDescent="0.15">
      <c r="A13" s="4" t="s">
        <v>146</v>
      </c>
      <c r="B13" s="6">
        <v>10004</v>
      </c>
      <c r="C13" s="55">
        <v>10104</v>
      </c>
      <c r="D13" s="4">
        <v>1</v>
      </c>
      <c r="E13" s="4">
        <v>5</v>
      </c>
      <c r="F13" s="4">
        <v>100</v>
      </c>
      <c r="G13" s="4">
        <v>10000</v>
      </c>
    </row>
    <row r="14" spans="1:8" x14ac:dyDescent="0.15">
      <c r="A14" s="4" t="s">
        <v>248</v>
      </c>
      <c r="B14" s="6">
        <v>10005</v>
      </c>
      <c r="C14" s="55">
        <v>10105</v>
      </c>
      <c r="D14" s="4">
        <v>1</v>
      </c>
      <c r="E14" s="4">
        <v>5</v>
      </c>
      <c r="F14" s="4">
        <v>100</v>
      </c>
      <c r="G14" s="4">
        <v>10000</v>
      </c>
    </row>
    <row r="15" spans="1:8" x14ac:dyDescent="0.15">
      <c r="A15" s="4" t="s">
        <v>146</v>
      </c>
      <c r="B15" s="6">
        <v>10006</v>
      </c>
      <c r="C15" s="55">
        <v>10106</v>
      </c>
      <c r="D15" s="4">
        <v>1</v>
      </c>
      <c r="E15" s="4">
        <v>5</v>
      </c>
      <c r="F15" s="4">
        <v>100</v>
      </c>
      <c r="G15" s="4">
        <v>10000</v>
      </c>
    </row>
    <row r="16" spans="1:8" x14ac:dyDescent="0.15">
      <c r="A16" s="4" t="s">
        <v>248</v>
      </c>
      <c r="B16" s="6">
        <v>10007</v>
      </c>
      <c r="C16" s="55">
        <v>10107</v>
      </c>
      <c r="D16" s="4">
        <v>1</v>
      </c>
      <c r="E16" s="4">
        <v>5</v>
      </c>
      <c r="F16" s="4">
        <v>100</v>
      </c>
      <c r="G16" s="4">
        <v>10000</v>
      </c>
    </row>
    <row r="17" spans="1:7" x14ac:dyDescent="0.15">
      <c r="A17" s="4" t="s">
        <v>146</v>
      </c>
      <c r="B17" s="6">
        <v>10008</v>
      </c>
      <c r="C17" s="55">
        <v>10108</v>
      </c>
      <c r="D17" s="4">
        <v>1</v>
      </c>
      <c r="E17" s="4">
        <v>5</v>
      </c>
      <c r="F17" s="4">
        <v>100</v>
      </c>
      <c r="G17" s="4">
        <v>10000</v>
      </c>
    </row>
    <row r="18" spans="1:7" x14ac:dyDescent="0.15">
      <c r="A18" s="4" t="s">
        <v>248</v>
      </c>
      <c r="B18" s="6">
        <v>10009</v>
      </c>
      <c r="C18" s="55">
        <v>10108</v>
      </c>
      <c r="D18" s="4">
        <v>32</v>
      </c>
      <c r="E18" s="4">
        <v>10011</v>
      </c>
      <c r="F18" s="4">
        <v>5</v>
      </c>
      <c r="G18" s="4">
        <v>10000</v>
      </c>
    </row>
    <row r="19" spans="1:7" x14ac:dyDescent="0.15">
      <c r="A19" s="4" t="s">
        <v>146</v>
      </c>
      <c r="B19" s="6">
        <v>10010</v>
      </c>
      <c r="C19" s="55">
        <v>10109</v>
      </c>
      <c r="D19" s="4">
        <v>1</v>
      </c>
      <c r="E19" s="4">
        <v>5</v>
      </c>
      <c r="F19" s="4">
        <v>100</v>
      </c>
      <c r="G19" s="4">
        <v>10000</v>
      </c>
    </row>
    <row r="20" spans="1:7" x14ac:dyDescent="0.15">
      <c r="A20" s="4" t="s">
        <v>248</v>
      </c>
      <c r="B20" s="6">
        <v>10011</v>
      </c>
      <c r="C20" s="55">
        <v>10110</v>
      </c>
      <c r="D20" s="4">
        <v>1</v>
      </c>
      <c r="E20" s="4">
        <v>5</v>
      </c>
      <c r="F20" s="4">
        <v>100</v>
      </c>
      <c r="G20" s="4">
        <v>10000</v>
      </c>
    </row>
    <row r="21" spans="1:7" x14ac:dyDescent="0.15">
      <c r="A21" s="4" t="s">
        <v>146</v>
      </c>
      <c r="B21" s="6">
        <v>10012</v>
      </c>
      <c r="C21" s="55">
        <v>10110</v>
      </c>
      <c r="D21" s="4">
        <v>33</v>
      </c>
      <c r="E21" s="4">
        <v>55101</v>
      </c>
      <c r="F21" s="4">
        <v>1</v>
      </c>
      <c r="G21" s="4">
        <v>10000</v>
      </c>
    </row>
    <row r="22" spans="1:7" x14ac:dyDescent="0.15">
      <c r="A22" s="4" t="s">
        <v>248</v>
      </c>
      <c r="B22" s="6">
        <v>10013</v>
      </c>
      <c r="C22" s="55">
        <v>10110</v>
      </c>
      <c r="D22" s="4">
        <v>1</v>
      </c>
      <c r="E22" s="4">
        <v>2</v>
      </c>
      <c r="F22" s="4">
        <v>20</v>
      </c>
      <c r="G22" s="4">
        <v>10000</v>
      </c>
    </row>
    <row r="23" spans="1:7" x14ac:dyDescent="0.15">
      <c r="A23" s="4" t="s">
        <v>248</v>
      </c>
      <c r="B23" s="6">
        <v>10014</v>
      </c>
      <c r="C23" s="55">
        <v>10110</v>
      </c>
      <c r="D23" s="4">
        <v>1</v>
      </c>
      <c r="E23" s="4">
        <v>1</v>
      </c>
      <c r="F23" s="4">
        <v>2000</v>
      </c>
      <c r="G23" s="4">
        <v>10000</v>
      </c>
    </row>
    <row r="24" spans="1:7" x14ac:dyDescent="0.15">
      <c r="A24" s="4" t="s">
        <v>146</v>
      </c>
      <c r="B24" s="6">
        <v>10015</v>
      </c>
      <c r="C24" s="55">
        <v>10111</v>
      </c>
      <c r="D24" s="4">
        <v>1</v>
      </c>
      <c r="E24" s="4">
        <v>5</v>
      </c>
      <c r="F24" s="4">
        <v>100</v>
      </c>
      <c r="G24" s="4">
        <v>10000</v>
      </c>
    </row>
    <row r="25" spans="1:7" x14ac:dyDescent="0.15">
      <c r="A25" s="4" t="s">
        <v>146</v>
      </c>
      <c r="B25" s="6">
        <v>10016</v>
      </c>
      <c r="C25" s="55">
        <v>10112</v>
      </c>
      <c r="D25" s="4">
        <v>1</v>
      </c>
      <c r="E25" s="4">
        <v>5</v>
      </c>
      <c r="F25" s="4">
        <v>100</v>
      </c>
      <c r="G25" s="4">
        <v>10000</v>
      </c>
    </row>
    <row r="26" spans="1:7" x14ac:dyDescent="0.15">
      <c r="A26" s="4" t="s">
        <v>248</v>
      </c>
      <c r="B26" s="6">
        <v>10017</v>
      </c>
      <c r="C26" s="55">
        <v>10113</v>
      </c>
      <c r="D26" s="4">
        <v>1</v>
      </c>
      <c r="E26" s="4">
        <v>5</v>
      </c>
      <c r="F26" s="4">
        <v>100</v>
      </c>
      <c r="G26" s="4">
        <v>10000</v>
      </c>
    </row>
    <row r="27" spans="1:7" x14ac:dyDescent="0.15">
      <c r="A27" s="4" t="s">
        <v>146</v>
      </c>
      <c r="B27" s="6">
        <v>10018</v>
      </c>
      <c r="C27" s="55">
        <v>10113</v>
      </c>
      <c r="D27" s="4">
        <v>2</v>
      </c>
      <c r="E27" s="4">
        <v>316</v>
      </c>
      <c r="F27" s="4">
        <v>10</v>
      </c>
      <c r="G27" s="4">
        <v>10000</v>
      </c>
    </row>
    <row r="28" spans="1:7" x14ac:dyDescent="0.15">
      <c r="A28" s="4" t="s">
        <v>248</v>
      </c>
      <c r="B28" s="6">
        <v>10019</v>
      </c>
      <c r="C28" s="55">
        <v>10114</v>
      </c>
      <c r="D28" s="4">
        <v>1</v>
      </c>
      <c r="E28" s="4">
        <v>5</v>
      </c>
      <c r="F28" s="4">
        <v>100</v>
      </c>
      <c r="G28" s="4">
        <v>10000</v>
      </c>
    </row>
    <row r="29" spans="1:7" x14ac:dyDescent="0.15">
      <c r="A29" s="4" t="s">
        <v>146</v>
      </c>
      <c r="B29" s="6">
        <v>10020</v>
      </c>
      <c r="C29" s="55">
        <v>10115</v>
      </c>
      <c r="D29" s="4">
        <v>1</v>
      </c>
      <c r="E29" s="4">
        <v>5</v>
      </c>
      <c r="F29" s="4">
        <v>100</v>
      </c>
      <c r="G29" s="4">
        <v>10000</v>
      </c>
    </row>
    <row r="30" spans="1:7" x14ac:dyDescent="0.15">
      <c r="A30" s="4" t="s">
        <v>248</v>
      </c>
      <c r="B30" s="6">
        <v>10021</v>
      </c>
      <c r="C30" s="55">
        <v>10201</v>
      </c>
      <c r="D30" s="4">
        <v>1</v>
      </c>
      <c r="E30" s="4">
        <v>5</v>
      </c>
      <c r="F30" s="4">
        <v>100</v>
      </c>
      <c r="G30" s="4">
        <v>10000</v>
      </c>
    </row>
    <row r="31" spans="1:7" x14ac:dyDescent="0.15">
      <c r="A31" s="4" t="s">
        <v>146</v>
      </c>
      <c r="B31" s="6">
        <v>10022</v>
      </c>
      <c r="C31" s="55">
        <v>10201</v>
      </c>
      <c r="D31" s="4">
        <v>32</v>
      </c>
      <c r="E31" s="4">
        <v>10012</v>
      </c>
      <c r="F31" s="4">
        <v>4</v>
      </c>
      <c r="G31" s="4">
        <v>10000</v>
      </c>
    </row>
    <row r="32" spans="1:7" x14ac:dyDescent="0.15">
      <c r="A32" s="4" t="s">
        <v>248</v>
      </c>
      <c r="B32" s="6">
        <v>10023</v>
      </c>
      <c r="C32" s="55">
        <v>10202</v>
      </c>
      <c r="D32" s="4">
        <v>1</v>
      </c>
      <c r="E32" s="4">
        <v>5</v>
      </c>
      <c r="F32" s="4">
        <v>100</v>
      </c>
      <c r="G32" s="4">
        <v>10000</v>
      </c>
    </row>
    <row r="33" spans="1:7" x14ac:dyDescent="0.15">
      <c r="A33" s="4" t="s">
        <v>146</v>
      </c>
      <c r="B33" s="6">
        <v>10024</v>
      </c>
      <c r="C33" s="55">
        <v>10203</v>
      </c>
      <c r="D33" s="4">
        <v>1</v>
      </c>
      <c r="E33" s="4">
        <v>5</v>
      </c>
      <c r="F33" s="4">
        <v>100</v>
      </c>
      <c r="G33" s="4">
        <v>10000</v>
      </c>
    </row>
    <row r="34" spans="1:7" x14ac:dyDescent="0.15">
      <c r="A34" s="4" t="s">
        <v>248</v>
      </c>
      <c r="B34" s="6">
        <v>10025</v>
      </c>
      <c r="C34" s="55">
        <v>10203</v>
      </c>
      <c r="D34" s="4">
        <v>32</v>
      </c>
      <c r="E34" s="4">
        <v>10021</v>
      </c>
      <c r="F34" s="4">
        <v>5</v>
      </c>
      <c r="G34" s="4">
        <v>10000</v>
      </c>
    </row>
    <row r="35" spans="1:7" x14ac:dyDescent="0.15">
      <c r="A35" s="4" t="s">
        <v>146</v>
      </c>
      <c r="B35" s="6">
        <v>10026</v>
      </c>
      <c r="C35" s="55">
        <v>10204</v>
      </c>
      <c r="D35" s="4">
        <v>1</v>
      </c>
      <c r="E35" s="4">
        <v>5</v>
      </c>
      <c r="F35" s="4">
        <v>100</v>
      </c>
      <c r="G35" s="4">
        <v>10000</v>
      </c>
    </row>
    <row r="36" spans="1:7" x14ac:dyDescent="0.15">
      <c r="A36" s="4" t="s">
        <v>248</v>
      </c>
      <c r="B36" s="6">
        <v>10027</v>
      </c>
      <c r="C36" s="55">
        <v>10205</v>
      </c>
      <c r="D36" s="4">
        <v>1</v>
      </c>
      <c r="E36" s="4">
        <v>5</v>
      </c>
      <c r="F36" s="4">
        <v>100</v>
      </c>
      <c r="G36" s="4">
        <v>10000</v>
      </c>
    </row>
    <row r="37" spans="1:7" x14ac:dyDescent="0.15">
      <c r="A37" s="4" t="s">
        <v>146</v>
      </c>
      <c r="B37" s="6">
        <v>10028</v>
      </c>
      <c r="C37" s="55">
        <v>10206</v>
      </c>
      <c r="D37" s="4">
        <v>1</v>
      </c>
      <c r="E37" s="4">
        <v>5</v>
      </c>
      <c r="F37" s="4">
        <v>100</v>
      </c>
      <c r="G37" s="4">
        <v>10000</v>
      </c>
    </row>
    <row r="38" spans="1:7" x14ac:dyDescent="0.15">
      <c r="A38" s="4" t="s">
        <v>248</v>
      </c>
      <c r="B38" s="6">
        <v>10029</v>
      </c>
      <c r="C38" s="55">
        <v>10207</v>
      </c>
      <c r="D38" s="4">
        <v>1</v>
      </c>
      <c r="E38" s="4">
        <v>5</v>
      </c>
      <c r="F38" s="4">
        <v>100</v>
      </c>
      <c r="G38" s="4">
        <v>10000</v>
      </c>
    </row>
    <row r="39" spans="1:7" x14ac:dyDescent="0.15">
      <c r="A39" s="4" t="s">
        <v>146</v>
      </c>
      <c r="B39" s="6">
        <v>10030</v>
      </c>
      <c r="C39" s="55">
        <v>10208</v>
      </c>
      <c r="D39" s="4">
        <v>1</v>
      </c>
      <c r="E39" s="4">
        <v>5</v>
      </c>
      <c r="F39" s="4">
        <v>100</v>
      </c>
      <c r="G39" s="4">
        <v>10000</v>
      </c>
    </row>
    <row r="40" spans="1:7" x14ac:dyDescent="0.15">
      <c r="A40" s="4" t="s">
        <v>248</v>
      </c>
      <c r="B40" s="6">
        <v>10031</v>
      </c>
      <c r="C40" s="55">
        <v>10208</v>
      </c>
      <c r="D40" s="4">
        <v>2</v>
      </c>
      <c r="E40" s="4">
        <v>207</v>
      </c>
      <c r="F40" s="4">
        <v>10</v>
      </c>
      <c r="G40" s="4">
        <v>10000</v>
      </c>
    </row>
    <row r="41" spans="1:7" x14ac:dyDescent="0.15">
      <c r="A41" s="4" t="s">
        <v>146</v>
      </c>
      <c r="B41" s="6">
        <v>10032</v>
      </c>
      <c r="C41" s="55">
        <v>10208</v>
      </c>
      <c r="D41" s="4">
        <v>2</v>
      </c>
      <c r="E41" s="4">
        <v>322</v>
      </c>
      <c r="F41" s="4">
        <v>10</v>
      </c>
      <c r="G41" s="4">
        <v>10000</v>
      </c>
    </row>
    <row r="42" spans="1:7" x14ac:dyDescent="0.15">
      <c r="A42" s="4" t="s">
        <v>248</v>
      </c>
      <c r="B42" s="6">
        <v>10033</v>
      </c>
      <c r="C42" s="55">
        <v>10209</v>
      </c>
      <c r="D42" s="4">
        <v>1</v>
      </c>
      <c r="E42" s="4">
        <v>5</v>
      </c>
      <c r="F42" s="4">
        <v>100</v>
      </c>
      <c r="G42" s="4">
        <v>10000</v>
      </c>
    </row>
    <row r="43" spans="1:7" x14ac:dyDescent="0.15">
      <c r="A43" s="4" t="s">
        <v>146</v>
      </c>
      <c r="B43" s="6">
        <v>10034</v>
      </c>
      <c r="C43" s="55">
        <v>10210</v>
      </c>
      <c r="D43" s="4">
        <v>1</v>
      </c>
      <c r="E43" s="4">
        <v>5</v>
      </c>
      <c r="F43" s="4">
        <v>100</v>
      </c>
      <c r="G43" s="4">
        <v>10000</v>
      </c>
    </row>
    <row r="44" spans="1:7" x14ac:dyDescent="0.15">
      <c r="A44" s="4" t="s">
        <v>248</v>
      </c>
      <c r="B44" s="6">
        <v>10035</v>
      </c>
      <c r="C44" s="55">
        <v>10210</v>
      </c>
      <c r="D44" s="4">
        <v>32</v>
      </c>
      <c r="E44" s="4">
        <v>12022</v>
      </c>
      <c r="F44" s="4">
        <v>1</v>
      </c>
      <c r="G44" s="4">
        <v>10000</v>
      </c>
    </row>
    <row r="45" spans="1:7" x14ac:dyDescent="0.15">
      <c r="A45" s="4" t="s">
        <v>146</v>
      </c>
      <c r="B45" s="6">
        <v>10036</v>
      </c>
      <c r="C45" s="55">
        <v>10211</v>
      </c>
      <c r="D45" s="4">
        <v>1</v>
      </c>
      <c r="E45" s="4">
        <v>5</v>
      </c>
      <c r="F45" s="4">
        <v>100</v>
      </c>
      <c r="G45" s="4">
        <v>10000</v>
      </c>
    </row>
    <row r="46" spans="1:7" x14ac:dyDescent="0.15">
      <c r="A46" s="4" t="s">
        <v>248</v>
      </c>
      <c r="B46" s="6">
        <v>10037</v>
      </c>
      <c r="C46" s="55">
        <v>10212</v>
      </c>
      <c r="D46" s="4">
        <v>1</v>
      </c>
      <c r="E46" s="4">
        <v>5</v>
      </c>
      <c r="F46" s="4">
        <v>100</v>
      </c>
      <c r="G46" s="4">
        <v>10000</v>
      </c>
    </row>
    <row r="47" spans="1:7" x14ac:dyDescent="0.15">
      <c r="A47" s="4" t="s">
        <v>146</v>
      </c>
      <c r="B47" s="6">
        <v>10038</v>
      </c>
      <c r="C47" s="55">
        <v>10213</v>
      </c>
      <c r="D47" s="4">
        <v>1</v>
      </c>
      <c r="E47" s="4">
        <v>5</v>
      </c>
      <c r="F47" s="4">
        <v>100</v>
      </c>
      <c r="G47" s="4">
        <v>10000</v>
      </c>
    </row>
    <row r="48" spans="1:7" x14ac:dyDescent="0.15">
      <c r="A48" s="4" t="s">
        <v>248</v>
      </c>
      <c r="B48" s="6">
        <v>10039</v>
      </c>
      <c r="C48" s="55">
        <v>10214</v>
      </c>
      <c r="D48" s="4">
        <v>1</v>
      </c>
      <c r="E48" s="4">
        <v>5</v>
      </c>
      <c r="F48" s="4">
        <v>100</v>
      </c>
      <c r="G48" s="4">
        <v>10000</v>
      </c>
    </row>
    <row r="49" spans="1:7" x14ac:dyDescent="0.15">
      <c r="A49" s="4" t="s">
        <v>146</v>
      </c>
      <c r="B49" s="6">
        <v>10040</v>
      </c>
      <c r="C49" s="55">
        <v>10215</v>
      </c>
      <c r="D49" s="4">
        <v>1</v>
      </c>
      <c r="E49" s="4">
        <v>5</v>
      </c>
      <c r="F49" s="4">
        <v>100</v>
      </c>
      <c r="G49" s="4">
        <v>10000</v>
      </c>
    </row>
    <row r="50" spans="1:7" x14ac:dyDescent="0.15">
      <c r="A50" s="4" t="s">
        <v>248</v>
      </c>
      <c r="B50" s="6">
        <v>10041</v>
      </c>
      <c r="C50" s="55">
        <v>10216</v>
      </c>
      <c r="D50" s="4">
        <v>1</v>
      </c>
      <c r="E50" s="4">
        <v>5</v>
      </c>
      <c r="F50" s="4">
        <v>100</v>
      </c>
      <c r="G50" s="4">
        <v>10000</v>
      </c>
    </row>
    <row r="51" spans="1:7" x14ac:dyDescent="0.15">
      <c r="A51" s="4" t="s">
        <v>146</v>
      </c>
      <c r="B51" s="6">
        <v>10042</v>
      </c>
      <c r="C51" s="55">
        <v>10217</v>
      </c>
      <c r="D51" s="4">
        <v>1</v>
      </c>
      <c r="E51" s="4">
        <v>5</v>
      </c>
      <c r="F51" s="4">
        <v>100</v>
      </c>
      <c r="G51" s="4">
        <v>10000</v>
      </c>
    </row>
    <row r="52" spans="1:7" x14ac:dyDescent="0.15">
      <c r="A52" s="4" t="s">
        <v>248</v>
      </c>
      <c r="B52" s="6">
        <v>10043</v>
      </c>
      <c r="C52" s="55">
        <v>10218</v>
      </c>
      <c r="D52" s="4">
        <v>1</v>
      </c>
      <c r="E52" s="4">
        <v>5</v>
      </c>
      <c r="F52" s="4">
        <v>100</v>
      </c>
      <c r="G52" s="4">
        <v>10000</v>
      </c>
    </row>
    <row r="53" spans="1:7" x14ac:dyDescent="0.15">
      <c r="A53" s="4" t="s">
        <v>146</v>
      </c>
      <c r="B53" s="6">
        <v>10044</v>
      </c>
      <c r="C53" s="55">
        <v>10219</v>
      </c>
      <c r="D53" s="4">
        <v>1</v>
      </c>
      <c r="E53" s="4">
        <v>5</v>
      </c>
      <c r="F53" s="4">
        <v>100</v>
      </c>
      <c r="G53" s="4">
        <v>10000</v>
      </c>
    </row>
    <row r="54" spans="1:7" x14ac:dyDescent="0.15">
      <c r="A54" s="4" t="s">
        <v>248</v>
      </c>
      <c r="B54" s="6">
        <v>10045</v>
      </c>
      <c r="C54" s="55">
        <v>10220</v>
      </c>
      <c r="D54" s="4">
        <v>1</v>
      </c>
      <c r="E54" s="4">
        <v>5</v>
      </c>
      <c r="F54" s="4">
        <v>100</v>
      </c>
      <c r="G54" s="4">
        <v>10000</v>
      </c>
    </row>
    <row r="55" spans="1:7" x14ac:dyDescent="0.15">
      <c r="A55" s="4" t="s">
        <v>146</v>
      </c>
      <c r="B55" s="6">
        <v>10046</v>
      </c>
      <c r="C55" s="55">
        <v>10221</v>
      </c>
      <c r="D55" s="4">
        <v>1</v>
      </c>
      <c r="E55" s="4">
        <v>5</v>
      </c>
      <c r="F55" s="4">
        <v>100</v>
      </c>
      <c r="G55" s="4">
        <v>10000</v>
      </c>
    </row>
    <row r="56" spans="1:7" x14ac:dyDescent="0.15">
      <c r="A56" s="4" t="s">
        <v>248</v>
      </c>
      <c r="B56" s="6">
        <v>10047</v>
      </c>
      <c r="C56" s="55">
        <v>10222</v>
      </c>
      <c r="D56" s="4">
        <v>1</v>
      </c>
      <c r="E56" s="4">
        <v>5</v>
      </c>
      <c r="F56" s="4">
        <v>100</v>
      </c>
      <c r="G56" s="4">
        <v>10000</v>
      </c>
    </row>
    <row r="57" spans="1:7" x14ac:dyDescent="0.15">
      <c r="A57" s="4" t="s">
        <v>146</v>
      </c>
      <c r="B57" s="6">
        <v>10048</v>
      </c>
      <c r="C57" s="55">
        <v>10223</v>
      </c>
      <c r="D57" s="4">
        <v>1</v>
      </c>
      <c r="E57" s="4">
        <v>5</v>
      </c>
      <c r="F57" s="4">
        <v>100</v>
      </c>
      <c r="G57" s="4">
        <v>10000</v>
      </c>
    </row>
    <row r="58" spans="1:7" x14ac:dyDescent="0.15">
      <c r="A58" s="4" t="s">
        <v>248</v>
      </c>
      <c r="B58" s="6">
        <v>10049</v>
      </c>
      <c r="C58" s="55">
        <v>10224</v>
      </c>
      <c r="D58" s="4">
        <v>1</v>
      </c>
      <c r="E58" s="4">
        <v>5</v>
      </c>
      <c r="F58" s="4">
        <v>100</v>
      </c>
      <c r="G58" s="4">
        <v>10000</v>
      </c>
    </row>
    <row r="59" spans="1:7" x14ac:dyDescent="0.15">
      <c r="A59" s="4" t="s">
        <v>146</v>
      </c>
      <c r="B59" s="6">
        <v>10050</v>
      </c>
      <c r="C59" s="55">
        <v>10225</v>
      </c>
      <c r="D59" s="4">
        <v>1</v>
      </c>
      <c r="E59" s="4">
        <v>5</v>
      </c>
      <c r="F59" s="4">
        <v>100</v>
      </c>
      <c r="G59" s="4">
        <v>10000</v>
      </c>
    </row>
    <row r="60" spans="1:7" x14ac:dyDescent="0.15">
      <c r="A60" s="4" t="s">
        <v>248</v>
      </c>
      <c r="B60" s="6">
        <v>10051</v>
      </c>
      <c r="C60" s="55">
        <v>10226</v>
      </c>
      <c r="D60" s="4">
        <v>1</v>
      </c>
      <c r="E60" s="4">
        <v>5</v>
      </c>
      <c r="F60" s="4">
        <v>100</v>
      </c>
      <c r="G60" s="4">
        <v>10000</v>
      </c>
    </row>
    <row r="61" spans="1:7" x14ac:dyDescent="0.15">
      <c r="A61" s="4" t="s">
        <v>146</v>
      </c>
      <c r="B61" s="6">
        <v>10052</v>
      </c>
      <c r="C61" s="55">
        <v>10227</v>
      </c>
      <c r="D61" s="4">
        <v>1</v>
      </c>
      <c r="E61" s="4">
        <v>5</v>
      </c>
      <c r="F61" s="4">
        <v>100</v>
      </c>
      <c r="G61" s="4">
        <v>10000</v>
      </c>
    </row>
    <row r="62" spans="1:7" x14ac:dyDescent="0.15">
      <c r="A62" s="4" t="s">
        <v>248</v>
      </c>
      <c r="B62" s="6">
        <v>10053</v>
      </c>
      <c r="C62" s="55">
        <v>10228</v>
      </c>
      <c r="D62" s="4">
        <v>1</v>
      </c>
      <c r="E62" s="4">
        <v>5</v>
      </c>
      <c r="F62" s="4">
        <v>100</v>
      </c>
      <c r="G62" s="4">
        <v>10000</v>
      </c>
    </row>
    <row r="63" spans="1:7" x14ac:dyDescent="0.15">
      <c r="A63" s="4" t="s">
        <v>146</v>
      </c>
      <c r="B63" s="6">
        <v>10054</v>
      </c>
      <c r="C63" s="55">
        <v>10229</v>
      </c>
      <c r="D63" s="4">
        <v>1</v>
      </c>
      <c r="E63" s="4">
        <v>5</v>
      </c>
      <c r="F63" s="4">
        <v>100</v>
      </c>
      <c r="G63" s="4">
        <v>10000</v>
      </c>
    </row>
    <row r="64" spans="1:7" x14ac:dyDescent="0.15">
      <c r="A64" s="4" t="s">
        <v>248</v>
      </c>
      <c r="B64" s="6">
        <v>10055</v>
      </c>
      <c r="C64" s="55">
        <v>10230</v>
      </c>
      <c r="D64" s="4">
        <v>1</v>
      </c>
      <c r="E64" s="4">
        <v>5</v>
      </c>
      <c r="F64" s="4">
        <v>100</v>
      </c>
      <c r="G64" s="4">
        <v>10000</v>
      </c>
    </row>
    <row r="65" spans="1:7" x14ac:dyDescent="0.15">
      <c r="A65" s="4" t="s">
        <v>146</v>
      </c>
      <c r="B65" s="6">
        <v>10056</v>
      </c>
      <c r="C65" s="55">
        <v>10231</v>
      </c>
      <c r="D65" s="4">
        <v>1</v>
      </c>
      <c r="E65" s="4">
        <v>5</v>
      </c>
      <c r="F65" s="4">
        <v>100</v>
      </c>
      <c r="G65" s="4">
        <v>10000</v>
      </c>
    </row>
    <row r="66" spans="1:7" x14ac:dyDescent="0.15">
      <c r="A66" s="4" t="s">
        <v>248</v>
      </c>
      <c r="B66" s="6">
        <v>10057</v>
      </c>
      <c r="C66" s="55">
        <v>10232</v>
      </c>
      <c r="D66" s="4">
        <v>1</v>
      </c>
      <c r="E66" s="4">
        <v>5</v>
      </c>
      <c r="F66" s="4">
        <v>100</v>
      </c>
      <c r="G66" s="4">
        <v>10000</v>
      </c>
    </row>
    <row r="67" spans="1:7" x14ac:dyDescent="0.15">
      <c r="A67" s="4" t="s">
        <v>146</v>
      </c>
      <c r="B67" s="6">
        <v>10058</v>
      </c>
      <c r="C67" s="55">
        <v>10233</v>
      </c>
      <c r="D67" s="4">
        <v>1</v>
      </c>
      <c r="E67" s="4">
        <v>5</v>
      </c>
      <c r="F67" s="4">
        <v>100</v>
      </c>
      <c r="G67" s="4">
        <v>10000</v>
      </c>
    </row>
    <row r="68" spans="1:7" x14ac:dyDescent="0.15">
      <c r="A68" s="4" t="s">
        <v>248</v>
      </c>
      <c r="B68" s="6">
        <v>10059</v>
      </c>
      <c r="C68" s="55">
        <v>10234</v>
      </c>
      <c r="D68" s="4">
        <v>1</v>
      </c>
      <c r="E68" s="4">
        <v>5</v>
      </c>
      <c r="F68" s="4">
        <v>100</v>
      </c>
      <c r="G68" s="4">
        <v>10000</v>
      </c>
    </row>
    <row r="69" spans="1:7" x14ac:dyDescent="0.15">
      <c r="A69" s="4" t="s">
        <v>146</v>
      </c>
      <c r="B69" s="6">
        <v>10060</v>
      </c>
      <c r="C69" s="55">
        <v>10235</v>
      </c>
      <c r="D69" s="4">
        <v>1</v>
      </c>
      <c r="E69" s="4">
        <v>5</v>
      </c>
      <c r="F69" s="4">
        <v>100</v>
      </c>
      <c r="G69" s="4">
        <v>10000</v>
      </c>
    </row>
    <row r="70" spans="1:7" x14ac:dyDescent="0.15">
      <c r="A70" s="4" t="s">
        <v>248</v>
      </c>
      <c r="B70" s="6">
        <v>10061</v>
      </c>
      <c r="C70" s="55">
        <v>10236</v>
      </c>
      <c r="D70" s="4">
        <v>1</v>
      </c>
      <c r="E70" s="4">
        <v>5</v>
      </c>
      <c r="F70" s="4">
        <v>100</v>
      </c>
      <c r="G70" s="4">
        <v>10000</v>
      </c>
    </row>
    <row r="71" spans="1:7" x14ac:dyDescent="0.15">
      <c r="A71" s="4" t="s">
        <v>146</v>
      </c>
      <c r="B71" s="6">
        <v>10062</v>
      </c>
      <c r="C71" s="55">
        <v>10301</v>
      </c>
      <c r="D71" s="4">
        <v>1</v>
      </c>
      <c r="E71" s="4">
        <v>5</v>
      </c>
      <c r="F71" s="4">
        <v>100</v>
      </c>
      <c r="G71" s="4">
        <v>10000</v>
      </c>
    </row>
    <row r="72" spans="1:7" x14ac:dyDescent="0.15">
      <c r="A72" s="4" t="s">
        <v>248</v>
      </c>
      <c r="B72" s="6">
        <v>10063</v>
      </c>
      <c r="C72" s="55">
        <v>10302</v>
      </c>
      <c r="D72" s="4">
        <v>1</v>
      </c>
      <c r="E72" s="4">
        <v>5</v>
      </c>
      <c r="F72" s="4">
        <v>100</v>
      </c>
      <c r="G72" s="4">
        <v>10000</v>
      </c>
    </row>
    <row r="73" spans="1:7" x14ac:dyDescent="0.15">
      <c r="A73" s="4" t="s">
        <v>146</v>
      </c>
      <c r="B73" s="6">
        <v>10064</v>
      </c>
      <c r="C73" s="55">
        <v>10303</v>
      </c>
      <c r="D73" s="4">
        <v>1</v>
      </c>
      <c r="E73" s="4">
        <v>5</v>
      </c>
      <c r="F73" s="4">
        <v>100</v>
      </c>
      <c r="G73" s="4">
        <v>10000</v>
      </c>
    </row>
    <row r="74" spans="1:7" x14ac:dyDescent="0.15">
      <c r="A74" s="4" t="s">
        <v>248</v>
      </c>
      <c r="B74" s="6">
        <v>10065</v>
      </c>
      <c r="C74" s="55">
        <v>10304</v>
      </c>
      <c r="D74" s="4">
        <v>1</v>
      </c>
      <c r="E74" s="4">
        <v>5</v>
      </c>
      <c r="F74" s="4">
        <v>100</v>
      </c>
      <c r="G74" s="4">
        <v>10000</v>
      </c>
    </row>
    <row r="75" spans="1:7" x14ac:dyDescent="0.15">
      <c r="A75" s="4" t="s">
        <v>146</v>
      </c>
      <c r="B75" s="6">
        <v>10066</v>
      </c>
      <c r="C75" s="55">
        <v>10305</v>
      </c>
      <c r="D75" s="4">
        <v>1</v>
      </c>
      <c r="E75" s="4">
        <v>5</v>
      </c>
      <c r="F75" s="4">
        <v>100</v>
      </c>
      <c r="G75" s="4">
        <v>10000</v>
      </c>
    </row>
    <row r="76" spans="1:7" x14ac:dyDescent="0.15">
      <c r="A76" s="4" t="s">
        <v>248</v>
      </c>
      <c r="B76" s="6">
        <v>10067</v>
      </c>
      <c r="C76" s="55">
        <v>10306</v>
      </c>
      <c r="D76" s="4">
        <v>1</v>
      </c>
      <c r="E76" s="4">
        <v>5</v>
      </c>
      <c r="F76" s="4">
        <v>100</v>
      </c>
      <c r="G76" s="4">
        <v>10000</v>
      </c>
    </row>
    <row r="77" spans="1:7" x14ac:dyDescent="0.15">
      <c r="A77" s="4" t="s">
        <v>146</v>
      </c>
      <c r="B77" s="6">
        <v>10068</v>
      </c>
      <c r="C77" s="55">
        <v>10307</v>
      </c>
      <c r="D77" s="4">
        <v>1</v>
      </c>
      <c r="E77" s="4">
        <v>5</v>
      </c>
      <c r="F77" s="4">
        <v>100</v>
      </c>
      <c r="G77" s="4">
        <v>10000</v>
      </c>
    </row>
    <row r="78" spans="1:7" x14ac:dyDescent="0.15">
      <c r="A78" s="4" t="s">
        <v>248</v>
      </c>
      <c r="B78" s="6">
        <v>10069</v>
      </c>
      <c r="C78" s="55">
        <v>10308</v>
      </c>
      <c r="D78" s="4">
        <v>1</v>
      </c>
      <c r="E78" s="4">
        <v>5</v>
      </c>
      <c r="F78" s="4">
        <v>100</v>
      </c>
      <c r="G78" s="4">
        <v>10000</v>
      </c>
    </row>
    <row r="79" spans="1:7" x14ac:dyDescent="0.15">
      <c r="A79" s="4" t="s">
        <v>146</v>
      </c>
      <c r="B79" s="6">
        <v>10070</v>
      </c>
      <c r="C79" s="55">
        <v>10309</v>
      </c>
      <c r="D79" s="4">
        <v>1</v>
      </c>
      <c r="E79" s="4">
        <v>5</v>
      </c>
      <c r="F79" s="4">
        <v>100</v>
      </c>
      <c r="G79" s="4">
        <v>10000</v>
      </c>
    </row>
    <row r="80" spans="1:7" x14ac:dyDescent="0.15">
      <c r="A80" s="4" t="s">
        <v>248</v>
      </c>
      <c r="B80" s="6">
        <v>10071</v>
      </c>
      <c r="C80" s="55">
        <v>10310</v>
      </c>
      <c r="D80" s="4">
        <v>1</v>
      </c>
      <c r="E80" s="4">
        <v>5</v>
      </c>
      <c r="F80" s="4">
        <v>100</v>
      </c>
      <c r="G80" s="4">
        <v>10000</v>
      </c>
    </row>
    <row r="81" spans="1:7" x14ac:dyDescent="0.15">
      <c r="A81" s="4" t="s">
        <v>146</v>
      </c>
      <c r="B81" s="6">
        <v>10072</v>
      </c>
      <c r="C81" s="55">
        <v>10311</v>
      </c>
      <c r="D81" s="4">
        <v>1</v>
      </c>
      <c r="E81" s="4">
        <v>5</v>
      </c>
      <c r="F81" s="4">
        <v>100</v>
      </c>
      <c r="G81" s="4">
        <v>10000</v>
      </c>
    </row>
    <row r="82" spans="1:7" x14ac:dyDescent="0.15">
      <c r="A82" s="4" t="s">
        <v>248</v>
      </c>
      <c r="B82" s="6">
        <v>10073</v>
      </c>
      <c r="C82" s="55">
        <v>10312</v>
      </c>
      <c r="D82" s="4">
        <v>1</v>
      </c>
      <c r="E82" s="4">
        <v>5</v>
      </c>
      <c r="F82" s="4">
        <v>100</v>
      </c>
      <c r="G82" s="4">
        <v>10000</v>
      </c>
    </row>
    <row r="83" spans="1:7" x14ac:dyDescent="0.15">
      <c r="A83" s="4" t="s">
        <v>146</v>
      </c>
      <c r="B83" s="6">
        <v>10074</v>
      </c>
      <c r="C83" s="55">
        <v>10313</v>
      </c>
      <c r="D83" s="4">
        <v>1</v>
      </c>
      <c r="E83" s="4">
        <v>5</v>
      </c>
      <c r="F83" s="4">
        <v>100</v>
      </c>
      <c r="G83" s="4">
        <v>10000</v>
      </c>
    </row>
    <row r="84" spans="1:7" x14ac:dyDescent="0.15">
      <c r="A84" s="4" t="s">
        <v>248</v>
      </c>
      <c r="B84" s="6">
        <v>10075</v>
      </c>
      <c r="C84" s="55">
        <v>10314</v>
      </c>
      <c r="D84" s="4">
        <v>1</v>
      </c>
      <c r="E84" s="4">
        <v>5</v>
      </c>
      <c r="F84" s="4">
        <v>100</v>
      </c>
      <c r="G84" s="4">
        <v>10000</v>
      </c>
    </row>
    <row r="85" spans="1:7" x14ac:dyDescent="0.15">
      <c r="A85" s="4" t="s">
        <v>146</v>
      </c>
      <c r="B85" s="6">
        <v>10076</v>
      </c>
      <c r="C85" s="55">
        <v>10315</v>
      </c>
      <c r="D85" s="4">
        <v>1</v>
      </c>
      <c r="E85" s="4">
        <v>5</v>
      </c>
      <c r="F85" s="4">
        <v>100</v>
      </c>
      <c r="G85" s="4">
        <v>10000</v>
      </c>
    </row>
    <row r="86" spans="1:7" x14ac:dyDescent="0.15">
      <c r="A86" s="4" t="s">
        <v>248</v>
      </c>
      <c r="B86" s="6">
        <v>10077</v>
      </c>
      <c r="C86" s="55">
        <v>10316</v>
      </c>
      <c r="D86" s="4">
        <v>1</v>
      </c>
      <c r="E86" s="4">
        <v>5</v>
      </c>
      <c r="F86" s="4">
        <v>100</v>
      </c>
      <c r="G86" s="4">
        <v>10000</v>
      </c>
    </row>
    <row r="87" spans="1:7" x14ac:dyDescent="0.15">
      <c r="A87" s="4" t="s">
        <v>146</v>
      </c>
      <c r="B87" s="6">
        <v>10078</v>
      </c>
      <c r="C87" s="55">
        <v>10317</v>
      </c>
      <c r="D87" s="4">
        <v>1</v>
      </c>
      <c r="E87" s="4">
        <v>5</v>
      </c>
      <c r="F87" s="4">
        <v>100</v>
      </c>
      <c r="G87" s="4">
        <v>10000</v>
      </c>
    </row>
    <row r="88" spans="1:7" x14ac:dyDescent="0.15">
      <c r="A88" s="4" t="s">
        <v>248</v>
      </c>
      <c r="B88" s="6">
        <v>10079</v>
      </c>
      <c r="C88" s="55">
        <v>10318</v>
      </c>
      <c r="D88" s="4">
        <v>1</v>
      </c>
      <c r="E88" s="4">
        <v>5</v>
      </c>
      <c r="F88" s="4">
        <v>100</v>
      </c>
      <c r="G88" s="4">
        <v>10000</v>
      </c>
    </row>
    <row r="89" spans="1:7" x14ac:dyDescent="0.15">
      <c r="A89" s="4" t="s">
        <v>146</v>
      </c>
      <c r="B89" s="6">
        <v>10080</v>
      </c>
      <c r="C89" s="55">
        <v>10319</v>
      </c>
      <c r="D89" s="4">
        <v>1</v>
      </c>
      <c r="E89" s="4">
        <v>5</v>
      </c>
      <c r="F89" s="4">
        <v>100</v>
      </c>
      <c r="G89" s="4">
        <v>10000</v>
      </c>
    </row>
    <row r="90" spans="1:7" x14ac:dyDescent="0.15">
      <c r="A90" s="4" t="s">
        <v>248</v>
      </c>
      <c r="B90" s="6">
        <v>10081</v>
      </c>
      <c r="C90" s="55">
        <v>10320</v>
      </c>
      <c r="D90" s="4">
        <v>1</v>
      </c>
      <c r="E90" s="4">
        <v>5</v>
      </c>
      <c r="F90" s="4">
        <v>100</v>
      </c>
      <c r="G90" s="4">
        <v>10000</v>
      </c>
    </row>
    <row r="91" spans="1:7" x14ac:dyDescent="0.15">
      <c r="A91" s="4" t="s">
        <v>146</v>
      </c>
      <c r="B91" s="6">
        <v>10082</v>
      </c>
      <c r="C91" s="55">
        <v>10321</v>
      </c>
      <c r="D91" s="4">
        <v>1</v>
      </c>
      <c r="E91" s="4">
        <v>5</v>
      </c>
      <c r="F91" s="4">
        <v>100</v>
      </c>
      <c r="G91" s="4">
        <v>10000</v>
      </c>
    </row>
    <row r="92" spans="1:7" x14ac:dyDescent="0.15">
      <c r="A92" s="4" t="s">
        <v>248</v>
      </c>
      <c r="B92" s="6">
        <v>10083</v>
      </c>
      <c r="C92" s="55">
        <v>10322</v>
      </c>
      <c r="D92" s="4">
        <v>1</v>
      </c>
      <c r="E92" s="4">
        <v>5</v>
      </c>
      <c r="F92" s="4">
        <v>100</v>
      </c>
      <c r="G92" s="4">
        <v>10000</v>
      </c>
    </row>
    <row r="93" spans="1:7" x14ac:dyDescent="0.15">
      <c r="A93" s="4" t="s">
        <v>146</v>
      </c>
      <c r="B93" s="6">
        <v>10084</v>
      </c>
      <c r="C93" s="55">
        <v>10323</v>
      </c>
      <c r="D93" s="4">
        <v>1</v>
      </c>
      <c r="E93" s="4">
        <v>5</v>
      </c>
      <c r="F93" s="4">
        <v>100</v>
      </c>
      <c r="G93" s="4">
        <v>10000</v>
      </c>
    </row>
    <row r="94" spans="1:7" x14ac:dyDescent="0.15">
      <c r="A94" s="4" t="s">
        <v>248</v>
      </c>
      <c r="B94" s="6">
        <v>10085</v>
      </c>
      <c r="C94" s="55">
        <v>10324</v>
      </c>
      <c r="D94" s="4">
        <v>1</v>
      </c>
      <c r="E94" s="4">
        <v>5</v>
      </c>
      <c r="F94" s="4">
        <v>100</v>
      </c>
      <c r="G94" s="4">
        <v>10000</v>
      </c>
    </row>
    <row r="95" spans="1:7" x14ac:dyDescent="0.15">
      <c r="A95" s="4" t="s">
        <v>146</v>
      </c>
      <c r="B95" s="6">
        <v>10086</v>
      </c>
      <c r="C95" s="55">
        <v>10325</v>
      </c>
      <c r="D95" s="4">
        <v>1</v>
      </c>
      <c r="E95" s="4">
        <v>5</v>
      </c>
      <c r="F95" s="4">
        <v>100</v>
      </c>
      <c r="G95" s="4">
        <v>10000</v>
      </c>
    </row>
    <row r="96" spans="1:7" x14ac:dyDescent="0.15">
      <c r="A96" s="4" t="s">
        <v>248</v>
      </c>
      <c r="B96" s="6">
        <v>10087</v>
      </c>
      <c r="C96" s="55">
        <v>10326</v>
      </c>
      <c r="D96" s="4">
        <v>1</v>
      </c>
      <c r="E96" s="4">
        <v>5</v>
      </c>
      <c r="F96" s="4">
        <v>100</v>
      </c>
      <c r="G96" s="4">
        <v>10000</v>
      </c>
    </row>
    <row r="97" spans="1:7" x14ac:dyDescent="0.15">
      <c r="A97" s="4" t="s">
        <v>146</v>
      </c>
      <c r="B97" s="6">
        <v>10088</v>
      </c>
      <c r="C97" s="55">
        <v>10327</v>
      </c>
      <c r="D97" s="4">
        <v>1</v>
      </c>
      <c r="E97" s="4">
        <v>5</v>
      </c>
      <c r="F97" s="4">
        <v>100</v>
      </c>
      <c r="G97" s="4">
        <v>10000</v>
      </c>
    </row>
    <row r="98" spans="1:7" x14ac:dyDescent="0.15">
      <c r="A98" s="4" t="s">
        <v>248</v>
      </c>
      <c r="B98" s="6">
        <v>10089</v>
      </c>
      <c r="C98" s="55">
        <v>10328</v>
      </c>
      <c r="D98" s="4">
        <v>1</v>
      </c>
      <c r="E98" s="4">
        <v>5</v>
      </c>
      <c r="F98" s="4">
        <v>100</v>
      </c>
      <c r="G98" s="4">
        <v>10000</v>
      </c>
    </row>
    <row r="99" spans="1:7" x14ac:dyDescent="0.15">
      <c r="A99" s="4" t="s">
        <v>146</v>
      </c>
      <c r="B99" s="6">
        <v>10090</v>
      </c>
      <c r="C99" s="55">
        <v>10329</v>
      </c>
      <c r="D99" s="4">
        <v>1</v>
      </c>
      <c r="E99" s="4">
        <v>5</v>
      </c>
      <c r="F99" s="4">
        <v>100</v>
      </c>
      <c r="G99" s="4">
        <v>10000</v>
      </c>
    </row>
    <row r="100" spans="1:7" x14ac:dyDescent="0.15">
      <c r="A100" s="4" t="s">
        <v>248</v>
      </c>
      <c r="B100" s="6">
        <v>10091</v>
      </c>
      <c r="C100" s="55">
        <v>10330</v>
      </c>
      <c r="D100" s="4">
        <v>1</v>
      </c>
      <c r="E100" s="4">
        <v>5</v>
      </c>
      <c r="F100" s="4">
        <v>100</v>
      </c>
      <c r="G100" s="4">
        <v>10000</v>
      </c>
    </row>
    <row r="101" spans="1:7" x14ac:dyDescent="0.15">
      <c r="A101" s="4" t="s">
        <v>146</v>
      </c>
      <c r="B101" s="6">
        <v>10092</v>
      </c>
      <c r="C101" s="55">
        <v>10331</v>
      </c>
      <c r="D101" s="4">
        <v>1</v>
      </c>
      <c r="E101" s="4">
        <v>5</v>
      </c>
      <c r="F101" s="4">
        <v>100</v>
      </c>
      <c r="G101" s="4">
        <v>10000</v>
      </c>
    </row>
    <row r="102" spans="1:7" x14ac:dyDescent="0.15">
      <c r="A102" s="4" t="s">
        <v>248</v>
      </c>
      <c r="B102" s="6">
        <v>10093</v>
      </c>
      <c r="C102" s="55">
        <v>10332</v>
      </c>
      <c r="D102" s="4">
        <v>1</v>
      </c>
      <c r="E102" s="4">
        <v>5</v>
      </c>
      <c r="F102" s="4">
        <v>100</v>
      </c>
      <c r="G102" s="4">
        <v>10000</v>
      </c>
    </row>
    <row r="103" spans="1:7" x14ac:dyDescent="0.15">
      <c r="A103" s="4" t="s">
        <v>146</v>
      </c>
      <c r="B103" s="6">
        <v>10094</v>
      </c>
      <c r="C103" s="55">
        <v>10333</v>
      </c>
      <c r="D103" s="4">
        <v>1</v>
      </c>
      <c r="E103" s="4">
        <v>5</v>
      </c>
      <c r="F103" s="4">
        <v>100</v>
      </c>
      <c r="G103" s="4">
        <v>10000</v>
      </c>
    </row>
    <row r="104" spans="1:7" x14ac:dyDescent="0.15">
      <c r="A104" s="4" t="s">
        <v>248</v>
      </c>
      <c r="B104" s="6">
        <v>10095</v>
      </c>
      <c r="C104" s="55">
        <v>10334</v>
      </c>
      <c r="D104" s="4">
        <v>1</v>
      </c>
      <c r="E104" s="4">
        <v>5</v>
      </c>
      <c r="F104" s="4">
        <v>100</v>
      </c>
      <c r="G104" s="4">
        <v>10000</v>
      </c>
    </row>
    <row r="105" spans="1:7" x14ac:dyDescent="0.15">
      <c r="A105" s="4" t="s">
        <v>146</v>
      </c>
      <c r="B105" s="6">
        <v>10096</v>
      </c>
      <c r="C105" s="55">
        <v>10335</v>
      </c>
      <c r="D105" s="4">
        <v>1</v>
      </c>
      <c r="E105" s="4">
        <v>5</v>
      </c>
      <c r="F105" s="4">
        <v>100</v>
      </c>
      <c r="G105" s="4">
        <v>10000</v>
      </c>
    </row>
    <row r="106" spans="1:7" x14ac:dyDescent="0.15">
      <c r="A106" s="4" t="s">
        <v>248</v>
      </c>
      <c r="B106" s="6">
        <v>10097</v>
      </c>
      <c r="C106" s="55">
        <v>10336</v>
      </c>
      <c r="D106" s="4">
        <v>1</v>
      </c>
      <c r="E106" s="4">
        <v>5</v>
      </c>
      <c r="F106" s="4">
        <v>100</v>
      </c>
      <c r="G106" s="4">
        <v>10000</v>
      </c>
    </row>
    <row r="107" spans="1:7" x14ac:dyDescent="0.15">
      <c r="A107" s="4" t="s">
        <v>146</v>
      </c>
      <c r="B107" s="6">
        <v>10098</v>
      </c>
      <c r="C107" s="55">
        <v>10401</v>
      </c>
      <c r="D107" s="4">
        <v>1</v>
      </c>
      <c r="E107" s="4">
        <v>5</v>
      </c>
      <c r="F107" s="4">
        <v>100</v>
      </c>
      <c r="G107" s="4">
        <v>10000</v>
      </c>
    </row>
    <row r="108" spans="1:7" x14ac:dyDescent="0.15">
      <c r="A108" s="4" t="s">
        <v>248</v>
      </c>
      <c r="B108" s="6">
        <v>10099</v>
      </c>
      <c r="C108" s="55">
        <v>10402</v>
      </c>
      <c r="D108" s="4">
        <v>1</v>
      </c>
      <c r="E108" s="4">
        <v>5</v>
      </c>
      <c r="F108" s="4">
        <v>100</v>
      </c>
      <c r="G108" s="4">
        <v>10000</v>
      </c>
    </row>
    <row r="109" spans="1:7" x14ac:dyDescent="0.15">
      <c r="A109" s="4" t="s">
        <v>146</v>
      </c>
      <c r="B109" s="6">
        <v>10100</v>
      </c>
      <c r="C109" s="55">
        <v>10403</v>
      </c>
      <c r="D109" s="4">
        <v>1</v>
      </c>
      <c r="E109" s="4">
        <v>5</v>
      </c>
      <c r="F109" s="4">
        <v>100</v>
      </c>
      <c r="G109" s="4">
        <v>10000</v>
      </c>
    </row>
    <row r="110" spans="1:7" x14ac:dyDescent="0.15">
      <c r="A110" s="4" t="s">
        <v>248</v>
      </c>
      <c r="B110" s="6">
        <v>10101</v>
      </c>
      <c r="C110" s="55">
        <v>10404</v>
      </c>
      <c r="D110" s="4">
        <v>1</v>
      </c>
      <c r="E110" s="4">
        <v>5</v>
      </c>
      <c r="F110" s="4">
        <v>100</v>
      </c>
      <c r="G110" s="4">
        <v>10000</v>
      </c>
    </row>
    <row r="111" spans="1:7" x14ac:dyDescent="0.15">
      <c r="A111" s="4" t="s">
        <v>146</v>
      </c>
      <c r="B111" s="6">
        <v>10102</v>
      </c>
      <c r="C111" s="55">
        <v>10405</v>
      </c>
      <c r="D111" s="4">
        <v>1</v>
      </c>
      <c r="E111" s="4">
        <v>5</v>
      </c>
      <c r="F111" s="4">
        <v>100</v>
      </c>
      <c r="G111" s="4">
        <v>10000</v>
      </c>
    </row>
    <row r="112" spans="1:7" x14ac:dyDescent="0.15">
      <c r="A112" s="4" t="s">
        <v>248</v>
      </c>
      <c r="B112" s="6">
        <v>10103</v>
      </c>
      <c r="C112" s="55">
        <v>10406</v>
      </c>
      <c r="D112" s="4">
        <v>1</v>
      </c>
      <c r="E112" s="4">
        <v>5</v>
      </c>
      <c r="F112" s="4">
        <v>100</v>
      </c>
      <c r="G112" s="4">
        <v>10000</v>
      </c>
    </row>
    <row r="113" spans="1:7" x14ac:dyDescent="0.15">
      <c r="A113" s="4" t="s">
        <v>146</v>
      </c>
      <c r="B113" s="6">
        <v>10104</v>
      </c>
      <c r="C113" s="55">
        <v>10407</v>
      </c>
      <c r="D113" s="4">
        <v>1</v>
      </c>
      <c r="E113" s="4">
        <v>5</v>
      </c>
      <c r="F113" s="4">
        <v>100</v>
      </c>
      <c r="G113" s="4">
        <v>10000</v>
      </c>
    </row>
    <row r="114" spans="1:7" x14ac:dyDescent="0.15">
      <c r="A114" s="4" t="s">
        <v>248</v>
      </c>
      <c r="B114" s="6">
        <v>10105</v>
      </c>
      <c r="C114" s="55">
        <v>10408</v>
      </c>
      <c r="D114" s="4">
        <v>1</v>
      </c>
      <c r="E114" s="4">
        <v>5</v>
      </c>
      <c r="F114" s="4">
        <v>100</v>
      </c>
      <c r="G114" s="4">
        <v>10000</v>
      </c>
    </row>
    <row r="115" spans="1:7" x14ac:dyDescent="0.15">
      <c r="A115" s="4" t="s">
        <v>146</v>
      </c>
      <c r="B115" s="6">
        <v>10106</v>
      </c>
      <c r="C115" s="55">
        <v>10409</v>
      </c>
      <c r="D115" s="4">
        <v>1</v>
      </c>
      <c r="E115" s="4">
        <v>5</v>
      </c>
      <c r="F115" s="4">
        <v>100</v>
      </c>
      <c r="G115" s="4">
        <v>10000</v>
      </c>
    </row>
    <row r="116" spans="1:7" x14ac:dyDescent="0.15">
      <c r="A116" s="4" t="s">
        <v>248</v>
      </c>
      <c r="B116" s="6">
        <v>10107</v>
      </c>
      <c r="C116" s="55">
        <v>10410</v>
      </c>
      <c r="D116" s="4">
        <v>1</v>
      </c>
      <c r="E116" s="4">
        <v>5</v>
      </c>
      <c r="F116" s="4">
        <v>100</v>
      </c>
      <c r="G116" s="4">
        <v>10000</v>
      </c>
    </row>
    <row r="117" spans="1:7" x14ac:dyDescent="0.15">
      <c r="A117" s="4" t="s">
        <v>146</v>
      </c>
      <c r="B117" s="6">
        <v>10108</v>
      </c>
      <c r="C117" s="55">
        <v>10411</v>
      </c>
      <c r="D117" s="4">
        <v>1</v>
      </c>
      <c r="E117" s="4">
        <v>5</v>
      </c>
      <c r="F117" s="4">
        <v>100</v>
      </c>
      <c r="G117" s="4">
        <v>10000</v>
      </c>
    </row>
    <row r="118" spans="1:7" x14ac:dyDescent="0.15">
      <c r="A118" s="4" t="s">
        <v>248</v>
      </c>
      <c r="B118" s="6">
        <v>10109</v>
      </c>
      <c r="C118" s="55">
        <v>10412</v>
      </c>
      <c r="D118" s="4">
        <v>1</v>
      </c>
      <c r="E118" s="4">
        <v>5</v>
      </c>
      <c r="F118" s="4">
        <v>100</v>
      </c>
      <c r="G118" s="4">
        <v>10000</v>
      </c>
    </row>
    <row r="119" spans="1:7" x14ac:dyDescent="0.15">
      <c r="A119" s="4" t="s">
        <v>146</v>
      </c>
      <c r="B119" s="6">
        <v>10110</v>
      </c>
      <c r="C119" s="55">
        <v>10413</v>
      </c>
      <c r="D119" s="4">
        <v>1</v>
      </c>
      <c r="E119" s="4">
        <v>5</v>
      </c>
      <c r="F119" s="4">
        <v>100</v>
      </c>
      <c r="G119" s="4">
        <v>10000</v>
      </c>
    </row>
    <row r="120" spans="1:7" x14ac:dyDescent="0.15">
      <c r="A120" s="4" t="s">
        <v>248</v>
      </c>
      <c r="B120" s="6">
        <v>10111</v>
      </c>
      <c r="C120" s="55">
        <v>10414</v>
      </c>
      <c r="D120" s="4">
        <v>1</v>
      </c>
      <c r="E120" s="4">
        <v>5</v>
      </c>
      <c r="F120" s="4">
        <v>100</v>
      </c>
      <c r="G120" s="4">
        <v>10000</v>
      </c>
    </row>
    <row r="121" spans="1:7" x14ac:dyDescent="0.15">
      <c r="A121" s="4" t="s">
        <v>146</v>
      </c>
      <c r="B121" s="6">
        <v>10112</v>
      </c>
      <c r="C121" s="55">
        <v>10415</v>
      </c>
      <c r="D121" s="4">
        <v>1</v>
      </c>
      <c r="E121" s="4">
        <v>5</v>
      </c>
      <c r="F121" s="4">
        <v>100</v>
      </c>
      <c r="G121" s="4">
        <v>10000</v>
      </c>
    </row>
    <row r="122" spans="1:7" x14ac:dyDescent="0.15">
      <c r="A122" s="4" t="s">
        <v>248</v>
      </c>
      <c r="B122" s="6">
        <v>10113</v>
      </c>
      <c r="C122" s="55">
        <v>10416</v>
      </c>
      <c r="D122" s="4">
        <v>1</v>
      </c>
      <c r="E122" s="4">
        <v>5</v>
      </c>
      <c r="F122" s="4">
        <v>100</v>
      </c>
      <c r="G122" s="4">
        <v>10000</v>
      </c>
    </row>
    <row r="123" spans="1:7" x14ac:dyDescent="0.15">
      <c r="A123" s="4" t="s">
        <v>146</v>
      </c>
      <c r="B123" s="6">
        <v>10114</v>
      </c>
      <c r="C123" s="55">
        <v>10417</v>
      </c>
      <c r="D123" s="4">
        <v>1</v>
      </c>
      <c r="E123" s="4">
        <v>5</v>
      </c>
      <c r="F123" s="4">
        <v>100</v>
      </c>
      <c r="G123" s="4">
        <v>10000</v>
      </c>
    </row>
    <row r="124" spans="1:7" x14ac:dyDescent="0.15">
      <c r="A124" s="4" t="s">
        <v>248</v>
      </c>
      <c r="B124" s="6">
        <v>10115</v>
      </c>
      <c r="C124" s="55">
        <v>10418</v>
      </c>
      <c r="D124" s="4">
        <v>1</v>
      </c>
      <c r="E124" s="4">
        <v>5</v>
      </c>
      <c r="F124" s="4">
        <v>100</v>
      </c>
      <c r="G124" s="4">
        <v>10000</v>
      </c>
    </row>
    <row r="125" spans="1:7" x14ac:dyDescent="0.15">
      <c r="A125" s="4" t="s">
        <v>146</v>
      </c>
      <c r="B125" s="6">
        <v>10116</v>
      </c>
      <c r="C125" s="55">
        <v>10419</v>
      </c>
      <c r="D125" s="4">
        <v>1</v>
      </c>
      <c r="E125" s="4">
        <v>5</v>
      </c>
      <c r="F125" s="4">
        <v>100</v>
      </c>
      <c r="G125" s="4">
        <v>10000</v>
      </c>
    </row>
    <row r="126" spans="1:7" x14ac:dyDescent="0.15">
      <c r="A126" s="4" t="s">
        <v>248</v>
      </c>
      <c r="B126" s="6">
        <v>10117</v>
      </c>
      <c r="C126" s="55">
        <v>10420</v>
      </c>
      <c r="D126" s="4">
        <v>1</v>
      </c>
      <c r="E126" s="4">
        <v>5</v>
      </c>
      <c r="F126" s="4">
        <v>100</v>
      </c>
      <c r="G126" s="4">
        <v>10000</v>
      </c>
    </row>
    <row r="127" spans="1:7" x14ac:dyDescent="0.15">
      <c r="A127" s="4" t="s">
        <v>146</v>
      </c>
      <c r="B127" s="6">
        <v>10118</v>
      </c>
      <c r="C127" s="55">
        <v>10421</v>
      </c>
      <c r="D127" s="4">
        <v>1</v>
      </c>
      <c r="E127" s="4">
        <v>5</v>
      </c>
      <c r="F127" s="4">
        <v>100</v>
      </c>
      <c r="G127" s="4">
        <v>10000</v>
      </c>
    </row>
    <row r="128" spans="1:7" x14ac:dyDescent="0.15">
      <c r="A128" s="4" t="s">
        <v>248</v>
      </c>
      <c r="B128" s="6">
        <v>10119</v>
      </c>
      <c r="C128" s="55">
        <v>10422</v>
      </c>
      <c r="D128" s="4">
        <v>1</v>
      </c>
      <c r="E128" s="4">
        <v>5</v>
      </c>
      <c r="F128" s="4">
        <v>100</v>
      </c>
      <c r="G128" s="4">
        <v>10000</v>
      </c>
    </row>
    <row r="129" spans="1:8" x14ac:dyDescent="0.15">
      <c r="A129" s="4" t="s">
        <v>146</v>
      </c>
      <c r="B129" s="6">
        <v>10120</v>
      </c>
      <c r="C129" s="55">
        <v>10423</v>
      </c>
      <c r="D129" s="4">
        <v>1</v>
      </c>
      <c r="E129" s="4">
        <v>5</v>
      </c>
      <c r="F129" s="4">
        <v>100</v>
      </c>
      <c r="G129" s="4">
        <v>10000</v>
      </c>
    </row>
    <row r="130" spans="1:8" x14ac:dyDescent="0.15">
      <c r="A130" s="4" t="s">
        <v>248</v>
      </c>
      <c r="B130" s="6">
        <v>10121</v>
      </c>
      <c r="C130" s="55">
        <v>10424</v>
      </c>
      <c r="D130" s="4">
        <v>1</v>
      </c>
      <c r="E130" s="4">
        <v>5</v>
      </c>
      <c r="F130" s="4">
        <v>100</v>
      </c>
      <c r="G130" s="4">
        <v>10000</v>
      </c>
    </row>
    <row r="131" spans="1:8" x14ac:dyDescent="0.15">
      <c r="A131" s="4" t="s">
        <v>146</v>
      </c>
      <c r="B131" s="6">
        <v>10122</v>
      </c>
      <c r="C131" s="55">
        <v>10425</v>
      </c>
      <c r="D131" s="4">
        <v>1</v>
      </c>
      <c r="E131" s="4">
        <v>5</v>
      </c>
      <c r="F131" s="4">
        <v>100</v>
      </c>
      <c r="G131" s="4">
        <v>10000</v>
      </c>
    </row>
    <row r="132" spans="1:8" x14ac:dyDescent="0.15">
      <c r="A132" s="4" t="s">
        <v>248</v>
      </c>
      <c r="B132" s="6">
        <v>10123</v>
      </c>
      <c r="C132" s="55">
        <v>10426</v>
      </c>
      <c r="D132" s="4">
        <v>1</v>
      </c>
      <c r="E132" s="4">
        <v>5</v>
      </c>
      <c r="F132" s="4">
        <v>100</v>
      </c>
      <c r="G132" s="4">
        <v>10000</v>
      </c>
    </row>
    <row r="133" spans="1:8" x14ac:dyDescent="0.15">
      <c r="A133" s="4" t="s">
        <v>146</v>
      </c>
      <c r="B133" s="6">
        <v>10124</v>
      </c>
      <c r="C133" s="55">
        <v>10427</v>
      </c>
      <c r="D133" s="4">
        <v>1</v>
      </c>
      <c r="E133" s="4">
        <v>5</v>
      </c>
      <c r="F133" s="4">
        <v>100</v>
      </c>
      <c r="G133" s="4">
        <v>10000</v>
      </c>
    </row>
    <row r="134" spans="1:8" x14ac:dyDescent="0.15">
      <c r="A134" s="4" t="s">
        <v>248</v>
      </c>
      <c r="B134" s="6">
        <v>10125</v>
      </c>
      <c r="C134" s="55">
        <v>10428</v>
      </c>
      <c r="D134" s="4">
        <v>1</v>
      </c>
      <c r="E134" s="4">
        <v>5</v>
      </c>
      <c r="F134" s="4">
        <v>100</v>
      </c>
      <c r="G134" s="4">
        <v>10000</v>
      </c>
    </row>
    <row r="135" spans="1:8" x14ac:dyDescent="0.15">
      <c r="A135" s="4" t="s">
        <v>146</v>
      </c>
      <c r="B135" s="6">
        <v>10126</v>
      </c>
      <c r="C135" s="55">
        <v>10429</v>
      </c>
      <c r="D135" s="4">
        <v>1</v>
      </c>
      <c r="E135" s="4">
        <v>5</v>
      </c>
      <c r="F135" s="4">
        <v>100</v>
      </c>
      <c r="G135" s="4">
        <v>10000</v>
      </c>
    </row>
    <row r="136" spans="1:8" x14ac:dyDescent="0.15">
      <c r="A136" s="4" t="s">
        <v>248</v>
      </c>
      <c r="B136" s="6">
        <v>10127</v>
      </c>
      <c r="C136" s="55">
        <v>10430</v>
      </c>
      <c r="D136" s="4">
        <v>1</v>
      </c>
      <c r="E136" s="4">
        <v>5</v>
      </c>
      <c r="F136" s="4">
        <v>100</v>
      </c>
      <c r="G136" s="4">
        <v>10000</v>
      </c>
    </row>
    <row r="137" spans="1:8" x14ac:dyDescent="0.15">
      <c r="A137" s="4" t="s">
        <v>146</v>
      </c>
      <c r="B137" s="6">
        <v>10128</v>
      </c>
      <c r="C137" s="55">
        <v>10431</v>
      </c>
      <c r="D137" s="4">
        <v>1</v>
      </c>
      <c r="E137" s="4">
        <v>5</v>
      </c>
      <c r="F137" s="4">
        <v>100</v>
      </c>
      <c r="G137" s="4">
        <v>10000</v>
      </c>
    </row>
    <row r="138" spans="1:8" x14ac:dyDescent="0.15">
      <c r="C138" s="4"/>
      <c r="D138" s="4"/>
      <c r="E138" s="4"/>
      <c r="F138" s="4"/>
      <c r="G138" s="4"/>
    </row>
    <row r="139" spans="1:8" x14ac:dyDescent="0.15">
      <c r="C139" s="4"/>
      <c r="D139" s="4"/>
      <c r="E139" s="4"/>
      <c r="F139" s="4"/>
      <c r="G139" s="4"/>
    </row>
    <row r="140" spans="1:8" x14ac:dyDescent="0.15">
      <c r="C140" s="4"/>
      <c r="D140" s="4"/>
      <c r="E140" s="4"/>
      <c r="F140" s="4"/>
      <c r="G140" s="4"/>
    </row>
    <row r="141" spans="1:8" x14ac:dyDescent="0.15">
      <c r="C141" s="4"/>
      <c r="D141" s="4"/>
      <c r="E141" s="4"/>
      <c r="F141" s="4"/>
      <c r="G141" s="4"/>
    </row>
    <row r="142" spans="1:8" x14ac:dyDescent="0.15">
      <c r="D142" s="4"/>
      <c r="E142" s="4"/>
      <c r="F142" s="4"/>
      <c r="G142" s="4"/>
    </row>
    <row r="143" spans="1:8" x14ac:dyDescent="0.15">
      <c r="A143" s="4" t="s">
        <v>1</v>
      </c>
      <c r="B143" s="6">
        <v>1</v>
      </c>
      <c r="C143" s="6">
        <v>1</v>
      </c>
      <c r="D143" s="4">
        <v>1</v>
      </c>
      <c r="E143" s="4">
        <v>1</v>
      </c>
      <c r="F143" s="4">
        <v>400</v>
      </c>
      <c r="G143" s="4">
        <v>100000</v>
      </c>
    </row>
    <row r="144" spans="1:8" x14ac:dyDescent="0.15">
      <c r="A144" s="4" t="s">
        <v>1</v>
      </c>
      <c r="B144" s="6">
        <v>2</v>
      </c>
      <c r="C144" s="4">
        <v>1</v>
      </c>
      <c r="D144" s="4">
        <v>1</v>
      </c>
      <c r="E144" s="4">
        <v>1</v>
      </c>
      <c r="F144" s="4">
        <v>300</v>
      </c>
      <c r="G144" s="4">
        <v>100000</v>
      </c>
      <c r="H144" s="4">
        <v>1</v>
      </c>
    </row>
    <row r="145" spans="1:8" x14ac:dyDescent="0.15">
      <c r="A145" s="4" t="s">
        <v>1</v>
      </c>
      <c r="B145" s="6">
        <v>3</v>
      </c>
      <c r="C145" s="4">
        <v>1</v>
      </c>
      <c r="D145" s="4">
        <v>1</v>
      </c>
      <c r="E145" s="4">
        <v>1</v>
      </c>
      <c r="F145" s="4">
        <v>200</v>
      </c>
      <c r="G145" s="4">
        <v>100000</v>
      </c>
      <c r="H145" s="4">
        <v>2</v>
      </c>
    </row>
    <row r="146" spans="1:8" x14ac:dyDescent="0.15">
      <c r="A146" s="4" t="s">
        <v>1</v>
      </c>
      <c r="B146" s="6">
        <v>4</v>
      </c>
      <c r="C146" s="4">
        <v>1</v>
      </c>
      <c r="D146" s="4">
        <v>1</v>
      </c>
      <c r="E146" s="4">
        <v>1</v>
      </c>
      <c r="F146" s="4">
        <v>100</v>
      </c>
      <c r="G146" s="4">
        <v>100000</v>
      </c>
      <c r="H146" s="4">
        <v>3</v>
      </c>
    </row>
    <row r="147" spans="1:8" x14ac:dyDescent="0.15">
      <c r="A147" s="4" t="s">
        <v>1</v>
      </c>
      <c r="B147" s="6">
        <v>5</v>
      </c>
      <c r="C147" s="6">
        <v>2</v>
      </c>
      <c r="D147" s="4">
        <v>1</v>
      </c>
      <c r="E147" s="4">
        <v>1</v>
      </c>
      <c r="F147" s="4">
        <v>400</v>
      </c>
      <c r="G147" s="4">
        <v>100000</v>
      </c>
      <c r="H147" s="4">
        <v>9999</v>
      </c>
    </row>
    <row r="148" spans="1:8" x14ac:dyDescent="0.15">
      <c r="A148" s="4" t="s">
        <v>1</v>
      </c>
      <c r="B148" s="6">
        <v>6</v>
      </c>
      <c r="C148" s="4">
        <v>2</v>
      </c>
      <c r="D148" s="4">
        <v>1</v>
      </c>
      <c r="E148" s="4">
        <v>1</v>
      </c>
      <c r="F148" s="4">
        <v>300</v>
      </c>
      <c r="G148" s="4">
        <v>100000</v>
      </c>
      <c r="H148" s="4">
        <v>1</v>
      </c>
    </row>
    <row r="149" spans="1:8" x14ac:dyDescent="0.15">
      <c r="A149" s="4" t="s">
        <v>1</v>
      </c>
      <c r="B149" s="6">
        <v>7</v>
      </c>
      <c r="C149" s="4">
        <v>2</v>
      </c>
      <c r="D149" s="4">
        <v>1</v>
      </c>
      <c r="E149" s="4">
        <v>1</v>
      </c>
      <c r="F149" s="4">
        <v>200</v>
      </c>
      <c r="G149" s="4">
        <v>100000</v>
      </c>
      <c r="H149" s="4">
        <v>2</v>
      </c>
    </row>
    <row r="150" spans="1:8" x14ac:dyDescent="0.15">
      <c r="A150" s="4" t="s">
        <v>1</v>
      </c>
      <c r="B150" s="6">
        <v>8</v>
      </c>
      <c r="C150" s="4">
        <v>2</v>
      </c>
      <c r="D150" s="4">
        <v>1</v>
      </c>
      <c r="E150" s="4">
        <v>1</v>
      </c>
      <c r="F150" s="4">
        <v>100</v>
      </c>
      <c r="G150" s="4">
        <v>100000</v>
      </c>
      <c r="H150" s="4">
        <v>3</v>
      </c>
    </row>
    <row r="151" spans="1:8" x14ac:dyDescent="0.15">
      <c r="A151" s="4" t="s">
        <v>1</v>
      </c>
      <c r="B151" s="6">
        <v>9</v>
      </c>
      <c r="C151" s="4">
        <v>3</v>
      </c>
      <c r="D151" s="4">
        <v>1</v>
      </c>
      <c r="E151" s="4">
        <v>1</v>
      </c>
      <c r="F151" s="4">
        <v>400</v>
      </c>
      <c r="G151" s="4">
        <v>100000</v>
      </c>
      <c r="H151" s="4">
        <v>9999</v>
      </c>
    </row>
    <row r="152" spans="1:8" x14ac:dyDescent="0.15">
      <c r="A152" s="4" t="s">
        <v>1</v>
      </c>
      <c r="B152" s="6">
        <v>10</v>
      </c>
      <c r="C152" s="4">
        <v>3</v>
      </c>
      <c r="D152" s="4">
        <v>1</v>
      </c>
      <c r="E152" s="4">
        <v>1</v>
      </c>
      <c r="F152" s="4">
        <v>300</v>
      </c>
      <c r="G152" s="4">
        <v>100000</v>
      </c>
      <c r="H152" s="4">
        <v>1</v>
      </c>
    </row>
    <row r="153" spans="1:8" x14ac:dyDescent="0.15">
      <c r="A153" s="4" t="s">
        <v>1</v>
      </c>
      <c r="B153" s="6">
        <v>11</v>
      </c>
      <c r="C153" s="4">
        <v>3</v>
      </c>
      <c r="D153" s="4">
        <v>1</v>
      </c>
      <c r="E153" s="4">
        <v>1</v>
      </c>
      <c r="F153" s="4">
        <v>200</v>
      </c>
      <c r="G153" s="4">
        <v>100000</v>
      </c>
      <c r="H153" s="4">
        <v>2</v>
      </c>
    </row>
    <row r="154" spans="1:8" x14ac:dyDescent="0.15">
      <c r="A154" s="4" t="s">
        <v>1</v>
      </c>
      <c r="B154" s="6">
        <v>12</v>
      </c>
      <c r="C154" s="4">
        <v>3</v>
      </c>
      <c r="D154" s="4">
        <v>1</v>
      </c>
      <c r="E154" s="4">
        <v>1</v>
      </c>
      <c r="F154" s="4">
        <v>100</v>
      </c>
      <c r="G154" s="4">
        <v>100000</v>
      </c>
      <c r="H154" s="4">
        <v>3</v>
      </c>
    </row>
    <row r="155" spans="1:8" x14ac:dyDescent="0.15">
      <c r="A155" s="4" t="s">
        <v>1</v>
      </c>
      <c r="B155" s="6">
        <v>13</v>
      </c>
      <c r="C155" s="4">
        <v>4</v>
      </c>
      <c r="D155" s="4">
        <v>1</v>
      </c>
      <c r="E155" s="4">
        <v>1</v>
      </c>
      <c r="F155" s="4">
        <v>400</v>
      </c>
      <c r="G155" s="4">
        <v>100000</v>
      </c>
      <c r="H155" s="4">
        <v>9999</v>
      </c>
    </row>
    <row r="156" spans="1:8" x14ac:dyDescent="0.15">
      <c r="A156" s="4" t="s">
        <v>1</v>
      </c>
      <c r="B156" s="6">
        <v>14</v>
      </c>
      <c r="C156" s="4">
        <v>4</v>
      </c>
      <c r="D156" s="4">
        <v>1</v>
      </c>
      <c r="E156" s="4">
        <v>1</v>
      </c>
      <c r="F156" s="4">
        <v>300</v>
      </c>
      <c r="G156" s="4">
        <v>100000</v>
      </c>
      <c r="H156" s="4">
        <v>1</v>
      </c>
    </row>
    <row r="157" spans="1:8" x14ac:dyDescent="0.15">
      <c r="A157" s="4" t="s">
        <v>1</v>
      </c>
      <c r="B157" s="6">
        <v>15</v>
      </c>
      <c r="C157" s="4">
        <v>4</v>
      </c>
      <c r="D157" s="4">
        <v>1</v>
      </c>
      <c r="E157" s="4">
        <v>1</v>
      </c>
      <c r="F157" s="4">
        <v>200</v>
      </c>
      <c r="G157" s="4">
        <v>100000</v>
      </c>
      <c r="H157" s="4">
        <v>2</v>
      </c>
    </row>
    <row r="158" spans="1:8" x14ac:dyDescent="0.15">
      <c r="A158" s="4" t="s">
        <v>1</v>
      </c>
      <c r="B158" s="6">
        <v>16</v>
      </c>
      <c r="C158" s="4">
        <v>4</v>
      </c>
      <c r="D158" s="4">
        <v>1</v>
      </c>
      <c r="E158" s="4">
        <v>1</v>
      </c>
      <c r="F158" s="4">
        <v>100</v>
      </c>
      <c r="G158" s="4">
        <v>100000</v>
      </c>
      <c r="H158" s="4">
        <v>3</v>
      </c>
    </row>
    <row r="159" spans="1:8" x14ac:dyDescent="0.15">
      <c r="A159" s="4" t="s">
        <v>1</v>
      </c>
      <c r="B159" s="6">
        <v>17</v>
      </c>
      <c r="C159" s="4">
        <v>5</v>
      </c>
      <c r="D159" s="4">
        <v>1</v>
      </c>
      <c r="E159" s="4">
        <v>1</v>
      </c>
      <c r="F159" s="4">
        <v>400</v>
      </c>
      <c r="G159" s="4">
        <v>100000</v>
      </c>
      <c r="H159" s="4">
        <v>9999</v>
      </c>
    </row>
    <row r="160" spans="1:8" x14ac:dyDescent="0.15">
      <c r="A160" s="4" t="s">
        <v>1</v>
      </c>
      <c r="B160" s="6">
        <v>18</v>
      </c>
      <c r="C160" s="4">
        <v>5</v>
      </c>
      <c r="D160" s="4">
        <v>1</v>
      </c>
      <c r="E160" s="4">
        <v>1</v>
      </c>
      <c r="F160" s="4">
        <v>300</v>
      </c>
      <c r="G160" s="4">
        <v>100000</v>
      </c>
      <c r="H160" s="4">
        <v>1</v>
      </c>
    </row>
    <row r="161" spans="1:8" x14ac:dyDescent="0.15">
      <c r="A161" s="4" t="s">
        <v>1</v>
      </c>
      <c r="B161" s="6">
        <v>19</v>
      </c>
      <c r="C161" s="4">
        <v>5</v>
      </c>
      <c r="D161" s="4">
        <v>1</v>
      </c>
      <c r="E161" s="4">
        <v>1</v>
      </c>
      <c r="F161" s="4">
        <v>200</v>
      </c>
      <c r="G161" s="4">
        <v>100000</v>
      </c>
      <c r="H161" s="4">
        <v>2</v>
      </c>
    </row>
    <row r="162" spans="1:8" x14ac:dyDescent="0.15">
      <c r="A162" s="4" t="s">
        <v>1</v>
      </c>
      <c r="B162" s="6">
        <v>20</v>
      </c>
      <c r="C162" s="4">
        <v>5</v>
      </c>
      <c r="D162" s="4">
        <v>1</v>
      </c>
      <c r="E162" s="4">
        <v>1</v>
      </c>
      <c r="F162" s="4">
        <v>100</v>
      </c>
      <c r="G162" s="4">
        <v>100000</v>
      </c>
      <c r="H162" s="4">
        <v>3</v>
      </c>
    </row>
    <row r="163" spans="1:8" x14ac:dyDescent="0.15">
      <c r="A163" s="4" t="s">
        <v>1</v>
      </c>
      <c r="B163" s="6">
        <v>21</v>
      </c>
      <c r="C163" s="4">
        <v>6</v>
      </c>
      <c r="D163" s="4">
        <v>1</v>
      </c>
      <c r="E163" s="4">
        <v>1</v>
      </c>
      <c r="F163" s="4">
        <v>400</v>
      </c>
      <c r="G163" s="4">
        <v>100000</v>
      </c>
      <c r="H163" s="4">
        <v>9999</v>
      </c>
    </row>
    <row r="164" spans="1:8" x14ac:dyDescent="0.15">
      <c r="A164" s="4" t="s">
        <v>1</v>
      </c>
      <c r="B164" s="6">
        <v>22</v>
      </c>
      <c r="C164" s="4">
        <v>6</v>
      </c>
      <c r="D164" s="4">
        <v>1</v>
      </c>
      <c r="E164" s="4">
        <v>1</v>
      </c>
      <c r="F164" s="4">
        <v>300</v>
      </c>
      <c r="G164" s="4">
        <v>100000</v>
      </c>
      <c r="H164" s="4">
        <v>1</v>
      </c>
    </row>
    <row r="165" spans="1:8" x14ac:dyDescent="0.15">
      <c r="A165" s="4" t="s">
        <v>1</v>
      </c>
      <c r="B165" s="6">
        <v>23</v>
      </c>
      <c r="C165" s="4">
        <v>6</v>
      </c>
      <c r="D165" s="4">
        <v>1</v>
      </c>
      <c r="E165" s="4">
        <v>1</v>
      </c>
      <c r="F165" s="4">
        <v>200</v>
      </c>
      <c r="G165" s="4">
        <v>100000</v>
      </c>
      <c r="H165" s="4">
        <v>2</v>
      </c>
    </row>
    <row r="166" spans="1:8" x14ac:dyDescent="0.15">
      <c r="A166" s="4" t="s">
        <v>1</v>
      </c>
      <c r="B166" s="6">
        <v>24</v>
      </c>
      <c r="C166" s="4">
        <v>6</v>
      </c>
      <c r="D166" s="4">
        <v>1</v>
      </c>
      <c r="E166" s="4">
        <v>1</v>
      </c>
      <c r="F166" s="4">
        <v>100</v>
      </c>
      <c r="G166" s="4">
        <v>100000</v>
      </c>
      <c r="H166" s="4">
        <v>3</v>
      </c>
    </row>
    <row r="167" spans="1:8" x14ac:dyDescent="0.15">
      <c r="A167" s="4" t="s">
        <v>1</v>
      </c>
      <c r="B167" s="6">
        <v>25</v>
      </c>
      <c r="C167" s="4">
        <v>7</v>
      </c>
      <c r="D167" s="4">
        <v>1</v>
      </c>
      <c r="E167" s="4">
        <v>1</v>
      </c>
      <c r="F167" s="4">
        <v>400</v>
      </c>
      <c r="G167" s="4">
        <v>100000</v>
      </c>
      <c r="H167" s="4">
        <v>9999</v>
      </c>
    </row>
    <row r="168" spans="1:8" x14ac:dyDescent="0.15">
      <c r="A168" s="4" t="s">
        <v>1</v>
      </c>
      <c r="B168" s="6">
        <v>26</v>
      </c>
      <c r="C168" s="4">
        <v>7</v>
      </c>
      <c r="D168" s="4">
        <v>1</v>
      </c>
      <c r="E168" s="4">
        <v>1</v>
      </c>
      <c r="F168" s="4">
        <v>300</v>
      </c>
      <c r="G168" s="4">
        <v>100000</v>
      </c>
      <c r="H168" s="4">
        <v>1</v>
      </c>
    </row>
    <row r="169" spans="1:8" x14ac:dyDescent="0.15">
      <c r="A169" s="4" t="s">
        <v>1</v>
      </c>
      <c r="B169" s="6">
        <v>27</v>
      </c>
      <c r="C169" s="4">
        <v>7</v>
      </c>
      <c r="D169" s="4">
        <v>1</v>
      </c>
      <c r="E169" s="4">
        <v>1</v>
      </c>
      <c r="F169" s="4">
        <v>200</v>
      </c>
      <c r="G169" s="4">
        <v>100000</v>
      </c>
      <c r="H169" s="4">
        <v>2</v>
      </c>
    </row>
    <row r="170" spans="1:8" x14ac:dyDescent="0.15">
      <c r="A170" s="4" t="s">
        <v>1</v>
      </c>
      <c r="B170" s="6">
        <v>28</v>
      </c>
      <c r="C170" s="4">
        <v>7</v>
      </c>
      <c r="D170" s="4">
        <v>1</v>
      </c>
      <c r="E170" s="4">
        <v>1</v>
      </c>
      <c r="F170" s="4">
        <v>100</v>
      </c>
      <c r="G170" s="4">
        <v>100000</v>
      </c>
      <c r="H170" s="4">
        <v>3</v>
      </c>
    </row>
    <row r="171" spans="1:8" x14ac:dyDescent="0.15">
      <c r="A171" s="4" t="s">
        <v>1</v>
      </c>
      <c r="B171" s="6">
        <v>29</v>
      </c>
      <c r="C171" s="4">
        <v>8</v>
      </c>
      <c r="D171" s="4">
        <v>1</v>
      </c>
      <c r="E171" s="4">
        <v>1</v>
      </c>
      <c r="F171" s="4">
        <v>400</v>
      </c>
      <c r="G171" s="4">
        <v>100000</v>
      </c>
      <c r="H171" s="4">
        <v>9999</v>
      </c>
    </row>
    <row r="172" spans="1:8" x14ac:dyDescent="0.15">
      <c r="A172" s="4" t="s">
        <v>1</v>
      </c>
      <c r="B172" s="6">
        <v>30</v>
      </c>
      <c r="C172" s="4">
        <v>8</v>
      </c>
      <c r="D172" s="4">
        <v>1</v>
      </c>
      <c r="E172" s="4">
        <v>1</v>
      </c>
      <c r="F172" s="4">
        <v>300</v>
      </c>
      <c r="G172" s="4">
        <v>100000</v>
      </c>
      <c r="H172" s="4">
        <v>1</v>
      </c>
    </row>
    <row r="173" spans="1:8" x14ac:dyDescent="0.15">
      <c r="A173" s="4" t="s">
        <v>1</v>
      </c>
      <c r="B173" s="6">
        <v>31</v>
      </c>
      <c r="C173" s="4">
        <v>8</v>
      </c>
      <c r="D173" s="4">
        <v>1</v>
      </c>
      <c r="E173" s="4">
        <v>1</v>
      </c>
      <c r="F173" s="4">
        <v>200</v>
      </c>
      <c r="G173" s="4">
        <v>100000</v>
      </c>
      <c r="H173" s="4">
        <v>2</v>
      </c>
    </row>
    <row r="174" spans="1:8" x14ac:dyDescent="0.15">
      <c r="A174" s="4" t="s">
        <v>1</v>
      </c>
      <c r="B174" s="6">
        <v>32</v>
      </c>
      <c r="C174" s="6">
        <v>8</v>
      </c>
      <c r="D174" s="6">
        <v>1</v>
      </c>
      <c r="E174" s="6">
        <v>1</v>
      </c>
      <c r="F174" s="6">
        <v>100</v>
      </c>
      <c r="G174" s="6">
        <v>100000</v>
      </c>
      <c r="H174" s="4">
        <v>3</v>
      </c>
    </row>
    <row r="175" spans="1:8" x14ac:dyDescent="0.15">
      <c r="H175" s="4">
        <v>9999</v>
      </c>
    </row>
    <row r="176" spans="1:8" x14ac:dyDescent="0.15">
      <c r="A176" s="4" t="s">
        <v>1</v>
      </c>
      <c r="B176" s="6">
        <v>33</v>
      </c>
      <c r="C176" s="6">
        <v>9</v>
      </c>
      <c r="D176" s="6">
        <v>1</v>
      </c>
      <c r="E176" s="6">
        <v>1</v>
      </c>
      <c r="F176" s="6">
        <v>100</v>
      </c>
      <c r="G176" s="6">
        <v>100000</v>
      </c>
      <c r="H176" s="4">
        <v>0</v>
      </c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0"/>
  <sheetViews>
    <sheetView workbookViewId="0">
      <pane ySplit="8" topLeftCell="A9" activePane="bottomLeft" state="frozen"/>
      <selection pane="bottomLeft" activeCell="E14" sqref="E14"/>
    </sheetView>
  </sheetViews>
  <sheetFormatPr defaultColWidth="9" defaultRowHeight="13.5" x14ac:dyDescent="0.15"/>
  <cols>
    <col min="1" max="1" width="9" style="4" customWidth="1"/>
    <col min="2" max="3" width="10.625" style="6" customWidth="1"/>
    <col min="4" max="5" width="11.875" style="6" customWidth="1"/>
    <col min="6" max="6" width="14.25" style="6" customWidth="1"/>
    <col min="7" max="8" width="11.875" style="6" customWidth="1"/>
    <col min="9" max="11" width="13.5" style="6" customWidth="1"/>
    <col min="12" max="14" width="12.5" style="4" customWidth="1"/>
    <col min="15" max="15" width="9" style="4" customWidth="1"/>
    <col min="16" max="16" width="13.125" style="6" bestFit="1" customWidth="1"/>
    <col min="17" max="21" width="9" style="4" customWidth="1"/>
    <col min="22" max="22" width="77.875" style="4" customWidth="1"/>
    <col min="23" max="27" width="9" style="4" customWidth="1"/>
    <col min="28" max="16384" width="9" style="4"/>
  </cols>
  <sheetData>
    <row r="1" spans="1:22" s="1" customFormat="1" x14ac:dyDescent="0.15">
      <c r="A1" s="5" t="s">
        <v>0</v>
      </c>
      <c r="B1" s="1" t="s">
        <v>1</v>
      </c>
      <c r="C1" s="1" t="s">
        <v>1</v>
      </c>
      <c r="D1" s="1" t="s">
        <v>1</v>
      </c>
      <c r="F1" s="1" t="s">
        <v>1</v>
      </c>
      <c r="G1" s="1" t="s">
        <v>1</v>
      </c>
      <c r="I1" s="1" t="s">
        <v>1</v>
      </c>
      <c r="J1" s="1" t="s">
        <v>1</v>
      </c>
      <c r="K1" s="1" t="s">
        <v>1</v>
      </c>
      <c r="L1" s="1" t="s">
        <v>1</v>
      </c>
    </row>
    <row r="2" spans="1:22" s="1" customFormat="1" x14ac:dyDescent="0.15">
      <c r="A2" s="5" t="s">
        <v>2</v>
      </c>
      <c r="B2" s="1" t="s">
        <v>1</v>
      </c>
      <c r="C2" s="1" t="s">
        <v>1</v>
      </c>
      <c r="D2" s="1" t="s">
        <v>1</v>
      </c>
      <c r="F2" s="1" t="s">
        <v>1</v>
      </c>
      <c r="G2" s="1" t="s">
        <v>1</v>
      </c>
      <c r="I2" s="1" t="s">
        <v>1</v>
      </c>
      <c r="J2" s="1" t="s">
        <v>1</v>
      </c>
      <c r="K2" s="1" t="s">
        <v>1</v>
      </c>
      <c r="L2" s="1" t="s">
        <v>1</v>
      </c>
    </row>
    <row r="3" spans="1:22" s="2" customFormat="1" ht="14.25" x14ac:dyDescent="0.15">
      <c r="A3" s="16" t="s">
        <v>1</v>
      </c>
      <c r="B3" s="16" t="s">
        <v>3</v>
      </c>
      <c r="C3" s="16" t="s">
        <v>3</v>
      </c>
      <c r="D3" s="16" t="s">
        <v>3</v>
      </c>
      <c r="E3" s="26"/>
      <c r="F3" s="16" t="s">
        <v>3</v>
      </c>
      <c r="G3" s="16" t="s">
        <v>3</v>
      </c>
      <c r="H3" s="26"/>
      <c r="I3" s="16" t="s">
        <v>3</v>
      </c>
      <c r="J3" s="16" t="s">
        <v>18</v>
      </c>
      <c r="K3" s="16" t="s">
        <v>18</v>
      </c>
      <c r="L3" s="16" t="s">
        <v>3</v>
      </c>
      <c r="M3" s="31"/>
    </row>
    <row r="4" spans="1:22" s="2" customFormat="1" ht="14.25" x14ac:dyDescent="0.15">
      <c r="A4" s="16"/>
      <c r="B4" s="16" t="s">
        <v>4</v>
      </c>
      <c r="C4" s="16" t="s">
        <v>5</v>
      </c>
      <c r="D4" s="16" t="s">
        <v>77</v>
      </c>
      <c r="E4" s="26"/>
      <c r="F4" s="16" t="s">
        <v>78</v>
      </c>
      <c r="G4" s="16" t="s">
        <v>79</v>
      </c>
      <c r="H4" s="26"/>
      <c r="I4" s="16" t="s">
        <v>80</v>
      </c>
      <c r="J4" s="16" t="s">
        <v>81</v>
      </c>
      <c r="K4" s="16" t="s">
        <v>82</v>
      </c>
      <c r="L4" s="16" t="s">
        <v>83</v>
      </c>
      <c r="M4" s="31"/>
    </row>
    <row r="5" spans="1:22" s="2" customFormat="1" ht="14.25" x14ac:dyDescent="0.15">
      <c r="A5" s="16"/>
      <c r="B5" s="16" t="str">
        <f t="shared" ref="B5:I5" si="0">IF(B3="","",IF(B3="INT","i",IF(B3="FLOAT","f",IF(B3="STRING","s"))))</f>
        <v>i</v>
      </c>
      <c r="C5" s="16" t="str">
        <f t="shared" si="0"/>
        <v>i</v>
      </c>
      <c r="D5" s="16" t="str">
        <f t="shared" si="0"/>
        <v>i</v>
      </c>
      <c r="E5" s="26"/>
      <c r="F5" s="16" t="s">
        <v>10</v>
      </c>
      <c r="G5" s="16" t="s">
        <v>10</v>
      </c>
      <c r="H5" s="26"/>
      <c r="I5" s="16" t="str">
        <f t="shared" si="0"/>
        <v>i</v>
      </c>
      <c r="J5" s="16" t="s">
        <v>22</v>
      </c>
      <c r="K5" s="16" t="s">
        <v>22</v>
      </c>
      <c r="L5" s="16" t="s">
        <v>10</v>
      </c>
      <c r="M5" s="31"/>
    </row>
    <row r="6" spans="1:22" s="2" customFormat="1" ht="14.25" x14ac:dyDescent="0.15">
      <c r="A6" s="16" t="s">
        <v>1</v>
      </c>
      <c r="B6" s="16" t="str">
        <f>B5&amp;B4</f>
        <v>iID</v>
      </c>
      <c r="C6" s="16" t="str">
        <f t="shared" ref="C6:K6" si="1">C5&amp;C4</f>
        <v>iTaskId</v>
      </c>
      <c r="D6" s="16" t="str">
        <f t="shared" si="1"/>
        <v>iLimitType</v>
      </c>
      <c r="E6" s="26"/>
      <c r="F6" s="16" t="str">
        <f t="shared" si="1"/>
        <v>iLimitSubType</v>
      </c>
      <c r="G6" s="16" t="str">
        <f t="shared" si="1"/>
        <v>iJudgeType</v>
      </c>
      <c r="H6" s="26"/>
      <c r="I6" s="16" t="str">
        <f t="shared" si="1"/>
        <v>iLimitValue</v>
      </c>
      <c r="J6" s="16" t="str">
        <f t="shared" si="1"/>
        <v>sParam1</v>
      </c>
      <c r="K6" s="16" t="str">
        <f t="shared" si="1"/>
        <v>sParam2</v>
      </c>
      <c r="L6" s="16" t="str">
        <f>L5&amp;L4</f>
        <v>iNecessary</v>
      </c>
      <c r="M6" s="31"/>
    </row>
    <row r="7" spans="1:22" s="3" customFormat="1" ht="14.25" x14ac:dyDescent="0.15">
      <c r="A7" s="16"/>
      <c r="B7" s="16" t="s">
        <v>11</v>
      </c>
      <c r="C7" s="16" t="s">
        <v>12</v>
      </c>
      <c r="D7" s="16" t="s">
        <v>84</v>
      </c>
      <c r="E7" s="25" t="s">
        <v>85</v>
      </c>
      <c r="F7" s="16" t="s">
        <v>86</v>
      </c>
      <c r="G7" s="16" t="s">
        <v>87</v>
      </c>
      <c r="H7" s="25" t="s">
        <v>88</v>
      </c>
      <c r="I7" s="16" t="s">
        <v>24</v>
      </c>
      <c r="J7" s="16" t="s">
        <v>89</v>
      </c>
      <c r="K7" s="16" t="s">
        <v>90</v>
      </c>
      <c r="L7" s="16" t="s">
        <v>91</v>
      </c>
      <c r="M7" s="33" t="s">
        <v>92</v>
      </c>
      <c r="P7" s="2"/>
    </row>
    <row r="8" spans="1:22" s="3" customFormat="1" ht="14.25" x14ac:dyDescent="0.15">
      <c r="A8" s="16" t="s">
        <v>17</v>
      </c>
      <c r="B8" s="16" t="e">
        <f>MODE(B9:B952)</f>
        <v>#N/A</v>
      </c>
      <c r="C8" s="16">
        <v>0</v>
      </c>
      <c r="D8" s="16">
        <v>0</v>
      </c>
      <c r="E8" s="26"/>
      <c r="F8" s="16">
        <v>0</v>
      </c>
      <c r="G8" s="16"/>
      <c r="H8" s="26"/>
      <c r="I8" s="16">
        <v>0</v>
      </c>
      <c r="J8" s="16"/>
      <c r="K8" s="16"/>
      <c r="L8" s="16">
        <v>1</v>
      </c>
      <c r="M8" s="32"/>
      <c r="P8" s="2"/>
    </row>
    <row r="9" spans="1:22" ht="14.25" x14ac:dyDescent="0.15">
      <c r="B9" s="4">
        <v>1</v>
      </c>
      <c r="C9" s="4">
        <v>10103</v>
      </c>
      <c r="D9" s="4">
        <v>106</v>
      </c>
      <c r="E9" s="24" t="s">
        <v>93</v>
      </c>
      <c r="F9" s="4"/>
      <c r="G9" s="4">
        <v>1</v>
      </c>
      <c r="H9" s="27" t="s">
        <v>94</v>
      </c>
      <c r="I9" s="4">
        <v>1</v>
      </c>
      <c r="J9" s="7">
        <v>1001</v>
      </c>
      <c r="K9" s="7"/>
      <c r="L9" s="8"/>
      <c r="M9" s="34" t="s">
        <v>95</v>
      </c>
      <c r="N9" s="8" t="s">
        <v>193</v>
      </c>
      <c r="O9" s="25" t="s">
        <v>12</v>
      </c>
      <c r="P9" s="25" t="s">
        <v>84</v>
      </c>
      <c r="Q9" s="25" t="s">
        <v>86</v>
      </c>
      <c r="R9" s="25" t="s">
        <v>87</v>
      </c>
      <c r="S9" s="25" t="s">
        <v>24</v>
      </c>
      <c r="T9" s="25" t="s">
        <v>89</v>
      </c>
      <c r="U9" s="25" t="s">
        <v>90</v>
      </c>
    </row>
    <row r="10" spans="1:22" ht="14.25" x14ac:dyDescent="0.15">
      <c r="A10" s="1"/>
      <c r="B10" s="4">
        <v>2</v>
      </c>
      <c r="C10" s="4">
        <v>10001</v>
      </c>
      <c r="D10" s="4">
        <v>101</v>
      </c>
      <c r="E10" s="24" t="s">
        <v>96</v>
      </c>
      <c r="F10" s="4"/>
      <c r="G10" s="4">
        <v>4</v>
      </c>
      <c r="H10" s="27" t="s">
        <v>97</v>
      </c>
      <c r="I10" s="4">
        <v>1</v>
      </c>
      <c r="J10" s="7">
        <v>1</v>
      </c>
      <c r="K10" s="7">
        <v>1</v>
      </c>
      <c r="L10" s="8"/>
      <c r="M10" s="34" t="s">
        <v>98</v>
      </c>
      <c r="N10" s="8" t="s">
        <v>182</v>
      </c>
      <c r="O10" s="29">
        <v>1</v>
      </c>
      <c r="P10" s="29">
        <v>101</v>
      </c>
      <c r="Q10" s="29">
        <v>0</v>
      </c>
      <c r="R10" s="29">
        <v>2</v>
      </c>
      <c r="S10" s="29">
        <v>1</v>
      </c>
      <c r="T10" s="29">
        <v>3</v>
      </c>
      <c r="U10" s="29">
        <v>1</v>
      </c>
      <c r="V10" s="30" t="s">
        <v>99</v>
      </c>
    </row>
    <row r="11" spans="1:22" ht="14.25" x14ac:dyDescent="0.15">
      <c r="A11" s="1"/>
      <c r="B11" s="4">
        <v>3</v>
      </c>
      <c r="C11" s="4">
        <v>10002</v>
      </c>
      <c r="D11" s="4">
        <v>101</v>
      </c>
      <c r="E11" s="24" t="s">
        <v>100</v>
      </c>
      <c r="F11" s="4"/>
      <c r="G11" s="4">
        <v>4</v>
      </c>
      <c r="H11" s="27" t="s">
        <v>101</v>
      </c>
      <c r="I11" s="4">
        <v>1</v>
      </c>
      <c r="J11" s="7">
        <v>1</v>
      </c>
      <c r="K11" s="7">
        <v>2</v>
      </c>
      <c r="L11" s="8"/>
      <c r="M11" s="8"/>
      <c r="N11" s="8" t="s">
        <v>183</v>
      </c>
      <c r="O11" s="29">
        <v>2</v>
      </c>
      <c r="P11" s="29">
        <v>102</v>
      </c>
      <c r="Q11" s="29">
        <v>0</v>
      </c>
      <c r="R11" s="29">
        <v>2</v>
      </c>
      <c r="S11" s="29">
        <v>30</v>
      </c>
      <c r="T11" s="29">
        <v>1</v>
      </c>
      <c r="U11" s="29"/>
      <c r="V11" s="30" t="s">
        <v>102</v>
      </c>
    </row>
    <row r="12" spans="1:22" ht="14.25" x14ac:dyDescent="0.15">
      <c r="A12" s="1"/>
      <c r="B12" s="4">
        <v>4</v>
      </c>
      <c r="C12" s="4">
        <v>10003</v>
      </c>
      <c r="D12" s="4">
        <v>101</v>
      </c>
      <c r="E12" s="24" t="s">
        <v>103</v>
      </c>
      <c r="F12" s="4"/>
      <c r="G12" s="4">
        <v>4</v>
      </c>
      <c r="H12" s="27" t="s">
        <v>104</v>
      </c>
      <c r="I12" s="4">
        <v>1</v>
      </c>
      <c r="J12" s="7">
        <v>1</v>
      </c>
      <c r="K12" s="7">
        <v>3</v>
      </c>
      <c r="L12" s="8"/>
      <c r="M12" s="8"/>
      <c r="N12" s="8" t="s">
        <v>184</v>
      </c>
      <c r="O12" s="29">
        <v>3</v>
      </c>
      <c r="P12" s="29">
        <v>103</v>
      </c>
      <c r="Q12" s="29">
        <v>0</v>
      </c>
      <c r="R12" s="29">
        <v>4</v>
      </c>
      <c r="S12" s="29">
        <v>2</v>
      </c>
      <c r="T12" s="29">
        <v>1</v>
      </c>
      <c r="U12" s="29"/>
      <c r="V12" s="30" t="s">
        <v>105</v>
      </c>
    </row>
    <row r="13" spans="1:22" ht="14.25" x14ac:dyDescent="0.15">
      <c r="A13" s="1"/>
      <c r="B13" s="4">
        <v>5</v>
      </c>
      <c r="C13" s="4">
        <v>10004</v>
      </c>
      <c r="D13" s="4">
        <v>105</v>
      </c>
      <c r="E13" s="24" t="s">
        <v>106</v>
      </c>
      <c r="F13" s="4"/>
      <c r="G13" s="4">
        <v>4</v>
      </c>
      <c r="H13" s="27" t="s">
        <v>107</v>
      </c>
      <c r="I13" s="4">
        <v>1</v>
      </c>
      <c r="J13" s="7"/>
      <c r="K13" s="7"/>
      <c r="L13" s="8"/>
      <c r="M13" s="8"/>
      <c r="N13" s="8" t="s">
        <v>185</v>
      </c>
      <c r="O13" s="29">
        <v>4</v>
      </c>
      <c r="P13" s="29">
        <v>104</v>
      </c>
      <c r="Q13" s="29">
        <v>0</v>
      </c>
      <c r="R13" s="29">
        <v>2</v>
      </c>
      <c r="S13" s="29">
        <v>1</v>
      </c>
      <c r="T13" s="29">
        <v>3</v>
      </c>
      <c r="U13" s="29">
        <v>2</v>
      </c>
      <c r="V13" s="30" t="s">
        <v>108</v>
      </c>
    </row>
    <row r="14" spans="1:22" ht="14.25" x14ac:dyDescent="0.15">
      <c r="A14" s="1"/>
      <c r="B14" s="4">
        <v>6</v>
      </c>
      <c r="C14" s="4">
        <v>10005</v>
      </c>
      <c r="D14" s="4">
        <v>101</v>
      </c>
      <c r="E14" s="24" t="s">
        <v>109</v>
      </c>
      <c r="F14" s="4"/>
      <c r="G14" s="4">
        <v>4</v>
      </c>
      <c r="H14" s="27" t="s">
        <v>110</v>
      </c>
      <c r="I14" s="4">
        <v>1</v>
      </c>
      <c r="J14" s="7">
        <v>1</v>
      </c>
      <c r="K14" s="7">
        <v>4</v>
      </c>
      <c r="L14" s="8"/>
      <c r="M14" s="8"/>
      <c r="N14" s="8" t="s">
        <v>194</v>
      </c>
      <c r="O14" s="28">
        <v>5</v>
      </c>
      <c r="P14" s="28">
        <v>105</v>
      </c>
      <c r="Q14" s="28">
        <v>0</v>
      </c>
      <c r="R14" s="28">
        <v>4</v>
      </c>
      <c r="S14" s="28">
        <v>100</v>
      </c>
      <c r="T14" s="28"/>
      <c r="U14" s="28"/>
      <c r="V14" s="24" t="s">
        <v>111</v>
      </c>
    </row>
    <row r="15" spans="1:22" ht="14.25" x14ac:dyDescent="0.15">
      <c r="A15" s="1"/>
      <c r="B15" s="4">
        <v>7</v>
      </c>
      <c r="C15" s="4">
        <v>10006</v>
      </c>
      <c r="D15" s="4">
        <v>106</v>
      </c>
      <c r="E15" s="4"/>
      <c r="F15" s="4"/>
      <c r="G15" s="4">
        <v>1</v>
      </c>
      <c r="H15" s="27" t="s">
        <v>112</v>
      </c>
      <c r="I15" s="4">
        <v>1</v>
      </c>
      <c r="J15" s="7">
        <v>31011</v>
      </c>
      <c r="K15" s="7"/>
      <c r="L15" s="8"/>
      <c r="M15" s="8"/>
      <c r="N15" s="8" t="s">
        <v>195</v>
      </c>
      <c r="O15" s="28">
        <v>6</v>
      </c>
      <c r="P15" s="28">
        <v>106</v>
      </c>
      <c r="Q15" s="28">
        <v>0</v>
      </c>
      <c r="R15" s="28">
        <v>1</v>
      </c>
      <c r="S15" s="28">
        <v>1000</v>
      </c>
      <c r="T15" s="28">
        <v>1</v>
      </c>
      <c r="U15" s="28"/>
      <c r="V15" s="24" t="s">
        <v>113</v>
      </c>
    </row>
    <row r="16" spans="1:22" x14ac:dyDescent="0.15">
      <c r="A16" s="1" t="s">
        <v>175</v>
      </c>
      <c r="B16" s="4">
        <v>8</v>
      </c>
      <c r="C16" s="4">
        <v>10007</v>
      </c>
      <c r="D16" s="4">
        <v>101</v>
      </c>
      <c r="E16" s="4"/>
      <c r="F16" s="4"/>
      <c r="G16" s="4">
        <v>4</v>
      </c>
      <c r="H16" s="4"/>
      <c r="I16" s="4">
        <v>1</v>
      </c>
      <c r="J16" s="7">
        <v>1</v>
      </c>
      <c r="K16" s="7">
        <v>5</v>
      </c>
      <c r="L16" s="8"/>
      <c r="M16" s="8"/>
      <c r="N16" s="8" t="s">
        <v>186</v>
      </c>
      <c r="P16" s="4"/>
    </row>
    <row r="17" spans="1:16" x14ac:dyDescent="0.15">
      <c r="A17" s="1"/>
      <c r="B17" s="4">
        <v>9</v>
      </c>
      <c r="C17" s="4">
        <v>10008</v>
      </c>
      <c r="D17" s="4">
        <v>101</v>
      </c>
      <c r="E17" s="4"/>
      <c r="F17" s="4"/>
      <c r="G17" s="4">
        <v>4</v>
      </c>
      <c r="H17" s="4"/>
      <c r="I17" s="4">
        <v>1</v>
      </c>
      <c r="J17" s="7">
        <v>1</v>
      </c>
      <c r="K17" s="7">
        <v>6</v>
      </c>
      <c r="L17" s="8"/>
      <c r="M17" s="8"/>
      <c r="N17" s="8" t="s">
        <v>196</v>
      </c>
      <c r="P17" s="4"/>
    </row>
    <row r="18" spans="1:16" x14ac:dyDescent="0.15">
      <c r="A18" s="1"/>
      <c r="B18" s="4">
        <v>10</v>
      </c>
      <c r="C18" s="4">
        <v>10009</v>
      </c>
      <c r="D18" s="4"/>
      <c r="E18" s="4"/>
      <c r="F18" s="4"/>
      <c r="G18" s="4"/>
      <c r="H18" s="4"/>
      <c r="I18" s="4"/>
      <c r="J18" s="7"/>
      <c r="K18" s="7"/>
      <c r="L18" s="8"/>
      <c r="M18" s="8"/>
      <c r="N18" s="8" t="s">
        <v>187</v>
      </c>
      <c r="P18" s="4"/>
    </row>
    <row r="19" spans="1:16" x14ac:dyDescent="0.15">
      <c r="A19" s="1"/>
      <c r="B19" s="4">
        <v>11</v>
      </c>
      <c r="C19" s="4">
        <v>10010</v>
      </c>
      <c r="D19" s="4"/>
      <c r="E19" s="4"/>
      <c r="F19" s="4"/>
      <c r="G19" s="4"/>
      <c r="H19" s="4"/>
      <c r="I19" s="4"/>
      <c r="J19" s="4"/>
      <c r="K19" s="4"/>
      <c r="N19" s="4" t="s">
        <v>197</v>
      </c>
      <c r="P19" s="4"/>
    </row>
    <row r="20" spans="1:16" x14ac:dyDescent="0.15">
      <c r="B20" s="4">
        <v>12</v>
      </c>
      <c r="C20" s="4">
        <v>10011</v>
      </c>
      <c r="D20" s="4"/>
      <c r="E20" s="4"/>
      <c r="F20" s="4"/>
      <c r="G20" s="4"/>
      <c r="H20" s="4"/>
      <c r="I20" s="4"/>
      <c r="J20" s="4"/>
      <c r="K20" s="4"/>
      <c r="N20" s="4" t="s">
        <v>177</v>
      </c>
      <c r="P20" s="4"/>
    </row>
    <row r="21" spans="1:16" x14ac:dyDescent="0.15">
      <c r="B21" s="4">
        <v>13</v>
      </c>
      <c r="C21" s="4">
        <v>10101</v>
      </c>
      <c r="D21" s="4">
        <v>106</v>
      </c>
      <c r="E21" s="4"/>
      <c r="F21" s="4"/>
      <c r="G21" s="4">
        <v>4</v>
      </c>
      <c r="H21" s="4"/>
      <c r="I21" s="4">
        <v>50000</v>
      </c>
      <c r="J21" s="4">
        <v>1</v>
      </c>
      <c r="K21" s="4"/>
      <c r="N21" s="4" t="s">
        <v>254</v>
      </c>
      <c r="P21" s="4"/>
    </row>
    <row r="22" spans="1:16" x14ac:dyDescent="0.15">
      <c r="B22" s="4"/>
      <c r="C22" s="4"/>
      <c r="D22" s="4"/>
      <c r="E22" s="4"/>
      <c r="F22" s="4"/>
      <c r="G22" s="4"/>
      <c r="H22" s="4"/>
      <c r="I22" s="4"/>
      <c r="J22" s="4"/>
      <c r="K22" s="4"/>
      <c r="P22" s="4"/>
    </row>
    <row r="23" spans="1:16" x14ac:dyDescent="0.15">
      <c r="B23" s="4"/>
      <c r="C23" s="4"/>
      <c r="D23" s="4"/>
      <c r="E23" s="4"/>
      <c r="F23" s="4"/>
      <c r="G23" s="4"/>
      <c r="H23" s="4"/>
      <c r="I23" s="4"/>
      <c r="J23" s="4"/>
      <c r="K23" s="4"/>
      <c r="P23" s="4"/>
    </row>
    <row r="24" spans="1:16" x14ac:dyDescent="0.15">
      <c r="B24" s="4"/>
      <c r="C24" s="4"/>
      <c r="D24" s="4"/>
      <c r="E24" s="4"/>
      <c r="F24" s="4"/>
      <c r="G24" s="4"/>
      <c r="H24" s="4"/>
      <c r="I24" s="4"/>
      <c r="J24" s="4"/>
      <c r="K24" s="4"/>
      <c r="P24" s="4"/>
    </row>
    <row r="25" spans="1:16" x14ac:dyDescent="0.15">
      <c r="B25" s="4"/>
      <c r="C25" s="4"/>
      <c r="D25" s="4"/>
      <c r="E25" s="4"/>
      <c r="F25" s="4"/>
      <c r="G25" s="4"/>
      <c r="H25" s="4"/>
      <c r="I25" s="4"/>
      <c r="J25" s="4"/>
      <c r="K25" s="4"/>
      <c r="P25" s="4"/>
    </row>
    <row r="26" spans="1:16" x14ac:dyDescent="0.15">
      <c r="B26" s="4"/>
      <c r="C26" s="4"/>
      <c r="D26" s="4"/>
      <c r="E26" s="4"/>
      <c r="F26" s="4"/>
      <c r="G26" s="4"/>
      <c r="H26" s="4"/>
      <c r="I26" s="4"/>
      <c r="J26" s="4"/>
      <c r="K26" s="4"/>
      <c r="P26" s="4"/>
    </row>
    <row r="27" spans="1:16" x14ac:dyDescent="0.15">
      <c r="B27" s="4"/>
      <c r="C27" s="4"/>
      <c r="D27" s="4"/>
      <c r="E27" s="4"/>
      <c r="F27" s="4"/>
      <c r="G27" s="4"/>
      <c r="H27" s="4"/>
      <c r="I27" s="4"/>
      <c r="J27" s="4"/>
      <c r="K27" s="4"/>
      <c r="P27" s="4"/>
    </row>
    <row r="28" spans="1:16" x14ac:dyDescent="0.15">
      <c r="B28" s="4"/>
      <c r="C28" s="4"/>
      <c r="D28" s="4"/>
      <c r="E28" s="4"/>
      <c r="F28" s="4"/>
      <c r="G28" s="4"/>
      <c r="H28" s="4"/>
      <c r="I28" s="4"/>
      <c r="J28" s="4"/>
      <c r="K28" s="4"/>
      <c r="P28" s="4"/>
    </row>
    <row r="29" spans="1:16" x14ac:dyDescent="0.15">
      <c r="B29" s="4"/>
      <c r="C29" s="4"/>
      <c r="D29" s="4"/>
      <c r="E29" s="4"/>
      <c r="F29" s="4"/>
      <c r="G29" s="4"/>
      <c r="H29" s="4"/>
      <c r="I29" s="4"/>
      <c r="J29" s="4"/>
      <c r="K29" s="4"/>
      <c r="P29" s="4"/>
    </row>
    <row r="30" spans="1:16" x14ac:dyDescent="0.15">
      <c r="B30" s="4"/>
      <c r="C30" s="4"/>
      <c r="D30" s="4"/>
      <c r="E30" s="4"/>
      <c r="F30" s="4"/>
      <c r="G30" s="4"/>
      <c r="H30" s="4"/>
      <c r="I30" s="4"/>
      <c r="J30" s="4"/>
      <c r="K30" s="4"/>
      <c r="P30" s="4"/>
    </row>
    <row r="31" spans="1:16" x14ac:dyDescent="0.15">
      <c r="B31" s="4"/>
      <c r="C31" s="4"/>
      <c r="D31" s="4"/>
      <c r="E31" s="4"/>
      <c r="F31" s="4"/>
      <c r="G31" s="4"/>
      <c r="H31" s="4"/>
      <c r="I31" s="4"/>
      <c r="J31" s="4"/>
      <c r="K31" s="4"/>
      <c r="P31" s="4"/>
    </row>
    <row r="32" spans="1:16" x14ac:dyDescent="0.15">
      <c r="B32" s="4"/>
      <c r="C32" s="4"/>
      <c r="D32" s="4"/>
      <c r="E32" s="4"/>
      <c r="F32" s="4"/>
      <c r="G32" s="4"/>
      <c r="H32" s="4"/>
      <c r="I32" s="4"/>
      <c r="J32" s="4"/>
      <c r="K32" s="4"/>
      <c r="P32" s="4"/>
    </row>
    <row r="33" spans="2:16" x14ac:dyDescent="0.15">
      <c r="B33" s="4"/>
      <c r="C33" s="4"/>
      <c r="D33" s="4"/>
      <c r="E33" s="4"/>
      <c r="F33" s="4"/>
      <c r="G33" s="4"/>
      <c r="H33" s="4"/>
      <c r="I33" s="4"/>
      <c r="J33" s="4"/>
      <c r="K33" s="4"/>
      <c r="P33" s="4"/>
    </row>
    <row r="34" spans="2:16" x14ac:dyDescent="0.15">
      <c r="B34" s="4"/>
      <c r="C34" s="4"/>
      <c r="D34" s="4"/>
      <c r="E34" s="4"/>
      <c r="F34" s="4"/>
      <c r="G34" s="4"/>
      <c r="H34" s="4"/>
      <c r="I34" s="4"/>
      <c r="J34" s="4"/>
      <c r="K34" s="4"/>
      <c r="P34" s="4"/>
    </row>
    <row r="35" spans="2:16" x14ac:dyDescent="0.15">
      <c r="B35" s="4"/>
      <c r="C35" s="4"/>
      <c r="D35" s="4"/>
      <c r="E35" s="4"/>
      <c r="F35" s="4"/>
      <c r="G35" s="4"/>
      <c r="H35" s="4"/>
      <c r="I35" s="4"/>
      <c r="J35" s="7"/>
      <c r="K35" s="7"/>
      <c r="L35" s="8"/>
      <c r="M35" s="8"/>
      <c r="N35" s="8"/>
      <c r="P35" s="4"/>
    </row>
    <row r="36" spans="2:16" x14ac:dyDescent="0.15">
      <c r="B36" s="4"/>
      <c r="C36" s="4"/>
      <c r="D36" s="4"/>
      <c r="E36" s="4"/>
      <c r="F36" s="4"/>
      <c r="G36" s="4"/>
      <c r="H36" s="4"/>
      <c r="I36" s="4"/>
      <c r="J36" s="7"/>
      <c r="K36" s="7"/>
      <c r="L36" s="8"/>
      <c r="M36" s="8"/>
      <c r="N36" s="8"/>
      <c r="P36" s="4"/>
    </row>
    <row r="37" spans="2:16" x14ac:dyDescent="0.15">
      <c r="B37" s="4"/>
      <c r="C37" s="4"/>
      <c r="D37" s="4"/>
      <c r="E37" s="4"/>
      <c r="F37" s="4"/>
      <c r="G37" s="4"/>
      <c r="H37" s="4"/>
      <c r="I37" s="4"/>
      <c r="J37" s="7"/>
      <c r="K37" s="7"/>
      <c r="L37" s="8"/>
      <c r="M37" s="8"/>
      <c r="N37" s="8"/>
      <c r="P37" s="4"/>
    </row>
    <row r="38" spans="2:16" x14ac:dyDescent="0.15">
      <c r="B38" s="4"/>
      <c r="C38" s="4"/>
      <c r="D38" s="4"/>
      <c r="E38" s="4"/>
      <c r="F38" s="4"/>
      <c r="G38" s="4"/>
      <c r="H38" s="4"/>
      <c r="I38" s="4"/>
      <c r="J38" s="7"/>
      <c r="K38" s="7"/>
      <c r="L38" s="8"/>
      <c r="M38" s="8"/>
      <c r="N38" s="8"/>
      <c r="P38" s="4"/>
    </row>
    <row r="39" spans="2:16" x14ac:dyDescent="0.15">
      <c r="B39" s="4"/>
      <c r="C39" s="4"/>
      <c r="D39" s="4"/>
      <c r="E39" s="4"/>
      <c r="F39" s="4"/>
      <c r="G39" s="4"/>
      <c r="H39" s="4"/>
      <c r="I39" s="4"/>
      <c r="J39" s="7"/>
      <c r="K39" s="7"/>
      <c r="L39" s="8"/>
      <c r="M39" s="8"/>
      <c r="N39" s="8"/>
      <c r="P39" s="4"/>
    </row>
    <row r="40" spans="2:16" x14ac:dyDescent="0.15">
      <c r="B40" s="4"/>
      <c r="C40" s="4"/>
      <c r="D40" s="4"/>
      <c r="E40" s="4"/>
      <c r="F40" s="4"/>
      <c r="G40" s="4"/>
      <c r="H40" s="4"/>
      <c r="I40" s="4"/>
      <c r="J40" s="4"/>
      <c r="K40" s="4"/>
      <c r="P40" s="4"/>
    </row>
    <row r="41" spans="2:16" x14ac:dyDescent="0.15">
      <c r="B41" s="4"/>
      <c r="C41" s="4"/>
      <c r="D41" s="4"/>
      <c r="E41" s="4"/>
      <c r="F41" s="4"/>
      <c r="G41" s="4"/>
      <c r="H41" s="4"/>
      <c r="I41" s="4"/>
      <c r="J41" s="4"/>
      <c r="K41" s="4"/>
      <c r="P41" s="4"/>
    </row>
    <row r="42" spans="2:16" x14ac:dyDescent="0.15">
      <c r="B42" s="4"/>
      <c r="C42" s="4"/>
      <c r="D42" s="4"/>
      <c r="E42" s="4"/>
      <c r="F42" s="4"/>
      <c r="G42" s="4"/>
      <c r="H42" s="4"/>
      <c r="I42" s="4"/>
      <c r="J42" s="4"/>
      <c r="K42" s="4"/>
      <c r="P42" s="4"/>
    </row>
    <row r="43" spans="2:16" x14ac:dyDescent="0.15">
      <c r="B43" s="4"/>
      <c r="C43" s="4"/>
      <c r="D43" s="4"/>
      <c r="E43" s="4"/>
      <c r="F43" s="4"/>
      <c r="G43" s="4"/>
      <c r="H43" s="4"/>
      <c r="I43" s="4"/>
      <c r="J43" s="4"/>
      <c r="K43" s="4"/>
      <c r="P43" s="4"/>
    </row>
    <row r="44" spans="2:16" x14ac:dyDescent="0.15">
      <c r="B44" s="4"/>
      <c r="C44" s="4"/>
      <c r="D44" s="4"/>
      <c r="E44" s="4"/>
      <c r="F44" s="4"/>
      <c r="G44" s="4"/>
      <c r="H44" s="4"/>
      <c r="I44" s="4"/>
      <c r="J44" s="4"/>
      <c r="K44" s="4"/>
      <c r="P44" s="4"/>
    </row>
    <row r="45" spans="2:16" x14ac:dyDescent="0.15">
      <c r="B45" s="4"/>
      <c r="C45" s="4"/>
      <c r="D45" s="4"/>
      <c r="E45" s="4"/>
      <c r="F45" s="4"/>
      <c r="G45" s="4"/>
      <c r="H45" s="4"/>
      <c r="I45" s="4"/>
      <c r="J45" s="4"/>
      <c r="K45" s="4"/>
      <c r="P45" s="4"/>
    </row>
    <row r="46" spans="2:16" x14ac:dyDescent="0.15">
      <c r="B46" s="4"/>
      <c r="C46" s="4"/>
      <c r="D46" s="4"/>
      <c r="E46" s="4"/>
      <c r="F46" s="4"/>
      <c r="G46" s="4"/>
      <c r="H46" s="4"/>
      <c r="I46" s="4"/>
      <c r="J46" s="4"/>
      <c r="K46" s="4"/>
      <c r="P46" s="4"/>
    </row>
    <row r="47" spans="2:16" x14ac:dyDescent="0.15">
      <c r="B47" s="4"/>
      <c r="C47" s="4"/>
      <c r="D47" s="4"/>
      <c r="E47" s="4"/>
      <c r="F47" s="4"/>
      <c r="G47" s="4"/>
      <c r="H47" s="4"/>
      <c r="I47" s="4"/>
      <c r="J47" s="4"/>
      <c r="K47" s="4"/>
      <c r="P47" s="4"/>
    </row>
    <row r="48" spans="2:16" x14ac:dyDescent="0.15">
      <c r="B48" s="4"/>
      <c r="C48" s="4"/>
      <c r="D48" s="4"/>
      <c r="E48" s="4"/>
      <c r="F48" s="4"/>
      <c r="G48" s="4"/>
      <c r="H48" s="4"/>
      <c r="I48" s="4"/>
      <c r="J48" s="4"/>
      <c r="K48" s="4"/>
      <c r="P48" s="4"/>
    </row>
    <row r="49" spans="2:16" x14ac:dyDescent="0.15">
      <c r="B49" s="4"/>
      <c r="C49" s="4"/>
      <c r="D49" s="4"/>
      <c r="E49" s="4"/>
      <c r="F49" s="4"/>
      <c r="G49" s="4"/>
      <c r="H49" s="4"/>
      <c r="I49" s="4"/>
      <c r="J49" s="4"/>
      <c r="K49" s="4"/>
      <c r="P49" s="4"/>
    </row>
    <row r="50" spans="2:16" x14ac:dyDescent="0.15">
      <c r="B50" s="4"/>
      <c r="C50" s="4"/>
      <c r="D50" s="4"/>
      <c r="E50" s="4"/>
      <c r="F50" s="4"/>
      <c r="G50" s="4"/>
      <c r="H50" s="4"/>
      <c r="I50" s="4"/>
      <c r="J50" s="4"/>
      <c r="K50" s="4"/>
      <c r="P50" s="4"/>
    </row>
    <row r="51" spans="2:16" x14ac:dyDescent="0.15">
      <c r="B51" s="4"/>
      <c r="C51" s="4"/>
      <c r="D51" s="4"/>
      <c r="E51" s="4"/>
      <c r="F51" s="4"/>
      <c r="G51" s="4"/>
      <c r="H51" s="4"/>
      <c r="I51" s="4"/>
      <c r="J51" s="4"/>
      <c r="K51" s="4"/>
      <c r="P51" s="4"/>
    </row>
    <row r="52" spans="2:16" x14ac:dyDescent="0.15">
      <c r="B52" s="4"/>
      <c r="C52" s="4"/>
      <c r="D52" s="4"/>
      <c r="E52" s="4"/>
      <c r="F52" s="4"/>
      <c r="G52" s="4"/>
      <c r="H52" s="4"/>
      <c r="I52" s="4"/>
      <c r="J52" s="4"/>
      <c r="K52" s="4"/>
      <c r="P52" s="4"/>
    </row>
    <row r="53" spans="2:16" x14ac:dyDescent="0.15">
      <c r="B53" s="4"/>
      <c r="C53" s="4"/>
      <c r="D53" s="4"/>
      <c r="E53" s="4"/>
      <c r="F53" s="4"/>
      <c r="G53" s="4"/>
      <c r="H53" s="4"/>
      <c r="I53" s="4"/>
      <c r="J53" s="4"/>
      <c r="K53" s="4"/>
      <c r="P53" s="4"/>
    </row>
    <row r="54" spans="2:16" x14ac:dyDescent="0.15">
      <c r="B54" s="4"/>
      <c r="C54" s="4"/>
      <c r="D54" s="4"/>
      <c r="E54" s="4"/>
      <c r="F54" s="4"/>
      <c r="G54" s="4"/>
      <c r="H54" s="4"/>
      <c r="I54" s="4"/>
      <c r="J54" s="4"/>
      <c r="K54" s="4"/>
      <c r="P54" s="4"/>
    </row>
    <row r="55" spans="2:16" x14ac:dyDescent="0.15">
      <c r="B55" s="4"/>
      <c r="C55" s="4"/>
      <c r="D55" s="4"/>
      <c r="E55" s="4"/>
      <c r="F55" s="4"/>
      <c r="G55" s="4"/>
      <c r="H55" s="4"/>
      <c r="I55" s="4"/>
      <c r="J55" s="4"/>
      <c r="K55" s="4"/>
      <c r="P55" s="4"/>
    </row>
    <row r="56" spans="2:16" x14ac:dyDescent="0.15">
      <c r="B56" s="4"/>
      <c r="C56" s="4"/>
      <c r="D56" s="4"/>
      <c r="E56" s="4"/>
      <c r="F56" s="4"/>
      <c r="G56" s="4"/>
      <c r="H56" s="4"/>
      <c r="I56" s="4"/>
      <c r="J56" s="4"/>
      <c r="K56" s="4"/>
      <c r="P56" s="4"/>
    </row>
    <row r="57" spans="2:16" x14ac:dyDescent="0.15">
      <c r="B57" s="4"/>
      <c r="C57" s="4"/>
      <c r="D57" s="4"/>
      <c r="E57" s="4"/>
      <c r="F57" s="4"/>
      <c r="G57" s="4"/>
      <c r="H57" s="4"/>
      <c r="I57" s="4"/>
      <c r="J57" s="4"/>
      <c r="K57" s="4"/>
      <c r="P57" s="4"/>
    </row>
    <row r="58" spans="2:16" x14ac:dyDescent="0.15">
      <c r="B58" s="4"/>
      <c r="C58" s="4"/>
      <c r="D58" s="4"/>
      <c r="E58" s="4"/>
      <c r="F58" s="4"/>
      <c r="G58" s="4"/>
      <c r="H58" s="4"/>
      <c r="I58" s="4"/>
      <c r="J58" s="4"/>
      <c r="K58" s="4"/>
      <c r="P58" s="4"/>
    </row>
    <row r="59" spans="2:16" x14ac:dyDescent="0.15">
      <c r="B59" s="4"/>
      <c r="C59" s="4"/>
      <c r="D59" s="4"/>
      <c r="E59" s="4"/>
      <c r="F59" s="4"/>
      <c r="G59" s="4"/>
      <c r="H59" s="4"/>
      <c r="I59" s="4"/>
      <c r="J59" s="4"/>
      <c r="K59" s="4"/>
      <c r="P59" s="4"/>
    </row>
    <row r="60" spans="2:16" x14ac:dyDescent="0.15">
      <c r="B60" s="4"/>
      <c r="C60" s="4"/>
      <c r="D60" s="4"/>
      <c r="E60" s="4"/>
      <c r="F60" s="4"/>
      <c r="G60" s="4"/>
      <c r="H60" s="4"/>
      <c r="I60" s="4"/>
      <c r="J60" s="4"/>
      <c r="K60" s="4"/>
      <c r="P60" s="4"/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71"/>
  <sheetViews>
    <sheetView workbookViewId="0">
      <pane ySplit="1" topLeftCell="A8" activePane="bottomLeft" state="frozen"/>
      <selection pane="bottomLeft" activeCell="A37" sqref="A37:B37"/>
    </sheetView>
  </sheetViews>
  <sheetFormatPr defaultColWidth="9" defaultRowHeight="13.5" x14ac:dyDescent="0.15"/>
  <cols>
    <col min="1" max="1" width="10.625" style="6" customWidth="1"/>
    <col min="2" max="2" width="13.75" style="6" bestFit="1" customWidth="1"/>
    <col min="3" max="3" width="10.625" style="4" bestFit="1" customWidth="1"/>
    <col min="4" max="5" width="9" style="4" customWidth="1"/>
    <col min="6" max="6" width="28.75" style="6" bestFit="1" customWidth="1"/>
    <col min="7" max="7" width="9" style="4" customWidth="1"/>
    <col min="8" max="8" width="10.5" style="4" bestFit="1" customWidth="1"/>
    <col min="9" max="9" width="13.875" style="4" bestFit="1" customWidth="1"/>
    <col min="10" max="10" width="9" style="4" customWidth="1"/>
    <col min="11" max="11" width="16.75" style="4" bestFit="1" customWidth="1"/>
    <col min="12" max="12" width="27.375" style="4" bestFit="1" customWidth="1"/>
    <col min="13" max="13" width="27.875" style="4" customWidth="1"/>
    <col min="14" max="17" width="9" style="4" customWidth="1"/>
    <col min="18" max="18" width="79.875" style="4" customWidth="1"/>
    <col min="19" max="23" width="9" style="4" customWidth="1"/>
    <col min="24" max="16384" width="9" style="4"/>
  </cols>
  <sheetData>
    <row r="1" spans="1:12" ht="14.25" x14ac:dyDescent="0.15">
      <c r="A1" s="16" t="s">
        <v>114</v>
      </c>
      <c r="B1" s="16" t="s">
        <v>115</v>
      </c>
      <c r="C1" s="16"/>
      <c r="D1" s="16"/>
      <c r="E1" s="16" t="s">
        <v>116</v>
      </c>
      <c r="F1" s="16" t="s">
        <v>117</v>
      </c>
      <c r="H1" s="16" t="s">
        <v>118</v>
      </c>
      <c r="I1" s="16" t="s">
        <v>119</v>
      </c>
      <c r="K1" s="16" t="s">
        <v>120</v>
      </c>
      <c r="L1" s="16" t="s">
        <v>121</v>
      </c>
    </row>
    <row r="2" spans="1:12" ht="14.25" x14ac:dyDescent="0.15">
      <c r="A2" s="42">
        <v>2001</v>
      </c>
      <c r="B2" s="45" t="s">
        <v>295</v>
      </c>
      <c r="C2" s="21"/>
      <c r="D2" s="21"/>
      <c r="E2" s="18">
        <v>1001</v>
      </c>
      <c r="F2" s="21" t="s">
        <v>122</v>
      </c>
      <c r="H2" s="18">
        <v>1</v>
      </c>
      <c r="I2" s="21" t="s">
        <v>123</v>
      </c>
      <c r="K2" s="18" t="s">
        <v>124</v>
      </c>
      <c r="L2" s="21" t="s">
        <v>125</v>
      </c>
    </row>
    <row r="3" spans="1:12" ht="14.25" x14ac:dyDescent="0.15">
      <c r="A3" s="42">
        <v>2002</v>
      </c>
      <c r="B3" s="45" t="s">
        <v>296</v>
      </c>
      <c r="C3" s="21"/>
      <c r="D3" s="21"/>
      <c r="E3" s="18">
        <v>1002</v>
      </c>
      <c r="F3" s="21" t="s">
        <v>126</v>
      </c>
      <c r="H3" s="18">
        <v>2</v>
      </c>
      <c r="I3" s="21" t="s">
        <v>127</v>
      </c>
      <c r="K3" s="18"/>
      <c r="L3" s="21"/>
    </row>
    <row r="4" spans="1:12" ht="14.25" x14ac:dyDescent="0.15">
      <c r="A4" s="42">
        <v>2003</v>
      </c>
      <c r="B4" s="45" t="s">
        <v>297</v>
      </c>
      <c r="C4" s="21"/>
      <c r="D4" s="21"/>
      <c r="E4" s="18">
        <v>1003</v>
      </c>
      <c r="F4" s="21" t="s">
        <v>128</v>
      </c>
      <c r="H4" s="18">
        <v>3</v>
      </c>
      <c r="I4" s="21" t="s">
        <v>129</v>
      </c>
      <c r="K4" s="18" t="s">
        <v>130</v>
      </c>
      <c r="L4" s="21" t="s">
        <v>131</v>
      </c>
    </row>
    <row r="5" spans="1:12" ht="14.25" x14ac:dyDescent="0.15">
      <c r="A5" s="42">
        <v>2004</v>
      </c>
      <c r="B5" s="45" t="s">
        <v>292</v>
      </c>
      <c r="C5" s="21"/>
      <c r="D5" s="21"/>
      <c r="E5" s="18"/>
      <c r="F5" s="21"/>
      <c r="H5" s="18">
        <v>4</v>
      </c>
      <c r="I5" s="21" t="s">
        <v>132</v>
      </c>
    </row>
    <row r="6" spans="1:12" ht="14.25" x14ac:dyDescent="0.15">
      <c r="A6" s="42">
        <v>2005</v>
      </c>
      <c r="B6" s="45" t="s">
        <v>298</v>
      </c>
      <c r="C6" s="21"/>
      <c r="D6" s="21"/>
      <c r="E6" s="18">
        <v>1005</v>
      </c>
      <c r="F6" s="21" t="s">
        <v>133</v>
      </c>
      <c r="H6" s="18">
        <v>5</v>
      </c>
      <c r="I6" s="21" t="s">
        <v>134</v>
      </c>
    </row>
    <row r="7" spans="1:12" ht="14.25" x14ac:dyDescent="0.15">
      <c r="A7" s="42">
        <v>2006</v>
      </c>
      <c r="B7" s="45" t="s">
        <v>299</v>
      </c>
      <c r="C7" s="21"/>
      <c r="D7" s="21"/>
      <c r="E7" s="42">
        <v>1006</v>
      </c>
      <c r="F7" s="45" t="s">
        <v>135</v>
      </c>
      <c r="H7" s="18">
        <v>6</v>
      </c>
      <c r="I7" s="21" t="s">
        <v>136</v>
      </c>
    </row>
    <row r="8" spans="1:12" ht="14.25" x14ac:dyDescent="0.15">
      <c r="A8" s="42">
        <v>2007</v>
      </c>
      <c r="B8" s="45" t="s">
        <v>300</v>
      </c>
      <c r="C8" s="22"/>
      <c r="D8" s="22"/>
      <c r="E8" s="42">
        <v>1007</v>
      </c>
      <c r="F8" s="45" t="s">
        <v>191</v>
      </c>
      <c r="H8" s="18">
        <v>0</v>
      </c>
      <c r="I8" s="21" t="s">
        <v>137</v>
      </c>
    </row>
    <row r="9" spans="1:12" ht="14.25" x14ac:dyDescent="0.15">
      <c r="A9" s="42">
        <v>2008</v>
      </c>
      <c r="B9" s="43" t="s">
        <v>301</v>
      </c>
      <c r="C9" s="22"/>
      <c r="D9" s="22"/>
      <c r="E9" s="42">
        <v>1008</v>
      </c>
      <c r="F9" s="45" t="s">
        <v>407</v>
      </c>
    </row>
    <row r="10" spans="1:12" ht="14.25" x14ac:dyDescent="0.15">
      <c r="A10" s="42">
        <v>2009</v>
      </c>
      <c r="B10" s="62" t="s">
        <v>188</v>
      </c>
      <c r="C10" s="22"/>
      <c r="D10" s="22"/>
      <c r="E10" s="42">
        <v>1009</v>
      </c>
      <c r="F10" s="45" t="s">
        <v>192</v>
      </c>
    </row>
    <row r="11" spans="1:12" ht="14.25" x14ac:dyDescent="0.15">
      <c r="A11" s="42">
        <v>2010</v>
      </c>
      <c r="B11" s="62" t="s">
        <v>189</v>
      </c>
      <c r="C11" s="44"/>
      <c r="D11" s="44"/>
      <c r="E11" s="42">
        <v>1010</v>
      </c>
      <c r="F11" s="45" t="s">
        <v>138</v>
      </c>
    </row>
    <row r="12" spans="1:12" ht="14.25" x14ac:dyDescent="0.15">
      <c r="A12" s="42">
        <v>2011</v>
      </c>
      <c r="B12" s="43" t="s">
        <v>190</v>
      </c>
      <c r="C12" s="44"/>
      <c r="D12" s="44"/>
      <c r="E12" s="42">
        <v>1011</v>
      </c>
      <c r="F12" s="45" t="s">
        <v>139</v>
      </c>
    </row>
    <row r="13" spans="1:12" ht="14.25" x14ac:dyDescent="0.15">
      <c r="A13" s="42">
        <v>2012</v>
      </c>
      <c r="B13" s="63" t="s">
        <v>302</v>
      </c>
      <c r="C13" s="44"/>
      <c r="D13" s="44"/>
      <c r="E13" s="42">
        <v>1012</v>
      </c>
      <c r="F13" s="45" t="s">
        <v>198</v>
      </c>
    </row>
    <row r="14" spans="1:12" ht="14.25" x14ac:dyDescent="0.15">
      <c r="A14" s="42">
        <v>2013</v>
      </c>
      <c r="B14" s="63" t="s">
        <v>303</v>
      </c>
      <c r="C14" s="44"/>
      <c r="D14" s="44"/>
      <c r="E14" s="42">
        <v>1013</v>
      </c>
      <c r="F14" s="45" t="s">
        <v>199</v>
      </c>
    </row>
    <row r="15" spans="1:12" ht="14.25" x14ac:dyDescent="0.15">
      <c r="A15" s="42">
        <v>2014</v>
      </c>
      <c r="B15" s="63" t="s">
        <v>304</v>
      </c>
      <c r="C15" s="8"/>
      <c r="D15" s="8"/>
      <c r="E15" s="42">
        <v>1014</v>
      </c>
      <c r="F15" s="45" t="s">
        <v>200</v>
      </c>
    </row>
    <row r="16" spans="1:12" ht="14.25" x14ac:dyDescent="0.15">
      <c r="A16" s="42">
        <v>2015</v>
      </c>
      <c r="B16" s="63" t="s">
        <v>305</v>
      </c>
      <c r="C16" s="8"/>
      <c r="D16" s="8"/>
      <c r="E16" s="42">
        <v>1015</v>
      </c>
      <c r="F16" s="45" t="s">
        <v>201</v>
      </c>
    </row>
    <row r="17" spans="1:18" ht="14.25" x14ac:dyDescent="0.15">
      <c r="A17" s="42">
        <v>2016</v>
      </c>
      <c r="B17" s="63" t="s">
        <v>306</v>
      </c>
      <c r="C17" s="8"/>
      <c r="D17" s="8"/>
      <c r="E17" s="42">
        <v>1016</v>
      </c>
      <c r="F17" s="45" t="s">
        <v>202</v>
      </c>
    </row>
    <row r="18" spans="1:18" ht="14.25" x14ac:dyDescent="0.15">
      <c r="A18" s="42">
        <v>2017</v>
      </c>
      <c r="B18" s="63" t="s">
        <v>307</v>
      </c>
      <c r="C18" s="8"/>
      <c r="D18" s="8"/>
      <c r="E18" s="42">
        <v>1017</v>
      </c>
      <c r="F18" s="45" t="s">
        <v>203</v>
      </c>
    </row>
    <row r="19" spans="1:18" ht="14.25" x14ac:dyDescent="0.15">
      <c r="A19" s="42">
        <v>2018</v>
      </c>
      <c r="B19" s="63" t="s">
        <v>308</v>
      </c>
      <c r="C19" s="8"/>
      <c r="D19" s="8"/>
      <c r="E19" s="42">
        <v>1018</v>
      </c>
      <c r="F19" s="45" t="s">
        <v>204</v>
      </c>
    </row>
    <row r="20" spans="1:18" ht="14.25" x14ac:dyDescent="0.15">
      <c r="A20" s="42">
        <v>2019</v>
      </c>
      <c r="B20" s="62" t="s">
        <v>309</v>
      </c>
      <c r="C20" s="8"/>
      <c r="D20" s="8"/>
      <c r="E20" s="42">
        <v>1019</v>
      </c>
      <c r="F20" s="45" t="s">
        <v>205</v>
      </c>
    </row>
    <row r="21" spans="1:18" ht="14.25" x14ac:dyDescent="0.15">
      <c r="A21" s="42">
        <v>2020</v>
      </c>
      <c r="B21" s="6" t="s">
        <v>319</v>
      </c>
      <c r="C21" s="8"/>
      <c r="D21" s="8"/>
      <c r="E21" s="42">
        <v>1020</v>
      </c>
      <c r="F21" s="45" t="s">
        <v>256</v>
      </c>
      <c r="K21" s="16" t="s">
        <v>12</v>
      </c>
      <c r="L21" s="16" t="s">
        <v>84</v>
      </c>
      <c r="M21" s="16" t="s">
        <v>86</v>
      </c>
      <c r="N21" s="16" t="s">
        <v>87</v>
      </c>
      <c r="O21" s="16" t="s">
        <v>24</v>
      </c>
      <c r="P21" s="16" t="s">
        <v>89</v>
      </c>
      <c r="Q21" s="16" t="s">
        <v>90</v>
      </c>
    </row>
    <row r="22" spans="1:18" ht="14.25" x14ac:dyDescent="0.15">
      <c r="A22" s="42">
        <v>2021</v>
      </c>
      <c r="B22" s="6" t="s">
        <v>320</v>
      </c>
      <c r="C22" s="8"/>
      <c r="D22" s="8"/>
      <c r="E22" s="42">
        <v>1021</v>
      </c>
      <c r="F22" s="45" t="s">
        <v>257</v>
      </c>
      <c r="K22" s="16">
        <v>0</v>
      </c>
      <c r="L22" s="16">
        <v>0</v>
      </c>
      <c r="M22" s="16">
        <v>0</v>
      </c>
      <c r="N22" s="16"/>
      <c r="O22" s="16">
        <v>0</v>
      </c>
      <c r="P22" s="16"/>
      <c r="Q22" s="16"/>
    </row>
    <row r="23" spans="1:18" ht="14.25" x14ac:dyDescent="0.15">
      <c r="A23" s="42">
        <v>2050</v>
      </c>
      <c r="B23" s="62" t="s">
        <v>310</v>
      </c>
      <c r="C23" s="8"/>
      <c r="D23" s="8"/>
      <c r="E23" s="42">
        <v>1022</v>
      </c>
      <c r="F23" s="45" t="s">
        <v>258</v>
      </c>
      <c r="K23" s="19">
        <v>1</v>
      </c>
      <c r="L23" s="19">
        <v>101</v>
      </c>
      <c r="M23" s="19">
        <v>0</v>
      </c>
      <c r="N23" s="19">
        <v>2</v>
      </c>
      <c r="O23" s="19">
        <v>1</v>
      </c>
      <c r="P23" s="20">
        <v>3</v>
      </c>
      <c r="Q23" s="20">
        <v>1</v>
      </c>
      <c r="R23" s="4" t="s">
        <v>140</v>
      </c>
    </row>
    <row r="24" spans="1:18" ht="14.25" x14ac:dyDescent="0.15">
      <c r="A24" s="42">
        <v>2100</v>
      </c>
      <c r="B24" s="62" t="s">
        <v>293</v>
      </c>
      <c r="C24" s="8"/>
      <c r="D24" s="8"/>
      <c r="E24" s="42">
        <v>1023</v>
      </c>
      <c r="F24" s="45" t="s">
        <v>259</v>
      </c>
      <c r="K24" s="4">
        <v>2</v>
      </c>
      <c r="L24" s="4">
        <v>102</v>
      </c>
      <c r="M24" s="4">
        <v>0</v>
      </c>
      <c r="N24" s="4">
        <v>2</v>
      </c>
      <c r="O24" s="4">
        <v>30</v>
      </c>
      <c r="P24" s="7">
        <v>1</v>
      </c>
      <c r="Q24" s="7"/>
      <c r="R24" s="4" t="s">
        <v>141</v>
      </c>
    </row>
    <row r="25" spans="1:18" ht="14.25" x14ac:dyDescent="0.15">
      <c r="A25" s="42">
        <v>2101</v>
      </c>
      <c r="B25" s="62" t="s">
        <v>311</v>
      </c>
      <c r="C25" s="8"/>
      <c r="D25" s="8"/>
      <c r="E25" s="42">
        <v>1024</v>
      </c>
      <c r="F25" s="45" t="s">
        <v>260</v>
      </c>
      <c r="K25" s="4">
        <v>3</v>
      </c>
      <c r="L25" s="4">
        <v>103</v>
      </c>
      <c r="M25" s="4">
        <v>0</v>
      </c>
      <c r="N25" s="4">
        <v>4</v>
      </c>
      <c r="O25" s="4">
        <v>2</v>
      </c>
      <c r="P25" s="7">
        <v>1</v>
      </c>
      <c r="Q25" s="7"/>
      <c r="R25" s="4" t="s">
        <v>142</v>
      </c>
    </row>
    <row r="26" spans="1:18" ht="14.25" x14ac:dyDescent="0.15">
      <c r="A26" s="42">
        <v>2102</v>
      </c>
      <c r="B26" s="62" t="s">
        <v>312</v>
      </c>
      <c r="D26" s="8"/>
      <c r="E26" s="42">
        <v>1025</v>
      </c>
      <c r="F26" s="6" t="s">
        <v>325</v>
      </c>
      <c r="K26" s="4">
        <v>3</v>
      </c>
      <c r="L26" s="4">
        <v>101</v>
      </c>
      <c r="M26" s="4">
        <v>0</v>
      </c>
      <c r="N26" s="4">
        <v>2</v>
      </c>
      <c r="O26" s="4">
        <v>1</v>
      </c>
      <c r="P26" s="7">
        <v>3</v>
      </c>
      <c r="Q26" s="7">
        <v>2</v>
      </c>
      <c r="R26" s="4" t="s">
        <v>143</v>
      </c>
    </row>
    <row r="27" spans="1:18" ht="14.25" x14ac:dyDescent="0.15">
      <c r="A27" s="42">
        <v>2103</v>
      </c>
      <c r="B27" s="62" t="s">
        <v>294</v>
      </c>
      <c r="D27" s="8"/>
      <c r="E27" s="42">
        <v>1026</v>
      </c>
      <c r="F27" s="62" t="s">
        <v>351</v>
      </c>
    </row>
    <row r="28" spans="1:18" ht="14.25" x14ac:dyDescent="0.15">
      <c r="A28" s="42">
        <v>2104</v>
      </c>
      <c r="B28" s="63" t="s">
        <v>365</v>
      </c>
      <c r="D28" s="8"/>
      <c r="E28" s="42">
        <v>1027</v>
      </c>
      <c r="F28" s="45" t="s">
        <v>352</v>
      </c>
    </row>
    <row r="29" spans="1:18" ht="14.25" x14ac:dyDescent="0.15">
      <c r="A29" s="42">
        <v>2105</v>
      </c>
      <c r="B29" s="62" t="s">
        <v>366</v>
      </c>
      <c r="D29" s="8"/>
      <c r="E29" s="42">
        <v>1028</v>
      </c>
      <c r="F29" s="62" t="s">
        <v>353</v>
      </c>
    </row>
    <row r="30" spans="1:18" ht="14.25" x14ac:dyDescent="0.15">
      <c r="A30" s="42">
        <v>2106</v>
      </c>
      <c r="B30" s="62" t="s">
        <v>367</v>
      </c>
      <c r="E30" s="42">
        <v>1029</v>
      </c>
      <c r="F30" s="62" t="s">
        <v>354</v>
      </c>
    </row>
    <row r="31" spans="1:18" ht="14.25" x14ac:dyDescent="0.15">
      <c r="A31" s="42">
        <v>2107</v>
      </c>
      <c r="B31" s="62" t="s">
        <v>368</v>
      </c>
      <c r="E31" s="42">
        <v>1030</v>
      </c>
      <c r="F31" s="62" t="s">
        <v>355</v>
      </c>
      <c r="J31" s="16" t="s">
        <v>262</v>
      </c>
      <c r="K31" s="16" t="s">
        <v>263</v>
      </c>
      <c r="L31" s="16" t="s">
        <v>272</v>
      </c>
    </row>
    <row r="32" spans="1:18" ht="14.25" x14ac:dyDescent="0.15">
      <c r="A32" s="42">
        <v>2108</v>
      </c>
      <c r="B32" s="62" t="s">
        <v>369</v>
      </c>
      <c r="E32" s="42">
        <v>1031</v>
      </c>
      <c r="F32" s="62" t="s">
        <v>356</v>
      </c>
      <c r="J32" s="16"/>
      <c r="K32" s="16"/>
      <c r="L32" s="16"/>
    </row>
    <row r="33" spans="1:13" ht="14.25" x14ac:dyDescent="0.15">
      <c r="A33" s="42">
        <v>2109</v>
      </c>
      <c r="B33" s="62" t="s">
        <v>370</v>
      </c>
      <c r="E33" s="42">
        <v>1032</v>
      </c>
      <c r="F33" s="62" t="s">
        <v>357</v>
      </c>
      <c r="J33" s="19">
        <v>1</v>
      </c>
      <c r="K33" s="19" t="s">
        <v>264</v>
      </c>
      <c r="L33" s="19" t="s">
        <v>273</v>
      </c>
      <c r="M33" s="4" t="s">
        <v>278</v>
      </c>
    </row>
    <row r="34" spans="1:13" ht="14.25" x14ac:dyDescent="0.15">
      <c r="A34" s="42">
        <v>2110</v>
      </c>
      <c r="B34" s="62" t="s">
        <v>371</v>
      </c>
      <c r="E34" s="42">
        <v>1033</v>
      </c>
      <c r="F34" s="62" t="s">
        <v>358</v>
      </c>
      <c r="J34" s="4">
        <v>2</v>
      </c>
      <c r="K34" s="4" t="s">
        <v>265</v>
      </c>
      <c r="L34" s="19" t="s">
        <v>274</v>
      </c>
    </row>
    <row r="35" spans="1:13" ht="14.25" x14ac:dyDescent="0.15">
      <c r="A35" s="42">
        <v>2111</v>
      </c>
      <c r="B35" s="4" t="s">
        <v>374</v>
      </c>
      <c r="E35" s="42">
        <v>1034</v>
      </c>
      <c r="F35" s="62" t="s">
        <v>359</v>
      </c>
      <c r="J35" s="4">
        <v>3</v>
      </c>
      <c r="K35" s="4" t="s">
        <v>266</v>
      </c>
      <c r="L35" s="19" t="s">
        <v>275</v>
      </c>
    </row>
    <row r="36" spans="1:13" ht="14.25" x14ac:dyDescent="0.15">
      <c r="A36" s="42">
        <v>2112</v>
      </c>
      <c r="B36" s="4" t="s">
        <v>375</v>
      </c>
      <c r="E36" s="42">
        <v>1035</v>
      </c>
      <c r="F36" s="62" t="s">
        <v>360</v>
      </c>
      <c r="J36" s="4">
        <v>4</v>
      </c>
      <c r="K36" s="4" t="s">
        <v>267</v>
      </c>
      <c r="L36" s="19" t="s">
        <v>276</v>
      </c>
      <c r="M36" s="4" t="s">
        <v>277</v>
      </c>
    </row>
    <row r="37" spans="1:13" ht="14.25" x14ac:dyDescent="0.15">
      <c r="A37" s="42">
        <v>2113</v>
      </c>
      <c r="B37" s="62" t="s">
        <v>694</v>
      </c>
      <c r="E37" s="42">
        <v>1036</v>
      </c>
      <c r="F37" s="62" t="s">
        <v>361</v>
      </c>
      <c r="J37" s="4">
        <v>5</v>
      </c>
      <c r="K37" s="4" t="s">
        <v>268</v>
      </c>
      <c r="L37" s="4" t="s">
        <v>279</v>
      </c>
    </row>
    <row r="38" spans="1:13" ht="14.25" x14ac:dyDescent="0.15">
      <c r="B38" s="4"/>
      <c r="E38" s="42">
        <v>1037</v>
      </c>
      <c r="F38" s="62" t="s">
        <v>362</v>
      </c>
      <c r="J38" s="4">
        <v>6</v>
      </c>
      <c r="K38" s="4" t="s">
        <v>269</v>
      </c>
      <c r="L38" s="4" t="s">
        <v>280</v>
      </c>
    </row>
    <row r="39" spans="1:13" ht="14.25" x14ac:dyDescent="0.15">
      <c r="B39" s="4"/>
      <c r="E39" s="42">
        <v>1038</v>
      </c>
      <c r="F39" s="62" t="s">
        <v>363</v>
      </c>
      <c r="J39" s="4">
        <v>7</v>
      </c>
      <c r="K39" s="4" t="s">
        <v>270</v>
      </c>
      <c r="L39" s="4" t="s">
        <v>281</v>
      </c>
    </row>
    <row r="40" spans="1:13" ht="14.25" x14ac:dyDescent="0.15">
      <c r="A40" s="51" t="s">
        <v>313</v>
      </c>
      <c r="B40" s="51" t="s">
        <v>314</v>
      </c>
      <c r="E40" s="42">
        <v>1039</v>
      </c>
      <c r="F40" s="62" t="s">
        <v>364</v>
      </c>
      <c r="J40" s="4">
        <v>8</v>
      </c>
      <c r="K40" s="4" t="s">
        <v>284</v>
      </c>
      <c r="L40" s="4" t="s">
        <v>283</v>
      </c>
    </row>
    <row r="41" spans="1:13" ht="14.25" x14ac:dyDescent="0.15">
      <c r="A41" s="62">
        <v>101</v>
      </c>
      <c r="B41" s="63" t="s">
        <v>315</v>
      </c>
      <c r="E41" s="42">
        <v>1040</v>
      </c>
      <c r="F41" s="6" t="s">
        <v>372</v>
      </c>
      <c r="J41" s="4">
        <v>9</v>
      </c>
      <c r="K41" s="4" t="s">
        <v>271</v>
      </c>
      <c r="L41" s="4" t="s">
        <v>282</v>
      </c>
    </row>
    <row r="42" spans="1:13" ht="14.25" x14ac:dyDescent="0.15">
      <c r="A42" s="62">
        <v>102</v>
      </c>
      <c r="B42" s="63" t="s">
        <v>316</v>
      </c>
      <c r="C42" s="8"/>
      <c r="E42" s="42">
        <v>1041</v>
      </c>
      <c r="F42" s="6" t="s">
        <v>373</v>
      </c>
    </row>
    <row r="43" spans="1:13" ht="14.25" x14ac:dyDescent="0.15">
      <c r="A43" s="62">
        <v>103</v>
      </c>
      <c r="B43" s="63" t="s">
        <v>317</v>
      </c>
      <c r="C43" s="8"/>
      <c r="E43" s="42">
        <v>1042</v>
      </c>
      <c r="F43" s="6" t="s">
        <v>426</v>
      </c>
    </row>
    <row r="44" spans="1:13" ht="14.25" x14ac:dyDescent="0.15">
      <c r="A44" s="62">
        <v>104</v>
      </c>
      <c r="B44" s="63" t="s">
        <v>318</v>
      </c>
      <c r="C44" s="8"/>
      <c r="E44" s="42">
        <v>1043</v>
      </c>
      <c r="F44" s="62" t="s">
        <v>427</v>
      </c>
    </row>
    <row r="45" spans="1:13" x14ac:dyDescent="0.15">
      <c r="B45" s="4"/>
      <c r="C45" s="8"/>
      <c r="E45" s="63">
        <v>1044</v>
      </c>
      <c r="F45" s="62" t="s">
        <v>690</v>
      </c>
    </row>
    <row r="46" spans="1:13" x14ac:dyDescent="0.15">
      <c r="B46" s="4"/>
      <c r="C46" s="8"/>
      <c r="D46" s="8"/>
      <c r="E46" s="63">
        <v>1046</v>
      </c>
      <c r="F46" s="62" t="s">
        <v>691</v>
      </c>
    </row>
    <row r="47" spans="1:13" x14ac:dyDescent="0.15">
      <c r="B47" s="4"/>
      <c r="D47" s="8"/>
      <c r="E47" s="63">
        <v>1047</v>
      </c>
      <c r="F47" s="62" t="s">
        <v>692</v>
      </c>
    </row>
    <row r="48" spans="1:13" x14ac:dyDescent="0.15">
      <c r="B48" s="4"/>
      <c r="D48" s="8"/>
      <c r="E48" s="63">
        <v>1048</v>
      </c>
      <c r="F48" s="62" t="s">
        <v>693</v>
      </c>
    </row>
    <row r="49" spans="2:4" x14ac:dyDescent="0.15">
      <c r="B49" s="4"/>
      <c r="D49" s="8"/>
    </row>
    <row r="50" spans="2:4" x14ac:dyDescent="0.15">
      <c r="B50" s="4"/>
      <c r="D50" s="8"/>
    </row>
    <row r="51" spans="2:4" x14ac:dyDescent="0.15">
      <c r="B51" s="4"/>
    </row>
    <row r="52" spans="2:4" x14ac:dyDescent="0.15">
      <c r="B52" s="4"/>
    </row>
    <row r="53" spans="2:4" x14ac:dyDescent="0.15">
      <c r="B53" s="4"/>
    </row>
    <row r="54" spans="2:4" x14ac:dyDescent="0.15">
      <c r="B54" s="4"/>
    </row>
    <row r="55" spans="2:4" x14ac:dyDescent="0.15">
      <c r="B55" s="4"/>
    </row>
    <row r="56" spans="2:4" x14ac:dyDescent="0.15">
      <c r="B56" s="4"/>
    </row>
    <row r="57" spans="2:4" x14ac:dyDescent="0.15">
      <c r="B57" s="4"/>
    </row>
    <row r="58" spans="2:4" x14ac:dyDescent="0.15">
      <c r="B58" s="4"/>
    </row>
    <row r="59" spans="2:4" x14ac:dyDescent="0.15">
      <c r="B59" s="4"/>
    </row>
    <row r="60" spans="2:4" x14ac:dyDescent="0.15">
      <c r="B60" s="4"/>
    </row>
    <row r="61" spans="2:4" x14ac:dyDescent="0.15">
      <c r="B61" s="4"/>
    </row>
    <row r="62" spans="2:4" x14ac:dyDescent="0.15">
      <c r="B62" s="4"/>
    </row>
    <row r="63" spans="2:4" x14ac:dyDescent="0.15">
      <c r="B63" s="4"/>
    </row>
    <row r="64" spans="2:4" x14ac:dyDescent="0.15">
      <c r="B64" s="4"/>
    </row>
    <row r="65" spans="2:2" x14ac:dyDescent="0.15">
      <c r="B65" s="4"/>
    </row>
    <row r="66" spans="2:2" x14ac:dyDescent="0.15">
      <c r="B66" s="4"/>
    </row>
    <row r="67" spans="2:2" x14ac:dyDescent="0.15">
      <c r="B67" s="4"/>
    </row>
    <row r="68" spans="2:2" x14ac:dyDescent="0.15">
      <c r="B68" s="4"/>
    </row>
    <row r="69" spans="2:2" x14ac:dyDescent="0.15">
      <c r="B69" s="4"/>
    </row>
    <row r="70" spans="2:2" x14ac:dyDescent="0.15">
      <c r="B70" s="4"/>
    </row>
    <row r="71" spans="2:2" x14ac:dyDescent="0.15">
      <c r="B71" s="4"/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INDEX</vt:lpstr>
      <vt:lpstr>MainTaskInfo</vt:lpstr>
      <vt:lpstr>MainTaskDesire</vt:lpstr>
      <vt:lpstr>MainTaskAward</vt:lpstr>
      <vt:lpstr>MainTaskAcceptLimit</vt:lpstr>
      <vt:lpstr>任务相关说明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boot</cp:lastModifiedBy>
  <dcterms:created xsi:type="dcterms:W3CDTF">2015-12-31T17:39:00Z</dcterms:created>
  <dcterms:modified xsi:type="dcterms:W3CDTF">2020-03-21T07:39:25Z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2052-9.1.0.5113</vt:lpwstr>
  </property>
</Properties>
</file>